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a\Downloads\"/>
    </mc:Choice>
  </mc:AlternateContent>
  <xr:revisionPtr revIDLastSave="0" documentId="13_ncr:1_{38D925B0-5BF7-47F4-8FE3-2AD9663BFF69}" xr6:coauthVersionLast="47" xr6:coauthVersionMax="47" xr10:uidLastSave="{00000000-0000-0000-0000-000000000000}"/>
  <bookViews>
    <workbookView xWindow="-120" yWindow="-120" windowWidth="29040" windowHeight="15720" xr2:uid="{810B916D-8AC5-B94F-AAD8-02E834047D22}"/>
  </bookViews>
  <sheets>
    <sheet name="Dashboard" sheetId="1" r:id="rId1"/>
    <sheet name="Input Data" sheetId="3" r:id="rId2"/>
  </sheets>
  <definedNames>
    <definedName name="_xlchart.v5.0" hidden="1">'Input Data'!$G$12</definedName>
    <definedName name="_xlchart.v5.1" hidden="1">'Input Data'!$G$13:$G$19</definedName>
    <definedName name="_xlchart.v5.2" hidden="1">'Input Data'!$H$12</definedName>
    <definedName name="_xlchart.v5.3" hidden="1">'Input Data'!$H$13:$H$19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D8" i="3" s="1"/>
  <c r="J7" i="3"/>
  <c r="J8" i="3" s="1"/>
  <c r="G7" i="3"/>
  <c r="G8" i="3" s="1"/>
</calcChain>
</file>

<file path=xl/sharedStrings.xml><?xml version="1.0" encoding="utf-8"?>
<sst xmlns="http://schemas.openxmlformats.org/spreadsheetml/2006/main" count="50" uniqueCount="38">
  <si>
    <t>Argentina</t>
  </si>
  <si>
    <t>Bolivia</t>
  </si>
  <si>
    <t>Chile</t>
  </si>
  <si>
    <t>Colombia</t>
  </si>
  <si>
    <t>Ecuador</t>
  </si>
  <si>
    <t>Peru</t>
  </si>
  <si>
    <t>May</t>
  </si>
  <si>
    <t>Figures in $M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</si>
  <si>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</si>
  <si>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</si>
  <si>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</si>
  <si>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</si>
  <si>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</si>
  <si>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</si>
  <si>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</si>
  <si>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</si>
  <si>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</si>
  <si>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</si>
  <si>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</si>
  <si>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Customer Satisfaction</t>
  </si>
  <si>
    <t>Sales by country 2022</t>
  </si>
  <si>
    <t>Brazil</t>
  </si>
  <si>
    <t>Score</t>
  </si>
  <si>
    <t>Customers</t>
  </si>
  <si>
    <t>Availability (95%)</t>
  </si>
  <si>
    <t>Service (53%)</t>
  </si>
  <si>
    <t>Hygene (93%)</t>
  </si>
  <si>
    <t>Quality (86%)</t>
  </si>
  <si>
    <t>Speed (54%)</t>
  </si>
  <si>
    <t>Amount</t>
  </si>
  <si>
    <t>Actual</t>
  </si>
  <si>
    <t>Target</t>
  </si>
  <si>
    <t>Profit</t>
  </si>
  <si>
    <t>Sales (M)</t>
  </si>
  <si>
    <t>% Complete</t>
  </si>
  <si>
    <t>Remainder</t>
  </si>
  <si>
    <t>KPIs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</si>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</sst>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* #,##0.0_-;\-* #,##0.0_-;_-* &quot;-&quot;??_-;_-@_-"/>
    <numFmt numFmtId="165" formatCode="_-[$$-409]* #,##0_ ;_-[$$-409]* \-#,##0\ ;_-[$$-409]* &quot;-&quot;??_ ;_-@_ 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9" fontId="0" fillId="0" borderId="0" xfId="2" applyFont="1"/>
    <xf numFmtId="0" fontId="3" fillId="0" borderId="1" xfId="0" applyFont="1" applyBorder="1"/>
    <xf numFmtId="165" fontId="0" fillId="0" borderId="0" xfId="1" applyNumberFormat="1" applyFont="1" applyAlignment="1">
      <alignment horizontal="center"/>
    </xf>
    <xf numFmtId="165" fontId="0" fillId="0" borderId="0" xfId="3" applyNumberFormat="1" applyFont="1" applyAlignment="1">
      <alignment horizontal="center"/>
    </xf>
    <xf numFmtId="0" fontId="0" fillId="3" borderId="0" xfId="0" applyFill="1"/>
  </cellXfs>
  <cellStyles count="6">
    <cellStyle name="Comma" xfId="1" builtinId="3"/>
    <cellStyle name="Currency" xfId="3" builtinId="4"/>
    <cellStyle name="Hyperlink 2 2" xfId="5" xr:uid="{267E623E-6B15-4CCC-B9BC-250C77BAA95E}"/>
    <cellStyle name="Normal" xfId="0" builtinId="0"/>
    <cellStyle name="Normal 2" xfId="4" xr:uid="{E02C944C-12D6-4A93-B617-B69D0B1006BB}"/>
    <cellStyle name="Percent" xfId="2" builtinId="5"/>
  </cellStyles>
  <dxfs count="0"/>
  <tableStyles count="0" defaultTableStyle="TableStyleMedium2" defaultPivotStyle="PivotStyleLight16"/>
  <colors>
    <mruColors>
      <color rgb="FFD9FDFF"/>
      <color rgb="FF073673"/>
      <color rgb="FFEFCB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800" b="1" i="0" u="none" strike="noStrike" kern="1200" spc="0" baseline="0">
                <a:solidFill>
                  <a:srgbClr val="484848"/>
                </a:solidFill>
                <a:latin typeface="Roboto"/>
                <a:ea typeface="+mn-ea"/>
                <a:cs typeface="+mn-cs"/>
              </a:defRPr>
            </a:pPr>
            <a:r>
              <a:rPr lang="en-US" sz="1800" b="1" i="0" u="none" strike="noStrike" kern="1200" baseline="0" dirty="0">
                <a:solidFill>
                  <a:srgbClr val="484848"/>
                </a:solidFill>
                <a:latin typeface="Roboto"/>
                <a:ea typeface="+mn-ea"/>
                <a:cs typeface="+mn-cs"/>
              </a:rPr>
              <a:t>Customer Satisfaction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800" b="1" i="0" u="none" strike="noStrike" kern="1200" spc="0" baseline="0">
              <a:solidFill>
                <a:srgbClr val="484848"/>
              </a:solidFill>
              <a:latin typeface="Roboto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'Input Data'!$K$12</c:f>
              <c:strCache>
                <c:ptCount val="1"/>
                <c:pt idx="0">
                  <c:v>Score</c:v>
                </c:pt>
              </c:strCache>
            </c:strRef>
          </c:tx>
          <c:spPr>
            <a:ln w="85725" cap="sq" cmpd="sng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1"/>
            <c:spPr>
              <a:solidFill>
                <a:schemeClr val="accent2">
                  <a:lumMod val="75000"/>
                </a:schemeClr>
              </a:solidFill>
              <a:ln w="9525" cap="rnd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'Input Data'!$J$13:$J$17</c:f>
              <c:strCache>
                <c:ptCount val="5"/>
                <c:pt idx="0">
                  <c:v>Speed (54%)</c:v>
                </c:pt>
                <c:pt idx="1">
                  <c:v>Quality (86%)</c:v>
                </c:pt>
                <c:pt idx="2">
                  <c:v>Hygene (93%)</c:v>
                </c:pt>
                <c:pt idx="3">
                  <c:v>Service (53%)</c:v>
                </c:pt>
                <c:pt idx="4">
                  <c:v>Availability (95%)</c:v>
                </c:pt>
              </c:strCache>
            </c:strRef>
          </c:cat>
          <c:val>
            <c:numRef>
              <c:f>'Input Data'!$K$13:$K$17</c:f>
              <c:numCache>
                <c:formatCode>0%</c:formatCode>
                <c:ptCount val="5"/>
                <c:pt idx="0">
                  <c:v>0.54</c:v>
                </c:pt>
                <c:pt idx="1">
                  <c:v>0.86</c:v>
                </c:pt>
                <c:pt idx="2">
                  <c:v>0.93</c:v>
                </c:pt>
                <c:pt idx="3">
                  <c:v>0.53</c:v>
                </c:pt>
                <c:pt idx="4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8-4900-8386-46E947DE5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977008"/>
        <c:axId val="290982288"/>
      </c:radarChart>
      <c:catAx>
        <c:axId val="290977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1" i="0" u="none" strike="noStrike" kern="1200" baseline="0">
                <a:solidFill>
                  <a:srgbClr val="484848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982288"/>
        <c:crosses val="autoZero"/>
        <c:auto val="1"/>
        <c:lblAlgn val="ctr"/>
        <c:lblOffset val="100"/>
        <c:noMultiLvlLbl val="0"/>
      </c:catAx>
      <c:valAx>
        <c:axId val="29098228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29097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Sales by Country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800" b="1" kern="1200">
              <a:solidFill>
                <a:srgbClr val="484848"/>
              </a:solidFill>
              <a:latin typeface="Roboto"/>
              <a:ea typeface="+mn-ea"/>
              <a:cs typeface="+mn-cs"/>
            </a:rPr>
            <a:t>Sales by Country</a:t>
          </a:r>
        </a:p>
      </cx:txPr>
    </cx:title>
    <cx:plotArea>
      <cx:plotAreaRegion>
        <cx:series layoutId="regionMap" uniqueId="{8D6C15F2-C1FA-46CC-A8D8-EE95C1A272BF}">
          <cx:tx>
            <cx:txData>
              <cx:f>_xlchart.v5.2</cx:f>
              <cx:v>Figures in $M</cx:v>
            </cx:txData>
          </cx:tx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n-U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1" value="0"/>
            <cx:separator>, </cx:separator>
            <cx:dataLabel idx="3">
              <cx:visibility seriesName="0" categoryName="1" value="0"/>
              <cx:separator>, </cx:separator>
            </cx:dataLabel>
          </cx:dataLabels>
          <cx:dataId val="0"/>
          <cx:layoutPr>
            <cx:regionLabelLayout val="none"/>
            <cx:geography cultureLanguage="en-US" cultureRegion="IT" attribution="Powered by Bing">
              <cx:geoCache provider="{E9337A44-BEBE-4D9F-B70C-5C5E7DAFC167}">
                <cx:binary>zHtpb9xIsu1fMfrzozv3ZTAzwE0WtcuWbXn9QsiSzCSZZJKZ3H/9DXkbudrdPV1vgDtqoA0VxVwi
4kScWOrvt8vfbt39TXiyNK6Nf7td/vGLHYbub7/+Gm/tfXMTnzblbfDRfxqe3vrmV//pU3l7/+td
uJnLtviVIMx+vbU3Ybhffvnn32G14t5f+NubofTti/E+rC/v4+iG+AfPfvroya0f2+Hh9QJW+scv
qXe++Vje/PLkvh3KYb1eu/t//PLDH/3y5Nf9pX6z7RMHJxvGO3iXPUVaayw0/eWJ823x9eNEkqca
KYUpU+jzj/i257ObBt77d07y+Rw3d3fhPsYnX/99/OYP5378oIw+/XLx1D8cMn3++Va//ijYf/59
7wO4594nj2S/L5Q/e7Qv+v8JxYPM2/+g7BPKnmotmFb4QQnwI39UgoDnQhLFsfiiBFDSF8V/UcK/
daafa+HRq3tqePRkXw//8/L/Xg/Z7Xhz58M3Qfz/IyDBTynVUgjJfpS+1E+pEEJrQr5IH3/b9Iv0
/42T/Fz231/ck/z3z/flnqX/93I34WYr3TcJ/CfEjkDuDz+I/Ch3Tp9+Ebj8avXw/LHV//lJfi72
b+/tSf3bx/tCN/8Fxn51H8Zvl/8PiFw8VWDOQiv2xaDRvsXzp4hxxYngX/wRPH8s+T87zs/l/uWt
Pal/+XBf5lfZf4Ghe1dO/8kQm2D5FHEBoudf3bz+0eAf3LzGhIh9Q//zk/xc4ubbi3tC//75vtzN
f0GATW3p7r/Z23/A2Cl+KgWmVBL5xZj3pC7B72MlJab71ObPDvJzoX89/57Iv366L/D04j9h6L/P
dr5Tvt3NcJN95oqPCM8fP/18PSCwe69+9QQ/1cwXJ3F6949fQKKfb/aFqj0s8bse5Puf39/E4R+/
JEI9FRzrB7ajGJeIQryd7z8/UqAroij4Lq4IPCD8lyetD4OF1xD4LCbxA3uSmjIqEDyMfvz8EKun
lCNE1GeOqwnW3/n5lXdr4dvvsvj6+5N2bK582Q4RyPEvT7ovf/VwVkEZR1IwhpWWsKh6wGt3e/MS
UgD4Y/z/LM+LpAhVkfVos6bzfDsWuM4vH0nkJ7uon+0CpENTqhiFK/24S+hm4vu6KLI1dC+TSh13
uryxi7xk3updWU9XCfWf/nhPUNJvbiY5/CeUEhITwMrjm7Wqa9tgY7Kb85VnKMmTl4Ua8wset5tl
mujl0hLyhaV80fxP7glq+c2eilLQNsXwQ/f2nIe6WH2ckl2XlG+xtsOZi8VmNKfu6I9v9zOJKuBy
iBHFwIgA8I9vhz0vZaGGZLcucX7jW5TsaIHcs7mYsFnbHJ9QNA9Ha9O60z/e+Td3hP0I40QSQZFG
DwH38c56qyivGemzqVIT2nk24FeN5xzt6pzY8U8k+hv7BOxwTBHmVFDgUHv35LEPRcQsZFJKnnZl
nI4aLO3JH9/pp7vAThJBevjA0X6807DK1blKhGx0S36pWmd3iSVd9td24RwcN5OANE4YlXhvF9p2
NLIyD5kb2vVKTyQ5Ili0fyKxff087KIAa0owwh/SrB/v0mHLYuuKmI3DRo1v8PzK01ycdT3Oj//y
hSRsgxlwAUmBhP24VU35wJOmjdm6apHqgnozN5M0f3kXRbgmoGAgcsA4ftwlrIsbVdnFrJux3CVo
HMy8bsVfV44iGkHdgxKK+YPHfWzWLkRfk66P2ZwoYWJTUdOMyv/FXcAxgK8HF6jBsWON9hzEyivW
N6Fasr7X1UmVdws+zoekZ3/iHh5g8ditAzWjSj04B4KYAtLw421ACWEadY8yieKSNWiJJyRB9fuC
qbw0qmbt1R8rCT+s+MOOGqxAPpRWwGaRVvuBpPHtOE0KZWWsvHE9RbsRJ/WRIKg6Y6K7KVijj7fB
4my1PJ4T5soLORfrn9wcI/pgEI+PIjlE04foiDhDTKg9IUcmt0lOzZTNBWEyhRrYFEwybbI97aqm
6+od77CmO1ZWjBzNddDNm7xzhXox5GOxHiduLu5XxKI7I65f4mW/zPP2jhPwdVceYmlzpmNiO29o
E8C9j/Msy7SaSXiZLHVV7kgQc5E2nm3hxFVzdxVxPU9H7dyFC+SnJpqF2kUZTbr6mgK+mhMroiTH
ZTGMZbqspbK7qRFkyKphFHKHOmtj1k+lxrs4z+tdzEO1ZdOQb+xdgfu4dMaKpjxHRc/qlzNP4noe
62I5Hys+a4Pk0Exp0do57OzabeszXG++Ts4JrQd1Idla811RJOOFL/2WGKdb1aeRI/9aKV3GtESx
y3TL8zGrWFWeV+0aql1d1PX1XEpVmTkv1ot8oKi7a1XTSKPGB8iKupRV6qY8oHQbsY9H3NlYA6sf
GmKGRSQko/Mo30YZWLcjZAgqS8SCmPHYUmU4i/yqZk74VIaEnTOIdMrQbayrHeIDO/JJtEXaFpTY
XaP7ojW0JHw0kSWe71pMtiUjcZEvUSPbwcTlYRVULypkCdz7U7IFbXeIla00U8zjbTX085aWjR2L
jKOl+GBx1C8V7eiHxM6yNbhap8ksrHajqdiM5mNUE9yZssLz8iJ23fw+Ft3yaWMtROaRFe/GnoWb
EiGf75pyzmma+2KMacwX8Y5VqypMn2tm045FeSGC1rUhiUqeIy2723rqqD2pkETb0SDC6lLfCdln
pKriWRFs0ZtBCjDG3INZG1nbeERXX/J0ItybpJDoWehFeBNbTvkxnUQxmTaUHUqXKtfHU2cFNYh0
eb/LIVJw0y1TWe+mwTbHSV3JD0NRdu+SZhVvZ9otrrlSk6iUf6FRHrfLUWM/jtkgSXtc5uWM09IS
/RJURtiO8jkpsxpo0Wxaveg3oh67OWuSOG2mnBdSnatkmNxxkGJrj+pQj8KUg+rblNS8x7t8jK1K
54LL56zOGTUusDIxbF3JdlHYosKXU8D1kL+v1RaeF8Uyj6CbQtxtxHXX3bBwa+I2LMgoPS+JaVk/
fUjmkSdZ22H5YvXVVpk8yJKZfJrbV3b2vTM2z7vn3pMBSPGAUWGILdoqxdhO13KsRGmCqvR1bWfH
Txc61s9saNiU5g2j/ZFzbV9f0lmx98k29bnBw4LRuU7sUqVJEIRmeTJUIh03BI7ItpZfkqbB97Ls
NrUbmczPZkGIS7WV63rEcRiSdNbeiTSpg4jFZV9hnKSq3MbN4BzL+Yh4le+SkpTaiLadnBlsYmOK
Sk7PZQ3+KotK6j7TNmmtqRK1ctOgdu3TsU2GTzNbVJmu4GSqDLVcT2eWy+limkK/nhGtPRjlnITF
eBKKu1Wrfg4ZDohd8q6zHz2EstW0g7KLWfnC70c2NW9oYLE4DiNh71fF7Ieao/LNhgf63m1LL4/z
ouM4XYtGVLvOFssrpyc8m75K3CnaosfHaq2AW6DSuzbja5Fws0rJ3ruZrh/ntfcvla2rakdRPvTG
z4ucTGE3XqZ9nBzLqCf5NaK6JBc+0euUdrbWuQEJo1vPYt9nY9EAeBygYjZ5wXljRBnFJ0jQHE/b
MPXuJGernUzDC9mf8mmkJ5OTQHOmxvZvXZSVNVLOzZKuHfP3oRyT8612Chu6avyeb3J714R60WkF
DKMzdUJcnY5FOXvwHyugUdKa2VPVTewYbFmydNL9crOhOeLUkaGNhq/jFM9HitaXqq3VJ932HQNX
DCwgdbbckl0xue4jBx9wl1R1Eg1liXhB+oEX6cxqak2hdVKZCWJQRiiJY1b6yV5BESe0Jl/kFoyv
faXNPFH7cRxiUqZMlboEbIzjnCWVxiHzOa5f5WDzhckrkkzHZXBFZ0bqx+a8w6x+Xk+k5McDFV6l
q3Wjy3Ib+k/YlnTacVb4IznIMjf1UvbkCknFX1Dezc9ci5rbYZm6qyoJqjayW9VqtjVAw6pFoTTz
WCXX87Kt7xY7DkPa5wRMvyEdvSsgBq2nDq2oNVXedJPp1mblRyvrcEhbitrR4HEAf1kXGwtGDra6
mlxbo7SpRvwCbZ3tDNTNk/6IKjLMKUiie+kX20dDkOUszdvFfdL9plfjomdtalWyXsSRTvKIQNL3
ggxT7QzJNbbGzmLlJ4LZ7q0qFz+bJeBmMX0ylG+gY0XqVEsvZWpXun5iMVC+G9vRhwvWNjk5SYTT
hek2TvVOBFRORnhZ9+cRMpeXylmA9hqEPMNLIjoj7do+x0M9tKZZG/dC05GLtBkcFZe9ozIx+Yaq
PF0GPJ03o04G0IvNXywQ4gbwtSO6DFBSYqav8/gafE5NDQR2/ayagXqlSE7ivkdkPnZdiPeCbjoY
t7pqPS58Pr6aRrdJY91g60up7RKND7nXZo1z8iGwZns3Irl16crG+DKnJXvO+qXm2bYEiCzKutN1
myBOtQKTBDCGw4dVrGjciYUNOQh0YG8F8eR2Q7k/GR0b27SrCXnj11aU6RbK5HnnVxGNLKm9Z0Dh
nwMNQB8ZrUlvGljbGkrAHHZdztBHHBm+6sqhvwduxwZTFHx4neS9a82Yo3hJii6GbFAq33b9NGyN
6TdGX+AhT66TBjf4VJO5uxiD3Fw6znb6uDVq7ncjmQFkka71ad4PqtotcgDiVytWmWHQQw2cGI+n
bTGRHKJtXr+EBHPbjKg69ipxiwhpnm9+y+aAaqBPIlk3wyjh7a7rpsYZTUk/GzHr6jQGi7ApI9Q3
jFoqsFeZK3XlJHi4FFiW6LKN6fq6whwOWWPmPjYEN4NZ8oiv7NxvSVpvNFfGhnljRlVVWRlC1xbt
tjnG10PfqMvA3Nof90mfu4w1EffX45aTmFYNyseTBHhDmYGq4mpYk09il9eRUIihibNAZLt2ydik
mxLCkLLIFHUsmx33UW8ZY8nIszCKzhreelsYPQTWA/FI1JAuNi5vCiq7gSxG5H1j05rUzWS8nkVh
Ntry94Ma0PNh8zoaNVdAxNYxAABA+slHhLqemWSZm9djaPQLN2DcmKXHbdwhQaYr2RQ4zziUnSYz
tbU/Cuu4hSzkpauOWrtYf4TqrRgN7esugYyzxsjMevKXiomF7KjC4bYPloLPIH1TAVFeE4ios9wI
RHddQobV6eaul9O4pVPH2J0vi02kfY+5Ml4BjcqimKU0QiaTN2whNT5iAx3Rbt3iAIlFUXXrUd33
8iXwuRGled+WryfIDvrMq0hPmW/yxZBiWVvTbnV7G+IULhIo1/tdxWVwhgtv78W8tM8nH+I7RMPy
GqTW3Pdl15O0qPKtM0za7uMWbXhZ6DwXaW4t8ODStfqD91C0M3ENkZt2pfoZZD9oSLXwrd3NZUWm
VK2LXA1hSxN3OR0Q3lUotq+naW2ukYS6m9Gol2/yRrm7JSeNMKMv+lM9KXDCNR24Oy34KsBtuhnu
UYJvuiRjQNwwW8tXXW8tNl3S08nwpHRbSsu8/YADm7edG5e+S1mALoWJ2OmPDiE6ptpNBHKHalxe
A75QDTynXT5ZNwH1rfUWbwR1s0opZG/gYuvJlUd9P1cXNMgGPGW9rNasSbXedOOsJjNv1fh+61V4
J22oa7NtZL0rFtQNqW0Vvmxxjc4TStZrXnUzM4jXxJ8PQ1LJrJ0KdafqvjmjbNsiRCMyfhj52nLw
akV+kcTaPS9WTq+Z7ubnVohRpFhW/ZUtBghwlCQUeDXkoSeW8eaTLpIlpskUfW548Mtb63VOTdlu
bDaBtnY03RTp7QiWANlISRQyEpHipizq5Hni3XQXLJAAM4wtENqpqUBhsah41gxlA9xtDvP12o7y
eqoekNlUif2kIF19teDR2bO4FqMFKj4zSF20GsrdOviG7FbctMG0ydq+qBhq8kwqvxTpUsxzlTaz
16dtn7cfa7VOHfg10WNTcb/WpkZrWA3uPJ5M3ebtmtpEtre8HmucEhEUMCYxoCVtxgJ4CI9hvcml
ryqTqEK/o0kZIgTObWVZ4I1sQJ+EgRLLTp+tswQSUZXldi5UO5WG5rm6nV2OgukdDpCvY4fOeBcG
tJP56t9xN9v1vOqg02ggSo4kqyc9tSZMGAxBdENbmQ7GS153mxMvKl+tDu4RQ73zgSbvOznHe93T
Ecigr8fnEFGW7ggcdfPc9mF9v0XdvJbUr40hzVJ+ykMfumxa2uGWDkNxP05LHUEMWzvsVJGUtdFi
7j+tIFJrpklID/FLQMgMhL2aMaQ1aWh9cUIaim2q5Dp9kELbtyNirjJFKKDKHlttcYrUIAh4HZ2X
R2KMstjllaYXQ8ugaiGAbuM0WfttheBF9Xw2dLhbUmULCeGh5MARdCugZBEGz7pMQHBfs1o0FlIx
7zEkBW6UYUdiu8hdWOP0Cuqc1Wh6nEB4nhcMSRztu+jNlEcOQAZjqE+Caor5SC7RbW/qpCjibhMN
cmkx13KADEPJewkZzgsky+U+Sboqpo4vc2lcjbcINl+gDnZmy2amsuld2k+CVSkPW/Uh75G8YVXs
qWFixMFEoiqxQ0D8aVp0zeQyT21v0xEyGDiWHFyzo1VfrN1FqSO9FE2Xv2ZVPrf0esB9LshrWQxo
283jpMNYmnFRVl1vAy/DC6hBWLrTVTtUmYSnb2W/oVNb26KAyBH6j1vNFrzTBMXiYiojBETVuJ6n
pSuHE+TnbtktFi82nVYFpc0ueLacsaoTZSbEkAymLSwBNMqluhWkcg4CsFBrWm5Vq01pW/i/nuTS
Gl0u6DLxa/8mQT2CgN6t/g1aNvaqio3i6SAegIqWvHy71DZoqAv69WKqwvKJ6ITcDVULgY6sDnIg
ppYYTBch1Te2qlwNfIaPrXF4rqaUVP2o00bU89VA7dWQYAacu7Hhyq1U1KYYR22PG4XZu2VMeJ2h
RboCDAaqxWkB4YZDHr9aloEb0BBny9G1p4V0on+Hq1GhC721vMw8a1bwgBG6V9kqMWjKkOBaER7i
6wa+gxFUoiOomszgWpxIKgo5Ya6qi6Zq8ynsNtVM6nRCdgqj4arJ2bEa7bKsELJnR0y+FupT6yDq
pd5TP0DiadXZ3M06XC+lHf2zqqVe7bhbHFQ1UVLE4SzfFB+vg52XroVC3lI1u62GCqDp9MDGF+2i
t/y8W6QdLuzaTKHcISdH/ky7DYzS+G4SeW50x7rkTRjkFl/QoWvnDyoK4Z4V3TxM+dFMciqPmRUa
KAEqCDrrJO/G3ixtXagEEGD1Goxw7Va+6OKg0DF2g9RHo6QYEsth1Rr6UENuFwiQCetQ31zgbpvC
miKh82XakV5HvxoxDRoqGyRCQcuZblylKlKOoK5wu4xBF+gIWk0BhIXsHOmRYlvnIIGmi5aG10mw
R9pJ5CHUOHefLCpeTtBcbDFkXHPCby2p2Ha8jh7Y4uJzX0NIoFCM5CWTkHHDBVqo0JR9uQ4onTyk
Bq/BB1aySJONrUN9PNSjnWgaOnCgGORd8+ZOzVMpodi5tlAhHLhv7ptpe/AiUDtr+TlupXbniPTV
0JhYeOgXVRFkcFvKiGnaoqnEBAy6XPqLRRX9fM0nz8UIJTSo+1+NLUMSCmXE8Tz1GBcUG+WrZKzN
nLC2fAXBKtZvYB5RkLS2YrM71vK+er0mmvjjnPaqP68D5+XLpVpWkIRYqIaMfMzV+eLXbYEkchxj
U6drDrX/XdsiT1YDnt0LuhuBw7W56fsByxPqRUJPa2itkJQ3uiHvmjzkL6HF4ynJlki1K48LHqp6
OV1xXPCWDZNYCnVcjnhIpsLEsqBQK65pGHOoIUOWJF1KURxQb9ZZgIc1S9e5cDHLQCESTwnvRZ0V
YP5xy4RsYNLyh2Guqy+1+C9d6FvfraEs7NdB0e+//vPy2/Tp5wHHf33+MGr6r9+eT/dhGMP9k8ub
Lj45Gtu7zwOo++88TA18fwk2/jpF8NCr/+GX34wN/M5gwJfZ1t95+G9ODUCD5PvY6m+GBh5NJD4a
NIBXvg4OwMAY9NWgjYIIYdBOodBa+zo4IOlT6IMxmL2BXroU/KFl/21wgMCAiIJGDMII6sHQi4HX
vs0NcJiE4hI4APTRqIZEhx8+N5AQzKCTCfXnvWYc60fAcG5dVrjxLVRDPubjm0eC+Gobvz+R8H1l
sde1gZISAvcJK2MhgbgtZgvqL3US/7X0Xp+y3NYBig60zlYtrxBNrhymyYFrP4whPBqg6Eaoe+d1
DiFuptul52RJ89WJ3WFCeejzPVo9x1hGV6o6w9MR8jwtyvCXOpL/kslev9NXCFyTwjUUYtrpbGuh
4uLqVb867Nx7QwIkD9vcSu+ybg4yLVm17UTC3h62OP1RKHK1coZEvM7GphYnRTvczKhWB8plr4+5
qViyHmJZRiFW58V2UYbi5LBz7zVlebsskIAPLnP6WMcbVx6InD1Mgtq6TjNgWbGI5Fnk7XhLqxLy
poOOzfeAmasJGnzA0LJxpacw2X9dc3ng0nvAlP3cz8AAXFapcTmHrB1f5ip5dti595DJB8nGsIJY
LLntuyIVBT8M83wflUJAwbwioMiqhcxQOcMSqNAdduw9YJZTrCODem8GZZrnOZmKE94t6Oiwxfdw
iajyXcSdy8K6utstNMVprIg+PWz1PWAyx+rFT9Fl/B1UfKE8dtiye5DMYbp3LStYdo7AuAPuq5Rt
+DC88z1QtlSJXrZgJcVSHYdiJlAyhm76YSffQ+ZU46HroUWSTbKIxi1lns5q7A8TN9sDpoXEZStm
CA5KO3Ao0L2DLwSEw47O9qC5Nc02F3FzmSygbsu4aKHxNgwHHn0Pm4KMYwPFbogPFTRRrn13dpDA
2R4yGWFttSWry0oyXTY5VEJC232ZFP7dIb8fh8W+R0y2B0zofFikN1ZlMOJ46uumubGe0w+HHXwP
mL1QMS4zrbJKiPpDEAiGJHQM7WG4Z3vI3BoEGRYTVZbH8mibPTtZcbIcH3b2PXw6v464QCAY4pzf
5bytTyYxHBgj2B5AK5g+g9Jbk+8CVDURm1My3R127j10wteUIN0voW4TRwYt1pHd0Xw6DD77k6Dt
sEEL26oyUx3aNUsHUyTVfODae9DEOYcaE+2rDBPBDBRBT6D42e0OEgrdQ+YARRboucLB67k4ayiv
jKvqF4etvYfOSdm2IZAoZxUsi2j7OjbN1WFL74GzXajUqoWlA7SXTwcqz1BY5GHo2R9frh2UqkKE
xRtbGc53gR146j1YLhGavw3Es2x1c2oJOG8hK3ygmezBEsbwwoqEBTPpE5ZGi1gm9Pr6MHnvodLl
SdfWY1NlonLMHedYr/y99LPvDmNvn4f8HmU+Uvqhs4OrMrsNqUre2kAP0+b+YPgqk3HJKazsk/Vs
KGBmqonb9UFiIXvQ7LitxkluNqua+WMC83Q57/rDyDLZQ6ZHclwWS2020UW8rNDymvGCfPlWxl8N
bmQPmnnblyXVY5kV2F7COBDkPTB+clhUfviqw+MsVpMhgQG7xkI2eB+KU9WeHCbtvaAZqXX9VMC6
+QyDCjrZLTCHddjSe8hsBwcpJa5tNrcZNJiNVgcSK7IHS1IwGCDsnc1QqZYdbdv3kNDawzBP9mCZ
dzUce+A2K4e6zVQSNUyAh8MIENmLl20CdaoSw+Jd+V7DOJm16DA6CF9p+cFAEtRVVUGZBeuDsdgA
07lQLsD+MNvGe6BEFeIdjOKBmRTdBQAIZnU8OUzgeA+UQ5hhajYBUC7FDQTl2uRjfaAy8R4mnSrx
PDYPluKIz1QxvImFVodhB+9hEgroDSEFLC4HDn3MY+IPpD54D5Ujh0nGbQUzmash5RrNZhR1dZgT
xHu4xFCYHKAdYLNG9chUDZTFC53MB9rhHjaraoHWf0JsRtapMWguqrRbyukwnvx5hP5RSOPTBE1e
Bat7BPNu9XwPczjiQDvcw2YFTYGJWHCFIVHMaMayeov5YULf/9YCK6Df0lthM9GTagdf/R9S3PT2
MHg+1KwfRweYJh0LtMLRVdKlW3cluncH+XC0h83QqG0oCmkzWsLk4/+Sd2ZbkuLI1n4iejFp4BZ3
xz3mjMiMHOqGlSMCJJAYJMHTn+311zldSVV3ruL279V33UngQqbBbNu3Gyh4nq3jfOfTN9EZuFg3
reixqkCoJVASQ//AvvfehGbVu861Bk9uTHNc0EIAmdi+J29Cc1jKzJkMT1YBVHEi+eJnZLD2PXsT
mYyFiwyu+1rrhghdBqQ7zF79opHw+oL/bu34v7t3uAlMbXgCtcGI0Jkzn9vVHi1aUHa++WbTFKOE
nCEwePh0Xy9nZfcde7ZdZSxGR6ddZ3GaUGbXUj6s9rRnrNEJ+nPIhANfPc8mvLHMI5T4dm3wfNvP
1aVuHgXEhSecTG5oNN0lpTjue+NNLGZm6rgQFrG40lvlHpKlvtv35E0cQnAQOp9iuzHQKbyIZHzt
5q7dtTbxbBOKHv09LfP4hL1M3w78QZty1/KBot3Pn9CjQRCaR2xk6fKumk+d2DXp+BWC8+fVNJJp
MAwjwjBKo69LtEKyluw7uqLJ8OdnTxmFME1h2nldzueyRetA4iBV3vchN2GoKtmOob9O6j4YTmuM
bhk+B7u2MJ5t9sdEMfTEmA4Przr9mXEd3QuyQie/6923LWcyo4NtMjx+NivPrfDnqQqSfe/ONxuk
hvaImx7nV9IO5sNa9jMtEihK/L4Iura7/3nKVGHYBk2lcXaQzXMb+bzhy2XfuGyCs7cM0ssR8YPm
louQS4fGqnZfdp3zTXD2hqLN0V2DU53RyvW0eL1ru+F8E5wLWpzrNEZwJh2/QJNnziF0PsW+MdlE
aKvaZqQJVtllgkKrYNW6QLwOxereybgJ0yFUC25p+ANodVvv0Kb2rTFx+rLv7TdROutVJ7ELsW5F
7wgb88jvq3Wje/XnaTiXMnbpdUWMRXYQSTkeaKbCfQHKNjsmM30deHRdnqTrL6J+WIN616mes010
SvSLIJWJZavl4xvJg6igYmH7tk22CU22rFFcQpJ7stlk7+cw7O4Nakn7jhFsE5001FWrppUWdTNU
x8Gm3c3iDNn59E14tl2ETp5hokVltTpnw7TelBPaa3fNwyvp6s+LFkN7gI+mGith6ewhYdVyEhSN
1fuevo3RgK8LRIC0aLNxvqDJNyogZNy5oLNNgIalCrKhM7Tgs1aPGakgZ1+aaee7byIUTbr1UpYV
LURrw5wkozwHIvrVdL/Ojb+exPlWAATxpe1I0NBCQQL9la1+fdOMyZr3xjRFpGu6bwneyoFoK/yk
Q0YKVg7RHXbvEMLuqtwXV3QTtP0iYu+WHr8io92zSQ00dhJtt7tmD91EbYgzo/GrpsU0+/mZBMZf
pGD+zb6nb6K2xpmPkbSjhZs5PTR24h9VOs87x30TtYNahW9nSYtuiZtL0IrkjTXT9Lzv3bdRq1Q2
xWh8LQBbQM9X2KoHF5Ng30GGbqI26IIE2m+MDLr6eJ9rataHEIiKnS+/DduxTIMlwON5HPWFCXh0
VLzaJ1LjdBO2LFrAsakxaZwRzybw6l5b7vbd7LZQEJkgc9hU+KptrerbZCT+Uobomdv1VbcKIRJG
KusqrGck9eYdQYfjD9HX/4wD8r93f042sVrbqja+wsD4aVbHMmRoA8Spb9+cIZtYzcIxYf11tVR8
mQrvepoPdKX7dqmtUkihIU0JV5ICinhx9hwdyWBktLvSlZxsYjWFXq8ZUuywEzqLi9Em02lM1c4J
STaxWjsk5GcR4N2J8ccpdOpupmSfaI2TTaxS9LaNDVOYM8TGFxzH+AG9Ve2+MzbZhKpfDR35HCKY
6nF+EgTNGGsS/TOay79n5CZU0eLPIXRytBhc92ICkt5CMk73XZm2uJu5bTsdO0uLcOq/taPObpKp
6fc9fCsZqtCJJ0L0LxSzJPRYJe18FkGwTwsLjfLPZ7JkNvXaUk8LNJKK30wqk3PDdL2rJAft889P
b9NmSKRKaBFNPDijl4PdBsu132rXIraVDnUiyHSTjtiazLwcSp5ApM+82heqW/FQSadFRl1Gihjt
swfVLfTA1+afAZn+b0Kmm1C1pdYN2gVJkbYqeItedX+MNM/UzqHZxCpnc+otwCEFmp4F2C+1P4TK
28O+gd/EaiyzSfkW0WTqmOahausi4CL9xYy/roV/c17dyod4E9e9Ah60mMUI7s5oxruWeHvT9obv
O0ymm4srOn3UWmosZWkULx91FA7PmcqW+hej/x9+wVZKVINEgco8fsGAvpDHoZTdAUksTH7DtP/F
37hOlL8ZpWu7wZ9vU0KjSdJ7SgoAXugNCCHVR2zj7uuuL7zVFKH9sovwX1JQUIEuOqrZeZyinanl
K/vyz++uWFODRJGSYl15c/ZgDhQZWqz27STJZo+NK7w4tj1S8KpmuASW7AxdgNyXX94qiyR6XXHB
xNQRwHWc0jFGS73Wv8IS/qevuolbIsLATOkKEAYV7tR1izskrfmjm+cfSkZ4solbEnJAq1bcwIOx
Upe+Hsp8JXrdd9i+kjP//FXR+AbiXy1ZsaBD/AC1Ir8wzvcVwgBl+/npoDm4umpw6gsnpb95PdI7
V3XLu13zfaswmkhb2kjj1DclcXyKA5ddhgkNa/uevolVGxqEdIDTdjPZRR7Raj5811Uf71MA8q3O
yDM6OLLg+SMgS4BDrAycHpsGO9eardTIB7rtOuBSC8gxpg88HOv7Vfb2F+v99TTwNyvZVmsEFa2t
6XVWjklrq4NEBe4AeFH2pJI6uTIqwGtDqbLat3nF19D7U03fokLRxKxlRYJy8HFMB/3Yu6jZd9WP
NwGMS9vKuxIJukoak6OTUoBAhdr+vom0CWDqHUBrGofkBYKEV+zqQw7lRvp239M3AUwwYZbU4zw1
hs7eoao4Fesw7ZMHgnL487hzwIhaXxGKjnYlI3Ca+tEcsAYl5b462laSFKHoLq9wisKoeH0/8zL9
MWR8Zw5nK0lqu8RZC3Rt4az3b22XRk8AZclfxMB/WPe3oiQFXE7LgLEsxjia3thgiQ5MyX7fjriV
JfGQBCCIjazIJteXNyWP+rcTJmqwb1pulUkBurt0GKusIMOc5SUa4AqwJdjO77oJ2MakM091nxXj
2CSPSio0m48t+7hr0m/lSWlLeCcEzwo+oqEumFn2WoF+vC83F20CdgzREhnNSVaw1DQ3ehEqB2jQ
7ltstvKkruzXmQc0K8q1hfiJJOqrQN/x930jswnYBT0HmZ1jjDvIRsAAXluzG4g3X3Y9fitRogx0
B0DAsiIA9Wk6gntEQdkqs2VfAm0rUiJhN3rB+7JYUJJ56NsJUM1wSPZN+a1SiSSzm+KuKwtJIn82
oSuPPWmm476x2RyQgYLM+hR9wwVgn0E+qzC46ElmO0ee/LwS12NSS3QrA1kwc3nnJpHcQpwy7QvX
LW1aSbSsVe1QFkLjbAwcdvI4dWBq5vuGZrPB1qLMFBfgLZg+DE9BEjSfVaemL/ueHv88NENyRebE
XVDUDnJCapu4IBb1x31P32ywzGd9iYRFUAiAEV5p0sujdmL8tu/pm3hddZuEOBwHRakWf5o54NEO
nI9dnxVuBj+PjOqCoRkzWRbVCKBJMCztG0AQk6973h2NHz8/ffF9669FtkImMn4QUWDe4YouD/ue
vslDraFQE52XoLDG+o+xr9rbEnDWXYkilm2CNWWNjsFILYsOrKnC6eaxLlW/Kx3NtnKmUjmwgntX
FowE+hQtvsz9KsSuVYxtJU1gwHU6aG1QpJboEzT/zRlM5H3iI+Czf/6o4KHMFVlJUEygm683Rmrz
FlxzvW8NZltxU6UmVEqrJCgi1iYQfDinQaGa63BXQLFsE64NAzbOpHh/FU70iBRy+SFJ63pnQG3C
tQWbx48CS828DOZOLEtzk1b+V5eq6+Hor5cqbBU/jz326ZgtnGAVXmZ5A3ho+r6lIJ7+YhW+zu2/
e/wmXkHktkBouqDgYgavtJw9aDYlmQHAE20N+iVl677g3WqdIGHjUqU+KBZAg/Ie2Gg0GPXjzqdv
grfuaShB+sOSnPjkNkyrFPiwRe46/oGM+vNXqKGlygJVVefREZfehgmhrz0SI0Oxa2Hbqp5E1i+T
56E5T3NUFoBFu0ujx52rA9/E7xSAbqNYP577tpLHebFtl699vf7Y9/KbvTadiagjNLefWeaH4wTE
/FGBDLxvaePb4BULaGaxCs7pjNOl6KU7m4bs6+xiW+VTKTK4kySkPAMOaAXu+QH9ntqh2pUwYlvt
U4imAzDXp+rSwgMAONEOZXHaDoAJ7hr6rQLKjqbvSw5MBtNg59nYzveTbqt9s3IrgVphdFenYTxc
xnlK4awC3jBgIkLta40GIOfnqGrnLlHtzM3FtWQ4aI6v2oFXsm/isE3MGsJpWLYVuegG1A/oB/Qz
wJduV/oY3Ouf3x2cQYd56YNLbfSHxZHuuwSG8NO+z7oJ2IHbxqla6RubpPI3EjX6GyCIvxJv0t/r
dn+z6m9VUO0cxlckpr4Ry5RUdwTZojI6sylJSHe/wEomyNDgMzbhneY9Sx9aB2uOcxwlS/ndxfDZ
QIGua4Za5OHY67nJRbACIBqkrLMdMOlLwgpGA9F8MZ0DdpHFoV+SPFhgrHAr+rnV6pCsZRYWTW2T
9kvgE42+sDWlLvrErv/E4wBZm/WF+mWQt12Z1eqBCdZ0t6TiuvoEaLMBDlD3cBV4GxozS31ol2kC
8hc/oqy+BLGLKrCuw7hvvgUumOAs4LPZV6/lAgyvzUHCFZh0/TKUT32UNv5eTX4FC3iMLJ+OcIZo
yxdtAal46FG3Bee7gWa0eWEGjEzgSX0Fst5x0QsZ3sthAHkXPQedvsn4zEleTXDB6I8WZDaF3y/m
1dysQ5qhaSAMhPkYa5l0j7yPMgNU45DS6b6HLY1RB+c8598U+NnmkQliwo8ASts4PNpI1bh99UDZ
MKC1QcWv8GMn3i7zjcUzjTmOhqfRl1WGRJjccdPUoD8nvgxVDs1yzHr4XuCoOCC1U1p9qkpXgrO3
dBN5HioY/pgjJ0EQAxFI4owspwriAfLUjF3bPGbxauUlw91E4weVab8UVzygvFs5r+Vz45V28REb
fL+eBVnI+ABEtwTPvw6gM3i7ZiSe5GGCdyZsE4hfK30BSpkEn1QyLSMQtFAVMvA2veo8eH/g2DuX
T1y7cYaXRJMM7oCWvCVJ7pZGWqTVwmiZVvDTO0aaM6hSMN45mHUMCIohHS+BwIRLVKo/2wS+Ha8z
oKzi1ZTE2AFkAPBuAFmnsQcsIUiqRNzQGRy63+oxls2PKWTB2hQQkq9xl1sa4J8dqLCNvzQevyo6
L6ocZZA3oCNEYQ7qHf7uqcsgk0NMuH7mPwCdFEkDawpTojfRcJD+PwbrNJPmMIg1Wb9GYKsE38C7
AwMTXRSTOYgG7OJTop3x3V23tNcAY2YSAA8PS595uBX0NvN3ad0n0VDAmIJO3SmA2RVo4WRORNkd
Ga+V+341F5lfQPpc6vE49RP4wu1cfaJ+6NmpAbPQ5OEAOulxAJVu+hqNGKNvphljDcpzp6Lltgs7
xe7RxD7GLxwwZPRq494onxWl9a0De/dNFmcSeGVnARYE4mv9Gq8j3ADShQH7E1Xru7SNXPWtojRJ
zxUA5WzNqwRg9/LBy35q7+HZtaRuPvi0zFpYdQhMqvYhXUUW17eg2fhaHlybDeLDiNUh7U9w72G1
OMYldf2tbKrFmiOkkFVjjgBmU/eBBuG4fvfBYPUrHbOAAQAukEQGVjZJp/VZRCW246PEzhB1B+lY
26w5Vo/Am7wPUWbUhUUdf4gvLLQgXIGjCTVLmStQh8wPNIdpmGlUILJMGhJygFl4PqULj+EjMDeN
+QQjOKgXCo/DnMwOIAi1QEwDBQuIbr4GqQH3L1yAuPoI360lexniztFPyRJMVQyQqBpSvJuzLv0h
pyHpn2sxcvPR96oHRTv1qZ4fy7CJ/WdYjTUSqLYl1PVZlsQOIFAZDVJUHs5C1VHhKsogE2iXASz2
+9ZGIczJZNoB6HwcOGDwHvYGwRgBEuoWeBWlLU1/zAEuYfJm7CvYXRSsRaK/iMJ4HB6Nbeauz9va
2xWWGEDUvRUgM4Rf8FlnV+bcc1IDr4uGoAwQxwlmXCfbQ5OCf8M67740ST9UmM2ND4GFDarOx/O5
NRoGTCAKaVo9UZEE5hhPBAzXsE4n7BeMWhi0BMaV35ZWWvHcMunmp740JD5jbKr0q+SpitBhCO1a
9YqNfm5Ae+etgrWDGFXnbrhJV+OhZ+cO5GXUh1ADP0yp7WKg22c5V68pXFSAgx3i0X0cpUu74GBI
LVoHszBvQHjXzof2eTZYZx7GRsgrmCesIwCjoSc7VnLNOFiXIPI+M5FOc97JpY5BLE6dlx+CcqZr
/4yzfSOX40AyUOfvFqZXdnLRqP0dKn1gh+dx3I3zGXLtKF3yErkxyWERAmbxFxBQ0xog8Ew4JCdB
NE51k88CRKAWdIZKPDVsvlJdy9KnnwEfkx2oqLaZYOaB3ptB07yL8YwPVwuS8Um1bdN3ZxE2ouXn
LrIDjKOiKgrquxheduPyBPh2G3eHbFzian1I1hXfCkzhSQ4QEExLWMJ5Lg4U2KsdxcftDkZfL9f5
tCaBftYThy0H8K7rAqO61SHJ1+XTQKqOP0njqk8lzIFwJPADGPPfYTxA1hIuHHFjv6XOZRCl+THq
XC4D8JkvacwdyMFBWDoDR4rJ8ZdwjiBdrbKxtllO5IIr/Y+6XO1iCo3KUfaKFTCM69ymgJoXYUzn
mZ4Hqm3b5F0n4uULiMt6uCvjdglvG8NW966T62gf0nDpQUKdTAvfFpwtViwCba4Rj6t49W7EBAGr
dWIwtkhIArf2w+IBlH6PVb0JfpvZwuIqb2IFnUIFzLP43mSyG94NHB4d1TkF+ZhHBwPSbnZPQsMr
eNDMfWth8QQQd31ZOl+H2REuLJ22cKzA6vTiAmaxJKepgW1YQh2db8rMT/R5DdsQhFHKarKCIAuM
dTceBowJiLOgpkLlgSPpDDcNUfVoK4JJYyLfZl2PrTzviSDTb6D02+q7bsp01JADKzcvuUU1vvmU
tRqkmDxwskk+RDZr4K5ghh4XmLzk8xr0OWxAFDBg49ppkNnxDRIY2sDzZWnuCLUDfUFxNsne1isx
csKXiCODJCw1dYf0F/zTRE7XqtW3PC1J816uM+m+srjWILGmXQJwNWywhoh+rUmFbSCPayrrD9VS
lUOFXt8AZx+AU0lpbtQoGriqpQlU5e9HaWpg52tAhwMMIJ0mTK1ygVvjmdQ4x8bw0gp5g3XQkiBC
XwcYMCAgTwOuxXmtpC5vhJhHjGC7+OgeZ46Uv08k1sZCr9EVI9atQMR9XPqkbQtvYje0eTqqpPyk
1qwfn/EqBItcOUs13rmwH+M3VKVABmdQ5sEfSsFp5BBk7RSBJA32XvnSl6kfbiIvZVzAN6LrceC2
ffY6MeEHtDyO1fKpXBm8mfJFBAl8JCIR9ulDsCImnsOlgfgs1yZb2z6vK0pkjSVWThl+/tKDL49d
w3aqw5EkrdP2lGRjxb6PLehoOtchAcEWrHkUWC9EYZf6sC4lY7ceDlME3mZYT76uPQbsuR0mYp9E
rxL76CFsEbeQQjG02+H67PgtbHKG6QcQx509hSCXwgPMzpHoL6VNmvljq4HdeJtAlCherANZv4db
0BAt79t6bM0F9VjhgPkNAVp/P4SomX6Dr0fURadksJ66PEaR0L1rMxPjQG8rp8nNYhoYz1xU1Ug0
ntYimBWsmPRMvkewJyPYX9tKvXdYRDA+yMjVBGPggxJfAfFszJ1flVw/hxDvPS+4apF7Nl8Nliw8
Wd74fkbTSVIPdfZa13Vj1QE3pIE8BG3Wtp9i0KWapxZJiLgYGsTh52o0iMlDS8qMoCsLBnfooYzS
77aE8dHzAkKAx+XJBSG5ADfs+hsUofn0rofBkPiyZAPHz8dS3y5PzHVSIdrkMnUPVbCA5h5XwnUf
E49jZK41ZeFNoytt7odQ+ORs5xpGcIRoodrctkusLhJWSAarwJi8n6HG0k9zaW17HpspCExuw44H
74Q2Vfy9lZObz9j5jM9h1wZcMrZFhlkZNTEMOybbhPcD0MnZ+053MsWazYk+RvXM9avvUuQjMcor
gmBc2YSmgpniSPYcjG5C6nluy645WWICGJpxO7EXILx9fDvYKmWXZnVSohXBZ/IxkSs8P3K1YvV5
57PFk0PfDXOP3aYqx3ylzTjfhaET9AUcP2VbWAIxOVUnHvE5fUEajoxF422LldClILkV6QrL3bMe
FWenUI8WeGq0KKfuBFCD6O5x+GT2FrDtiJ7UOFdV0SSI0Fu1dhTuJOkKgH/M6sjcl7YNrzDSua/b
u1qlTkILErl2ugmXaebHGPdd+WghvhpvZrGixkqF7FWVz3hDemFdVdNHTzhP7sHYT+SRgJSu8bJo
/2KwGuFreFcOtO2/VlTx8ePMAO1/iiRO0bjAoUWJPsEUp4VDyjgN9p66mOqbFC43WPOj2YY3dTpE
/h4dpCBQwNBmSrPf2r7WvoA9me3etYhiYB2aNTLnAYZE6xO1Y6pxtOINEyBOwzhYPci2i9dHSzHQ
HZx1Ah/GzQ0cv9JgPULOV3f1oQwWgL1PMgYT+xep5/+Q2WabxB5R8Cnom7S68dgRQW9RvYEKBnXj
3/YlUTZ5eROXiCs7iBvpQwOvOxo+tl2/rwEAbOef8z+xmmaGc9J6A5OjMYddmHm3cF0+73r3bZMU
I+tggL93N4bW0W0sZPPhemL+RaHrd0XW3+R/tl1SlYuGalnq9kb2UujmlNIVvMYoHcobAi0SWtcA
c6yOgKwHmPaLgo4xhC349zprcddq+oo81phIcOiLcfRa/SHVGTwBgnRYYERbc7QfHtNZcfwfRp1W
5Tk2fabzptUxy6WExvUhyFgHE0Xg4AWm9YiaWLjCCfgXc+uaQfy7H7jJLEIsvUxV491NxnB9KOyQ
Tf4ylpH70YdT1B5bQFR+VQv+D/OYbvKM3rQJnGGWEWYHgw9uZd1nATkmdRT2x6xfkYbJCcxC4fKJ
JBmfDyLNkD+DRC6Cox6spkIYsWSJG08RmYKh8LIch0um4D91T20ZtAfdoWNuPqVTG8CxgRn4MIyP
dSwpDmTTpGc+gZY8jnp4gmDQzY9ABAhcHkbBze1VX9YHsFlpcas+1VeSPjlJ3zcMVqligU2Mw7oT
n1taxf5sqyFy7xRsWyM4kVKr4ChYyhJALtxmcX9fziYhERIxZoWVxCEs4QJ4jB2oQyd1tcixtzCv
yOyj4rQCD6x1o+vq4+8h8Qc3/s3/+3r/nxPsryjc/0ywP/TYQr7Un4GsR9BNy9VO/vov/gDYU/ov
TlISEbRowvSYXIvBfwDsOSD18CXOQLiIQbL//X/6A2AfkX+hyQ3uyDHNohAce/yr/+XXp/+6+sfD
6hx8oSxK4FX/T/j1P8ckwX8ydJCkCZzhQxwxw01yG4ATJzksGApYnBcdRx7Is3Mk/COyei9/Gpc/
psqfgfZ/+VPI48CDHlZLFBDKeBua5Zgkc9iSurg6EmmBgzjo+WFz6WF1+9//0s/Bj9+0+UubBYc6
pCzWAX/JJi8ufSv9639//u/CwX+vZNc/AKRoBBsgfDyesb9I/+amntSAhEzaN8J8gNsPjVGPx2ny
A28DZR4ziAFJQYK1ND+U5p6+pSPJ9E07Spi6aekM4P5s7ZfxTisYv156P8MIEUYfqX2PJsIkOaHw
Vc5v/vuLX1e/zXtjFhI4QocprA+2FarQ94HGfb8pavu6KBxFeN7pf1SD+X1sYIKObC4NM4KJtdmL
pU9wKoRveDFbZBPJLazufrGP/G4Qv/kZiCUaR1HM0zTd6spnNiHvtsLGqSTTNx11pwRZJ3jf3rrS
vmbwTG5xejYpXGC7X8zhv84slJuvo0diQHD4tgdl1r1mWTMLZNth//YQEj68NPAq+2cIkusgIhQj
rBtIW+EHbl3Y+wBePDHEgUXdz14eFxnDdAXDXv+qsf+vMwLjQQgKJ8g6wD9o87WQRzHKObSs18jf
UTi9HywqSvDjXX/FLf5L+DNI1HgSsTilJEu2DaZYh4KO6yU4VSY4Z4qe4uy2q9tD0v1qodl+JFip
x/hvSjgWnCzb8qYiWq+4O7u66OASAYcziGWO/z2O/vIXUtQDEMMRPEYiiPo20ieoQBLDluAKS0fm
FwCdLE8np3+xjMGtfft5KOERfgECKYox67YcVdbCKUtmcKEGyAB3M7Q7xeKJjt208PpolB5UjiZ4
pg442eFNCHxdx6MnATz84Kvs3klkdgBVUEMYFvAchkOprMRoD0OWVMsBXm30x7To5AleI9EN6eQU
nis7Rl8SAbOgE9oDwjcNTXR/FAw9k8eFC11w+JhOcOwlSHmlJsZRU/ZpXx2mGUUdGHEl85SLxZJ3
dBARrMGh1b3gZurkHTh/2XTMUHbxJyjHGoWgnZHRp0iUrndMJWF87EQDDEQsQ+PfNwbCpoNqk8y/
TSjgE1kuIpjeHpAEQzWHw2yVwQ1I+Rkv0trnUQTwM1qBi3sjWzr7c4Q0ztM61+4dCnN4UfQCovom
fIpX9HaQn81c4YA9comCVluW4wuFuOrBlOE0niRTKYNtJQy3jnSWY3TGYOJih/xX+QRuew1vSWRG
9FEm6HI5wmRogblWqO23pNIJg+ejY49Uz7Y7IWsJtz7W1fTZ6mZND2uzhqogIoKHrVht/wi7zVTD
DjeLP5QmwS2+huYYR8k+NDXQ1pN2Be4CsJ8TK6XsEMFzDROb1a47ojzd3vfrSt5wzR0ceVGJQ342
SxKPgggSJHmqTKdvF6nx1xz8oaZczaFODlRT+FPRzOnfTLKoOr5EC4MxYAWjrh8xEaM+sLWBp9XM
5qsrVTPCGgwN9Ks7IDMeLIe2GYIKYRaUb9p1KqeTYHAPrW9gC51VsBFw2nxu4gVF1w62q/Xpasxq
Dkuc6CyP1sU/wHmLj0ew+KYxn1For44zPBEZ2rcbYGwzpJw+iXbtUNvzoRyOSOSqt7gtw4O7QubK
n4RuOVKSYZBC9Nm5aTk0dbfALlep4bXStoY7Xjon671d4ISHS3yp6wujvuQngpYDeRIdZiA8plqN
Skofo5TYOZ7zMQJRHBWaWcNtHC39iKY1+cCirnuPWrT8FnNFPjOgiPWxRzd+coD5FvYgxoL+4nDb
eIuYXslloEkTnRr8vz8rqprhEDDGv841bI/zamT2B+bWao5rV6YRREDXXknVTs7Cqm8MxzyDuyEg
3l3KZVElCS4yDUpZKB9jOi3HhY0RxsuF5lNGeo/pnWnoouDIPPJXExOEF2yvVYWSQBt2lxglqQlV
W9gloe5Vws1NxDa7g4nZAhNMasP5sHR6QJHBwiqggYUSR6Zykv6MywQu7tcuExwXSBJ+HRtVV6fQ
yOBtmICym4+iDoNj3DMCp1q084ITvAqeHAw10qLMDLe+c53gxnmAa2Ib46Jlo/rUNDz8BP5FDLdY
5tlr7Gr7ScNAtMLtLIUMOVCtPagqkecukPMjzB1hiTpi6O+JIs186Mk0vc5JbF/41NkI40hxJzMq
9OPZpM10h5usXHMGB6fvsYfN4cGxkT3CaRhuckmAjkNUMwwaT4RHtY0eI/ieixsjYlhINLDa+NFi
fw5PcZui1oP5NpRHE2d2OUYo/w8nMpMlPsLjE35sQ10ic7/AtLA5ZuFs9LFU6tajrPKWdFHwHI/W
qaOtIf9CLS4g36ugS7MbDcPz4QKEIU3gwDzWE0QKUdqh2BVLf6RdPabwHVdxiLzyGj3GY63FIeuy
zsIAb3QC7rGAueViQusexAww8DjOEqXhPCh5ORRVP5j1BK8TVZ2XKqri49QMJTmMgRVwEBHlHJzg
zt3MN0yU5Xms/oe9M9uRG8my7RexwMFIGoGL+8DBp5hHheKFkBQKzvNgJL++l6v6XkiR1RnI934q
QKUU3emk2bFz1t67LYxwNLNyJRnWy177jSZD5NF6qq4Tt6geSt6oglzvbt0CqXpmGvnZFcVnLJr1
gZzP8zwyXok9zZNm+Ibbg7CjpUIBfzGtaWMeRHeOeEzbVMKu6IJXLR/6KWRe6+Tk6PYTiXhW1ye7
s3rtize03jmV0yOl0i3a9rLsW9MIaGbgE5/LsmR6acyxulJznBVRtxhtej0l0pgDUU3k/k3SamOf
cMXz5D03xUtST6aNW9+UvXfkujoRbzr5z9NoJMVR1Iw4w1z2LO1qm7QyIBdxoGc968PPdsXLhknQ
1mi+vS7WLY1nrfVVLHgjDalnjp9TdrxNssqcgKJr7ukuKFsCaSV4dJoghcTDZlPCtkdO3sbL7E6s
TysMit8MdIoDTnxdEwyV13zFAH+0/NQyltlf4yTPfLKizZbBjulesKDMPBhtNQr+XBZGdx6a9N78
NSGQsMF1XWIxlyKdmEhLJcYuGJo+ezm3Whs/VknzFk9bUrOtVa1xOkcjbgEhELp7MFyyNQNTleKu
oYB/3Lx5JIKMSvUNX7/pgrxbhky0TWmrcs7TTHaCSt3MktTLAL8G6w1ifmv3iiq6C/J49WZ61D0g
xlJN2WOHapNhVm9ZIpRgDoVvqUR8q+za/UlPM164dDq5lDPJYjGF7ykgmL6s+6Y7/7Ga7Oa7x6zD
YWByLksGYyUBHJBsZfVyUAIFKQndRlQ2vLqHpSZ9Ig0sZ9a+MilkANUORmEhFGjrV61xJ/rH2D8T
0dP1+csoelZe3SHoNGAQlL/O8PMzYdXbebofr+1P+vcozTelj9thLEWzELdKKnpk67b+7swmzWkS
uXozGDg0JoHQt/FrX1kVCiiNyRSTQ3N6Ls2NeX8lrU2Edm70DzkbrYGkI58f4mXy9CgW5LkGzsY6
53K8+yay+PxyuCRy8TKU2fqW6wvz8wG/cIfMcFnW7XWfgTfu2X2bYQdek33rl8ogKZpX6jj1+WQH
LKz2l7IQ2YQadEyvurFavcDtve1+dRN6za4ynDcc3BSjPoD1wC7Gvg7G3GYIUS4xz3es3MfMsddQ
TyyZ7TKjsEdiR7Ma55KYWQIGwBln48sOEOF17rghd/Wku+8bR5c0GiyHmORSjdW0H+bZMPwmVtaw
31grrKjBZ+XS6zrqQbPX7SpoUzvbIp3zz5MHerTtLS2xX4ppXBYGNEOa7preiW0GHSUgiJVskoHl
gL1UOQtZB0Uluh/JOmxj2GpLS7d/scz3Ll0ZCkLeeHXkYEhDDmye4yhn2Lnnt2vFeVWhRvfTzvLG
CywZ5AUP+5yFhpPTEZ+31rPgOdA9RXZp5e+xbHFHS6c6jppsxMYQ39H4VmfY5EarsVbPjiUn4zZb
c61IDvGq+u597DJtfeLUb615QGGknyaEuXTttE4Ou8xq7eJ+s8ZZhRvFv9prprNNh65BRPq12+bW
uU7jDjHdXOuyvbaqJC7umJU542FIR1PRPlSz5Q9drF7SjBZGNEiUiv7Y9DU9w15aY5gXvIGMPTud
ekHlSxEUWeFmd1LrqR3XstZ12jPGeiYP46IKTStJf7jJLH8uy8bOlCxNauy1rirE8+jWcRtUrtC/
Cj5ucqyNetOvrG7YjBPtjoyc7NVLSo34+sHkCZjGuFsuM0LGPTs4j3kuN07AFOZlXs1e5M6ZJpww
N2yYF1bWmNTbwsnW77O5nId547SR/pyIZ4v2Q7svOOjMvpEVnXaV56y3B/SYcR+wgNt4AjcGu/0C
iTVC0hWZNmV7MSdJdtm2q6GO2sAyQp5psuUP7LAap+wSwevebLcquZnn2VIH3CNZs6n03SrqJ9sB
usEMXZ1cerokdid1V5/E0PX13m3jhCUIhKpkbY29x5ERffZSI6l/AWw2vT1hyu52WsgQ+OExCe2Y
+KKwODgIy5NgKO1+JoEnTZW9zze4FkYOupHuzgP+JhpGQlTvOJ7P7rVZY2DABE07e5BgoKsxRJrh
yd26NMQ93iotic5DfE4D9yox/DSTol72fU+1A8BpxuUpNzYjI3KVLfqGvLLKPJPcpv3Q2W7PlKxc
5J1mtJMIvYHkYkWoeFHYR0md6HzNyHen3FKW48D88ZZcIfNkISb229LDXi1TFrqLphd7r0PRF1lC
Z6hUOGevv9KsRXLbkyWzcJTaJsge5rbS96aSKENd1TFDjc3UkogBvUVcneGsvFHW0JSB4RhEnXOy
K6CcyraOgz5f1zkauVXJq6XDOfgmvkHD/UY+b31pk84uScDZKiNw8PoWoWPV7kPNn9zP3iRvl2mw
mn3l6P0PktO36WRDwJZ3TW6pL11C/PmeRcIDffR6LKbXoRqNq0lvZp0A2WVjI7THRH011Sqgymez
wV2imjq4CEFk5f1YZPUr1vyZsTdl7L0bGZnBJ7FxbLoedH670OX31U9uYWJ9ofo+MW6wci22I/hZ
Q7GtS6bt7LP2slah1kJ3ReNo16Pv1Bi7hYpKbQkoXcp3o8y05tQxbIBKnTbVqosGMymSjzNBhn2q
M5t+TFZAn2s8V8fSt7SBp29sAFcjQ8nUvmnKzEguYKq2xS8zmkWBmLLMkH5cN+fKR4+NavazrZri
k2XCej03Akm7D6oxfxcokIggt+Qzw0kMBjJMaZ/0wXbnBw3EqQrMVWk/SW6fyt3mdcMPU5MaR/F6
3U4EPGjF3kqm7YFQ6BYGLU+Tn6MuVB+eAwWtt2po5vi5V3n1snZpmoXblrVXXraZRDQ3BYhT0SsO
MIKuwhv+ZUt+rPQ6ezeHrdOCOm3t5sVsdGsKIdPc+oIsEO2rRonlHZeugeW2N/LQOaJkk3NRwyWf
ubqpeBL16MmgUMAlt4LEgqfSLpPmZIC+FUf0kbkGFjbLLx3WuF/mNh7nHSfXLvZHW++wbZYiAwSw
NVPjTC0WYp5nRT3qOEz8D+clq7ohpZit10QcbQRVP3O4gGNaLsuK9YTE8dK2gpJNh+8GKeJS+zfG
U1qxRAQa//hDoSeUAGlhD+OVwIO2fliGsc5udYw1zVO+beNwOWucUXrfYrKbXLaaaL7buuXSZBmJ
4I4gfOshTKoWPBBUcKt3jemkdxXHCDLX3Wa1doKMdTugeVflwWz3mhZ1HZM0OkEzYODQdMK8Kup0
NS6yhDPsD8q2wjusnSRBG/pzHi8x4q1vJ4LA5oBhu8MBb3MmUfiotOofQ584t44Dq7XPEd501CSm
8U47hrE7O+LY74XMiYbJHcHqsk3Ay5HF7juyElg1Wd2jZROn3YGzXmFaBUuNa26nHRBfbCmTM8oY
P1nVTGSDG+voqDiQ3q5m02+X5ZTq4HqzVjnpVzdN2scV8jE/zInGmWvlVbUhVmx9OLkJXin+qrUJ
OJy5OmNAET/PJLAnvIOLGbdd6OYJkePnTv8rVC+4Wq9Rbvj4SFrPKs23r05pmi9qLjvCfwi4ErSL
Vl4wLck1NEZJmmRBOxZbebtCdPAGWODWs72Jhl4E+dq+KPLEC7jp+J3EmmNusOEK8CDhcGX5y9jJ
H41n8f4mXZVcmdkE7DzEtbHix43d5AGxkX0b95r7Gm9pfO/kcRxfiFQrlhCmL99vqaZaX0xEF4SF
VUjpc8QZ6n3Pkf7kCQDtEwKa9DYjBqPw7bneTmnitVqYOsj9z2HonKJb7rXwq3Kgy7dMW/+YzQX5
6qLDDI3yehhewePsB0E+1ENcFRsfnLSbITC9AThO5mr+1op2+W4Vld2HKa1L0IgqG45GR8RWsBm8
RJERN91T62r6Vyvmt4sG0yYpsJ0XduTZ1fiHsnXGEbBHvTVfyr4cFJRal/e+KVfj1nJrbK+0HAsZ
f1i79kF1jQS7T6ubpaap6/ejXrx4eOovPN9L3YU9iQAD2e+xe9taeb2QwO4m9xDbbh42KZhUXTpD
6dewvldIOjgEwA3Q6cOG07nOyni09/M5XmE35BN26wOojh1gl97fKntmc186PQfdWbT3LAEL9WVq
JVrUyNU0Q+Isy9QH82a4nMt6So8xvLgd2SmwFxAafQNOSQkNm6E12iXgeOWpE6/PtvIjGawsQy3c
LKAHJS7taXCTsNBLlAN6v7a9j92maxIQ6aUcL7rkF29TgyA4jpcyz0rVq1FZRhp0dZMcxNY4aTCQ
0f7QxI77Os2QYuGSC35c6aju3U00Fr2c8PoxrMyYXsQZiPyZz2L44fVd30bVlGbv6LQBTy1DVU9j
6y1fu1SvbryuXNqdpuzxZoHmSc/70/Cz7i3t6zypDlSgydeSHrZj3zVSGk82ShzOk0blTn5vTlvL
Tq1NLA+OAuMVpUrXCydem5eRRqweZkapn7IiRuYxlzHHcTOO5Y9OiZkma5ZtF07XMZz0stY74RUK
R9tRFlT+WG+rwMCIjMFwsybvhQYeDV3pDeWrM4jsfKStjYX6pJdeIApEKUGZ9M2PYS3qNaAYQ6Qi
l7hb/cymAwZM7XQGv+U6tz5oeP0dO27vSFzNnAeOZLkOrBL2INrWur5bM73qebsbame8V8YshLuj
qKbcmdJAGayrJ6+ZqwfTpa0x5Q4bfqen7mOeCPU4TWa1+j38YUROnW6Ey2ZxeLTGytPoL5fzG0Yd
jMo6V1ENNsm3FHEG1f+g5Q9GFZtRCSx4cnrArM6q0wmkU7MA7xsPBq6E/v/iUtKBDas8v6mk9L6O
NCbe21gNB9MEMIxoOI9jYCLjCM5HTnzNd4njTE5gea26IUFUPG7pXN7QfosvR7R/tt9hl/9qClpJ
kO9dddqSxX2zdXywiAsTVnMh8pZFZmvyDaR31C8gmo0rTentGGhaub1pqeQlonM7vCTbMn1tJkhq
/xxr9M0rlhVWpncZkmTCzi855ZdMpWk8J9hEl0oGubcN3wwmc7y0rrW8e3Qz+Nfwpn+CbLMYMOoU
E4G+6d53Mc68eLx3fYt4grlkCDrXvAotK7fAULE14wmdpgYLoHIfrImzLbtaO11VWrrVPKMUE74+
u05JcS2JPpzGpgOTGmpq67mv3qDV3Wed2d3qT/NaPWb6UD+ZyH0MdFFLNYTuurjgwlluzsESD1Ua
1mIkmygvsviaFMsB8rTNYIHSsvZePaA7l6ZRTJvDAkW7t9y0/Z5QP7WAxfm5e6Hl9c/N6pcnjET6
F1stNW+mSH/SvmSJi23dQ0zlif4y17f6R8W8rfbtpooXgGHDOubGnHeR19XZU54OE5F0jeneiyTn
eJxt8djw8IEChIkuS2Nnuxq6jN5RruvXUllt1HaGTfGLgBgouxXibU3McQtc9DhvG10Q3lXlbmZQ
tHnCbk6aJiqePrV4lfC1+uGSiW7y+ebmysVHBJqf7r4WnrHGyQcFzfAsjrMyxyKFmxPlkL5UOAV7
uebkJu+cY863qjOoioCDEXuMfeXduZzQnza97YTPSxSTGNSPtY8bXDkx7QLm921T6DerVdtfhXku
ytjOJscfckPZvgLlGMzFx5dieW4WTZLlyKkNtJo8i8TvpvM7awlafJFhTPEWKZRyKJEmlel+Q3uB
7wzPXIUlN3H0s3rK18ArBtNCVoDhQLg464BUYW7TLMoqPZ4O8NbmEEjBceSK1d/5LCXoA69m2y7Q
CJ4SdMDRSRh/8UdLGHrZkFtkF7syWop9ntvHrbsh1u80iCfHyPcmTsLMYaNGyDDxvECzh2gyLujT
XRtmHXbimvRWSgIZ2smEJchxpuXZi+VYSYIJin8ky+Xz2gagizQZZToEwn4UXmuF05fTWhnhCrC9
s7ouvShkNn5Gnn1ALFw4HsN1LT71+VT70T0oZ23EmLwoI7PT2qvcNeL7BM+pf2RcwXdxwHV0LmBa
AGrWR89Br1TDPK5NFXk0WXxk6lPQScYT/2zMfb6KSZ4IOynfyv04SGfkMHNgrKtoiRlsUQIx3Ufe
oOufsQEfx9znC0n4I85QNljHR/3uqDwvic2+iuq5cX3D7OpgE5UiJEUX//Qp4FIeT4JlGPSUPOip
P43qypI+mMadS0ngfdKYg16XdfLPbBXOv4+l8wsJwzI9V8iP/sKdHGfDm8Yy2hqSkmAf3Gvhatru
73+fj0iFS9vU4abRlLcRcX2kRPLBFaax2Xlkj+X2qKt+vqJH5R4lx4xIFrb6R8L587fievRbJGwP
DkMfHcjByinoKtKzW6undbTmHGAcw/4E7/mP3wpKif9SSB3Q7c9faGLqD7BCjHY96lqEVr89CJvD
i6BXd2ihyD55ys+wxu80EQ+eYfClAOp4MIRzhj1+sy5c2620sTqRYXXe3RYhrnXlcIzj+EjrRbup
0/Izm6WPzzuX9M7PhS7ZjITQP3xFjFrLlAA3O2yaLD40WsWUYxzgVPW6/uTb/fVSPIfQajrFinSE
8wG81oZtdZxlskPN9OpAdC3wR0LHc5nLz364843680aannleW03TMgXPyJ83ki3MWUe+bqjFKS3Z
tJdO2HcGR+W/f+z/03UE3COPIw+k+zE5lqQzNJFxJsJCWdbBRnsXNItrfrKQ2x/vnG17rmQhZ7tw
Gdd/tDO2Z9AWD5nNboD2vayem/vxEiXOvbHbdvF+Cddg2xXXRuYvl/1R7tvjFra76bp77e/7wZ/f
i8fO9KvgNEcqnKM1fFLhw2UbmKG3Z5zrMzU/ZkEWYj3kg1hU227z113x9vf36peD4u8/yr+/hXD/
/S3+YnWkzrs4XGK1K1+mqA3747CHR16oim5N+Lxn7FOjJEyP1YX4hJX7RUH+5dISUgJUz3Epf/58
HobMY+Ysumpn7rfd8jWnk/Uir6pnaeyLCxo2x00GpcvU/rr+xP3nTK39ceXzIgVk+gsQZMv/cGW9
d5hV6ACCzlVyv17Ft+Mpu1326ssnN/fjUsUaxXU8vBxMW56tFv78hvYw1HljetnO8l87v720fD1Q
wRw2gRdt++TR2+MN8MnTb5j/6ctRdEHsmiY75/m5/W29qj03RsVM/Sr25bG5tg/jId5tp/zaOWhH
4zNVAujyX26lB9RhCfT5UnzMJ9C0wq4twMOdCpy9OGk3zXV/FMHi/xwjWP5ojrByiGLfCnqfVKlP
vqx1voMff0nPBoFDl27a9C3+/LIU9G5sMs7c4Qlw6viyy0V8dI4yHA/zgd3hyr23721a3k0w+1ug
cXb7mf/U3qxbee1cu0fvmIReqF+4R/uTO/PrPv/NR/u4Pqg20dWG699uSYiAjhIw1OEwGntZBm3p
z8hnmLWjdGt9mCV6O59F//4yZ/7LBwCnNgTlLLjo+UH57UFwacvnpD5lO+wvD9bOCzGOOpmBOsio
uMbf4CW7GG/iFk7AF7fxjdiZF9pRD9Vl89jc9idx4ED5yd79y2/2j890pjw9tJj8D3bsv37P3z5T
alRDPA5gJQzb7tfr8Ub7Pj7YF/1NcfIieVPc1lF3sz0xwq1f9e/yk8flV6byh8uTR2c5lOCea7K0
/XlLWtZxvEZKLRp37bE/xiemcaHHUmPu2usqbINPltePCwCoKQ4mFoWkaZsWUOif10un1KQdt2a7
NWgCeVsePjM1/GtxYgkoUw9yFqaVJe3PC7TrAKPHZwiBIKx71liXRpJmVrsiTYvXqawhN6yJ5fzv
V7bzAvn7fTz/fIJCGX2CwS74Mbs6L/E5VCvzstpp2h3zIuPYIWvc/fOrOCgBkOZzMvOcD3cvyzn2
ulshwlT284mowbM2tv+nVeuvR/FciFseJwsK/z9vob0UKdkKuUD4KG1mC/oclDki0L//Lh+fBK4C
su2YLmoPlBnmeSH77cHPRtq409haodMjwXK22Nix/9W4MCR2WOlZ9wnK/x9+IY+7RnUiHNd0P+4C
tupsxRTWCo3SmHa95s33Lm40P//+W/318UN8cn6PPZB0TvsfNlIc4YiQWrgKbWzzJqMnsJ/sbnhE
86ndbgU0TColjaq/v+rHyksieYF+FzCGrPn2x5O6N21eMpepRUVOcKuXMCmOxZj59dyu/77U/wqY
fpMjmTyr/7OAyWeuO/+pXzr/B/+tX7Ldf6F18DxKKcEuTLvh/+uXHO9frLM8FRzV+K1+7T//rV/S
+L84JfLUnNUFLCTn2vD/CZhM819EKqNsctjPWdPYt/7v//kjZeHfgrPkZ3P77zXpd1URq/ufJYpD
XYC8Cl7FoU6hzPzYPSCUvQc8A9Scp569OMbioyIQzgQmvELza6pH7Ze9BH4l6GX1tHG2sMdlav1u
r6P4niRt7L6OxpgnETY12ggw5qw5g0MBZBy063kIODZoScbGS7Odjk8jaTtjTmAhtqHLAr1Hn964
6Uo5esG2tGrzbQZP3aWu0/qCjaHFiq8F/bIrlauuRorf2yBPTOO2BRh8hHqKxrlbi+eS/EBAxK7p
q53oXfWuqnZ8zZPedHdArhg4ra4TkYueh9hwXS+6tTz2U1WjCIQ4yvLmRpvEEBXVpPir2TOGG80P
MtrtcJj7JiQe8rueSeuCQdMp0ZM4SF3CEdMRP44NpMRvs7b2W+huqCztgq5zewH2MQQuyNPOcHBl
WIGG7cEub6yiZtqXulbgWuJuWLcsLHqmoNmqkmgmcOB6Kyxa2+gnQtQEd7iuOoz3+mt7WtLjmK79
A7NaJ4JbkUedU2VgrOBklj3+xPSI5J7OvWHQ0x+7WTthffZuaOsdk96NkX+i7foleypBFPc4Z2w7
d82bO6M0v3t5LpA3lCIUjGSfWrhUeghVHQGZfNcS+YqhFU1TU2/2jr79sJxUu6GX30Ym5lC+YPEO
C0B032yy+aHwppeVl+C+bfmqvdQmrNaS+Kkgoes14wk4EFTXRtrggGHgHBAY9Po6X7pqWh4zSFf9
TW1d8WzOOjMi+v+T80BbfD2S6Bpbp2Gm4fkWz6V0eSAbTQsGqwK9u84z2n67NoNv3mOCqF+25iZk
5JVJl57SSboP2jLWBnYeqzaXOXOALjNUiA5BrtOVHBkW37or7EITgbLXtnxv9WRc18vEnQbPvAUS
0VSCA8+oG9lp6O22DpHpz92eeReknki26T7R8WO7kI1u9PDYvfGA14P5zd1cGUDDL4cJ6dsdQxLv
blaIZDPTRpewOMwc5zFOAycbnRceWyvYtEn6DZ0sOBq9Gg8p8c1XfZy373h9wRgkdYOhF0eAk6qT
FX63cIchatq41IbnIQOaC9y8iIMCQ4QgSVR2bYDfJm5jhZ1jVQExWMzvkBSltATinKdYotafLyrW
Cwpio1xbLFjwldoOA2Y/AYaw2oViFHgGr5lZxDAWQtPWyEsBbNMs7obLAUIDq8UWT4lwqJe4xyaD
mLnvHo5Zh9Ke2ylQaQz5LJIkPkyxlvhrNzylfWO/aqphFlrNKdGLSlO7dWrTW9E4654WoBF5muHt
GlnrO9H1o09weBsAuTmIFgRqkCZ72Vomj/FYd0dmB1rY593mFym5Mh6CqbsMqoMOeyXhJxJh5fJm
4IB00cdtfWxx2SfXCfMMYGO1w5Spf2mqVbtoRmWFqhnlldxU/g0ArvaLhcc+WTduhoUnlrDPf2UD
DFdKlHtZKLkfBoPxRNG72QUlmtzriDX3Eq+qI+YDegBWuvkw6d5lge/SdVMLK2y8XD/ozEQvVKq0
Cyks8ZTZjKOwYGPuPfRltG75cUiX7kHnPYG05pKMYroHsYJi696vT+U9Jz0rlq9mL3NCfg6um439
y69fsBlaHcnkZoXSPP8LmqN+9ktf45ySfisa7JMWJbRT36TqmKT18ghZzl/LVXwzYm8cGO5QBmnf
Zsd6HkeYHYfv1ym1U3rj7e2pQDQA6HnEdaTCXHA1bzoX6ECWPD1Za0M6L85XGa/5t1/Xbzwn/aKY
4O2Lgb+hd4l3/eseNkmzPOpLNR5lL9LlKint9IvOq/eWDLa8qpExvS35qN8NpZt/G9yyDod+y78B
jPQv+OBv35dqrsLKxT7dlzPQPYZMztfC0JbjmGjeo0vMy0OPQOYZYQDTJEB3P2dWg2lJLS/heWmz
mFK9ZwqVf4Hp1IVnbF5gMOxv5Rf6rNiyHdsYdU1xvsd09njVN4bCJ2tx2jzFRkU3ksanz2xCfJTt
NJ6QxA2937p2cdSwcHgcMts6MYEk6105NyiWHjBtul+dGv7a2sJGqii11d4sh2PtTjtzWg+TZX1v
pWwCnRF1KJOhPuku7oRpK2+UBT/F2OlWJtuXOfOac1YT3pAOzj9wfODC2oihwYxshz2HiWIP3uMl
A2LcyW4jhC0WVlCb5JiESCXJPN3H2l5cAPoNez2tp8CBUwuc2sUEKLETRDo84oNyYATXYfzmdoYZ
MN2bAeXXZ05kGfe/eSzM+HXq4x92x/DTqLUHo1fdNXuJF2DaVh9oRVVRPimebpeleMI4L5o3iUnj
WDhPS2MvoZluw8uaYlfngqhcQGxr+6GhdVBjG7J3hvSIAeXKwi3k+6IPu211DzrgQLWWii0r2+6H
MZ4usMbZD7EVzsqxQiDW4sYsNPeqtZc0lGoEI3UzeXFmeIOiGEmcdyCb2/QprhM4BRWvvuqGUzfm
X7px27fYLsK8zs5+BEn3O6P4kYlshVA4m/I1Zo//ohS4SQw6JGg8o3QxUBEa6wGBRBdNiA8j3Vvw
OnQY8Akld4lojmKdzXDNnfIyKVsb95RqCclRk1FdpiyDzHxPsw6npEOn877me0JyHGaD7RFPStbq
Jg2IyK6/ocJZ2BRH604Jx9on6DwCrKa828oeu3tjcEjycks9rGUpH5reNfegttahYBbd+KDykMrV
kIWDbsC7YR5VH2bH8O7ixDpSDco8zDxlEnmM2xkPX5pdb0NV3kA+VzvWagAUY8XaCY++/ku/CqfD
xjqbjjJzvZCCVOZgEGwjzmqOJ9QLb9ks1+vYNNQVDh1l0BTCCGXbVneZjq5j6+C+DDbpKK6Ir2PL
c8YwRp62710AWCnmFEvButv1et4/VmiDepa2pgknAnxfEf1oe3cCiVrsfkBlk6jjPFfOabXyGXFg
p+GJIwtUnINxYTm5e1CsV2/L1GCP6ObaTd70M49pUlwaXr/tWBeN4+wIWAgSkBZwe83Dq06wyBA6
Zq3ggZjGsR26YGY5aHuYZJpCbOek3mW2wRC5LdRNWzXtVZM1iPOKAhOhFdaxXvT+oVaIe1fkN0dH
EjPVFu76Cq8MwVSaWRIkPfgUpwMVuva8RdgSYtFmN3akmG3vGc6WDuoXm4dihQInncz2dSr1MN7U
eou5qXfX4ihACb3sBqfQrhV2/j/4h4tbD9FaNHas/zNCjacZ9YjD8dF3Mi0/4oF3ssB1Q6dY158J
3O2bbF19DwyKTi4pwgy845DlMfP8OFb7xcgVGyLWbrhdxyP1MXuSzON3r6rI4ShdoIWseBkLNVwZ
fdbciaL2AlU3z12GD2Sb6vDWfZE+epSMIcfd7OhguRdYIwXouE5OlCO8jKRbv7Oj328m1CcOVaxo
urwGUb6PdZH6yszPFkTKnA59z24Se2l1J9AAo0dC64ZW1v0Chf2YU9qfEnt4c73ph1461F62ZoV1
gbaoVAabWWJuzshyWfe72cy/Oyr3winJv7nlxu630bI0pu6m5x3zC/gXf7UndtqWwC1KjSFIJByB
AzyG3Yi+RfPoXlV1bV6eLYH39YLnEzrN9JlhFHOR1ivlBUIRK2jaZKRUNsFXeS+ntFG7pWYd7Tnb
+Sjh2l2mm98kjpEHCq76G2FlLIpeeVpbsEItbbxDLLL2DntZFUxG2V3gaV7zM5lx2JfefJp0FDOZ
vj6stXQQmXW6nzE5AoFXkJKluK5t55ssh6e8FuZOd4sNy1A0MUbhQOSh+El8vSx46bf2XnOpKcmz
Pv+oP61Muj4w83SbNGqJxqL7iT8OhW6H9LpvMfAb0Es+mOl/sXcmvXEz6Zb+L71ngXOQi94kmbNS
s2XLG8KyXJznIUj++n744UO3lRKU0F335uICrqoQmcEY3vec54j+blAKtC3w8fTDrOAqsmonYbL1
wVNbV0rlc8BagnjxvtJzrPdp3JhbV8A9RkH/e+h1TBh2T4/O5HdCYBfsB7a6XWYoj2lp7A0Fgkxg
SnXXGbF9M6Q1iGdtJtM+Dw+UEEM/KwuXVSRyVwSm2ZtKQcuT9e28lbzGFdu2Uay5pIf70DKZzpzA
UYfP6n2A5PW7XIR0QzDeTUX/S0On/q2QDa52s7pvFSN5DE1d3w5mYzxzr2o3mNlea9W1D8ByWAtF
faOOys2slte5KLbS4aRVhErlwXQr9qmdT3utNEAdu9FLOsZXKu/1e6DZFhiimt8RPGabxe4hBWS0
aoJWw1AbTr6VtRkmhyzdWh3lUSwplXklza64l6bTET2e4CZGlr5K9VTdDO7c7dJsDtZmEbrHIQg5
nik/BaK1k3CH0TdyZfgT4O97wqKb+xj13I2J2pDQRvzraVoFi6ekuM5iVW5n2wpOUlPYwgKHqjmh
1XCEOPMEvExbleEtvbXCn6fWuonLCG+rXRKgAHVWnqwujbA8G9bJMnQcNnnfXePJSz2wgRjIJggh
MbbobVONYIM0bvEeccSvOEIXV2A03I1TpmzH5R7KYcVGiNyB2Rvq/sWMTGSGjT75Gb4ILMJ5VHij
0r1EAwhMQwBaRmutb+3Y6q+ADv6SAP+erVmCzQMeeIit2mT+k4RG6ePHJDPswdh/VvAu1e+FIpqt
rAPxmLVCvQuHzrxK8Mp5wSgVDubu7BFQER7jAsMRZn7A2raxKfTsuxNH9s4xK8uvBkfgL6uHvRyc
FhlrLVk27Lje2MSs3PJ08ZrslWtzztMKxbC0HubEfG5sc16Ndoq+EMmXe1sUxbyOXb19KRGtekXi
8NJzLUB1rHIS6fsCEJy0EXRJ4uJgNanHAjmzD4MO72Y+unemkQ0PraMj+sqSRPer0pjuozLU1tyF
011Z4FsWYdJfcUXt1qUIxX6ItNbvG5k+IvYq7w2c5C2mvck51WDxdjkg4KNRWul1HzjD6zSmrON5
DZ84zcKHnCbaKpudYj2WpvKjA2K3K90ejWSDnzpX0vpZrc3qEPdKVK3CNBk3Ws3i0plW9AQ58w6W
5Mnk8h9G6s8Mht03h3IWnimRbSrJ2bVwg3o7j9a3uM6sdQrH5UetZ/VVGlbOIqSNv9eVyK76hEOA
ps2/Gh0lfIK9e9s31nxlQsVX4ZkeQxnNVwGehpVm9uPOSMeO00QPx8Lhk3OTsN0h4wvXlmLmKwxN
v8vRaNdBErwMNVTcrMlPDdevdm7Lm0aMxZ2wJ/u/AYEimPBCMg848d0pOBG3Isb9tAKNWv0sCiu7
4tVhecE5shWTTldOjdo73F7Gbc9la0eqmHqsKDp4MIszbWWhivMVm49leUcITMElQYwMZuSLE5xg
X41sy5+jGtf8BPPhfhHX7cjYFVtJNc9zrVxuXQrVHrJj5YdbBaanWnPkI8nJH+BRjB6K+4oXE9WH
iuPQBogGZ+VEl4j7LUtnEhojDMm0HqJ1PunDtjSSaL3Y167TpA+uRxR4Hgda4Lvo9X+WE38UfEMk
z51a2zu9qvP7mWP1uiB76ZvdcT2JmrHze5Iyt8VSJVDDXt0oCbvtlKp7t1a7HX9XtHdHiknUGrKT
OWTNNqT6/d9sjrNfhajgSaddthNl3m6HOp+e24rFRw3dBtJDsWBc9NrwqnJ2fjmYY9ZJVfS72eqc
HeCQcjNRtvmRqf20TiDYA+zA+/zq9mrx1DkVAhiIku69VjnqTQ374XfhdlAYB6fxuk6Yf3rKSX6Y
TqFfJs6IfyMpNm5PhQZLmUUBZayeKEEFLz2N8esgQZpRdKKEiQhRPZQkKceQTY3QTK9lGNe7vkN9
v7Lcsfw5jaN5r4+qXJljMj47IOhZQkznZYgJ264UddilbNy5N8rJvkebnTxgcGMRLmsgDfly0S4m
5VCO2uy3dQRQvmITKiNuzaswp4e2MkvNOaVo/o443mP8BRL/ONtOaK8GPU9uu2YWfgYltcLDETsc
HhpxbdgAaI9yRhO+jWyjhU1rrxW9S32zEnjDtQgJYYrk9UhOQw0O0tG4q4W1e1OMibin2paeNFJA
fmULgAGSch6vGjk33oAZ5nuuhaofTOz/DTW3RzO0g6Nr94qfTYq+0d1QHsqY3AB8Lmi6Saj/01cl
aG81vm3rcLjVczEeyiCnfgZpchtoNWtjOp9czQ23A/XGq0SkwZ3Cz8ahdHJvdVzBFDhtxyPBqDpV
gRocWFvz6yjVjHVu1eMNnwd2ginsXqFtMI/CF3prL2CxH0yKq1dKUXzvtOAhxmdC0VodfOIBMFgy
TZxIf83zvvd0w/1p98k6y+ABNzhUjxQXs8eOTjanIN1XU/HNllXs0ZETnjqFG01D+ilpC/kaX8Pa
AKxgcZBdYXoLvQg92yockw0cxGlr1QvGpJIcMKfqMJRh99AoDtOmTU9DFOosd9m8GZJCepGm64ca
QISfddNTWPQ/ytoF7W/167YYNiW3UUi16nDSNCqIQZDv+MDnVawpwanqOlgyFLmPQi3EbtQWwwTu
dHjTQAJCCPqennTJ3rYx3k5jO22nBlsORscDoIjuxDUpCdnbzZdBJIkPzgVPSq/fGWUtdzU0bHMw
Yk+PjXALdcP8Y6tV82CnrbKmI0pplhx7TgpZ4hmNZu9kNOIT6pKU5APsT9ytXEr3fXqShUvtlVQK
iVcBBL6TJD/ArOW+gAh/m8CZPcW1ApskmXtzzZbi3iCqitZuPDyCsEFD3ooAIIdcaCEdSGwU8Jva
DiIsxVQPYNgoPoEEpznkRN9mlG/7vgn3bmuXp4Ja0kY0knuUwSW7gZ/SO6rlNbamHIgZ5smYDo9j
Md27BUdljEAmsjA820ldN6vlZqW70bCuLRSlsTUegl4f/VZgZ5dJuUcC/b1qw9NQKa/VAMVSiXWY
xpOIr9WwvVMnbAyDgPkSqoHYkWlh40t3OP1Zzotjtw23leIHJZ7aG5CXcIlyov0E5tWrguXcnuub
clzgBn2+VlAV3A2VwQSQcJ0LIhxarhNeMoPEz5RBWaWugSNzlM5NxMftmXoVr4ckzfcOyQxd15Ix
W/6QC6BkIqy7xPyGQSz+3iZxueb6gOmP9tAG/n27sVK7prsxqz7NiZOZlI+jlbC/NdRkC8O+KtwU
t15DxwBTlVzXhhjXcz4CTHGqjZ2ZVPcicB9lAApeb1LjUSjtc+9SptMNivMhMBV2TFi25OLAMXEk
CVBOezQd+a2d3JjiVqlu8kr9kTj4a/GIDTu7dx9LmyNX3RnjSY9gQXvcRbeuURmHyurvhV3RHRmz
4Zq8udCgCgAk1C3HeGMV08bVh59D5D5YASURQiC2rPQ96nk9YO2tnD0tZPWR42Oyjd3fMzkm1O8K
ir6q+8g58nsYjzdcNGDiGGX0EPfF60Q/5zpFer7pgZqcTEV7FQHeD7fy1XheaQCRsBbPBbCdPjoY
zrhlxwTX0TMlhBbL7bRcAyC+48evXocu3wMf+RbUgemXqXo/E25xSMI8uWrAVoSulvioI39hJaC+
lXPv0WI09URgtPvUsDheBGwf4MuKqzlJDtySwoMUarXVFe13plWPYRr/GvDKHsJK0XapTLJd7mKT
TzmwHsMutLYGRzUCPNIGZIsjdy35MuvJnl0MA/qrkQ8ZTk593JdKPXlWVFV3hoOTjRDd0g9RmeDy
iZu7cNanLY7tZ6KO8vhKhtKPo0eWdLnPcox7Bvr2rU4yGjyfMvxZjZXm9yVetVlFfcS5a99h0uFp
FCK6rWFrFPk+k/Nz3mtXLQr82UCXU4/9IUsJduiZgLEVkDqRJc9oQe543/vRAHdBZg2IKra5qVbX
VF23bRrjOw2wgdH6q4Eh3MYR/6Ghz49N3U6+0lb3dNrujbHZ9Hq0r6Ci5LoO/b4O1riK+Qvrqjua
Qecjp7ntXe1JCfnUq3GfpgDq57p/TbGHY3rUXtpc3WPAp9urctLrk1OlOntFdx4028i8wQS704YH
y0jXiE7gYKX67ZiU2or+Wr9yqVD6i+c6K1uX+2RtP0VN8QNSCsffonquR+XWSiPP1NoHE1iEh75+
L+lERtwW1/R5qx/qnABgGFdK3vlsUf6YVd/UiPwjTrGbwjauDa2CH0uUxL53g+k6DMpd2cV41Z3Y
xJyRB3Rm6XUt/m8Zji8zgNCD0jjpYVAIYOk6BOPLycJSOEHZWe8ThoP9vg9Bkk3jcx6pcg398KRz
bbEG4lob7CxrekSUgAQdXDLeQxoIG6cWh9CJ3GPdYjVe4UwR3ymIWaT9QZMpgk7eAOsEysY5zuaq
uc7tLt5Qaqh+gA7ubkdhJgclieOTq8wVlQScjmFuN6vMsLfUWeJ91Cr2BlIR/h0ai9UTaczyBcFn
vWrBivpM8iL7BS+E2zrnakjZtA0IWFmrLS7AkaOcUqWvtj2YHjwplFoNWdGjO4cD5y96urmKAyeg
9BQNplgb/DIIdZGFA4FoCSvz8Nj7om3gMFFJDqlmxIN4iIkB2Q1iHNZm2/8205TKA00qaharvo/3
/IIep0H0tlOPA0WWDYuGZR10md9ruT3Q0iC1sJ+ezKA41CLtVr2q3tr9nK51UWVeHtRPaLdv5aB/
oxUKLqKi/6/YYJ9qLWz2xdxMPmlnv5uw1riYq8SIJHb52JeDODhmct/NqBcDICI9cDuPeAVEeOZ8
B28CY2QzlCDZiXXLcDnOhfY8EOAB4LdKoCLRaTPV9M7iFxUitVeA8jm4hmI70RjFhzz5MJtaL8+C
1B+d4JrclXtwEL7RohmLuqhbsfvshihTIRQHm7K3fraOhoFzzMAozFTzqnjJFeqewrL/7aqdXwcu
rRTbWgOniJnHxi0EgmpTZlhts0z9badxvlNshzwcQX9OpJHg6ADgygFq1mfZsekGP+ylvS9F8qyU
NCPSTOeo2F03ijS2ZlQjpm7reyfQuHJb950tmhusfqPfBKN9BU2r9wPwHpshZ1dm+TQOTiEA1YSl
Tw86OnRDbG4wsZVkYXFsp31OMT3gEirsMkfo7jxpbtJek4xhnaIuPrbkuqwBwe/IU7hJTKYhsQ3X
acAFo0nSNbDlNZ3LGHi/0VABooOb6smNVEUMoUnVV4mAqyTjON30NOzXEYZ0LwUMwFc3gb1zKFqr
ti58hWsBsObhysrMh2HGZj9a8g5jA3VGoT6RuQ7WO6zwT4RltI8H/ZcxUsYo8xPZIfl60ovspIZA
7Yj9A3thclERk8HtJldEQRWXix1xVDKh7mk8DUY1ZvltGVaa8WfWAT75QU33HhRbVg57o+xFeoTb
Yk+rqm4z40RPltgUzRpS5OCOomlXddVEwKwy5PpQQkJFSTZW6+ICp47e/EqqKKNO37Xz94hS3XjX
UkqqME9K6mT8o7ROHffPck2W0xTdsr8HzQ0mm+m/czo6zZpWe0W9PhdC3eWYutNNHBRkqa5GWiUl
hLe6VP0EsIB2hfqDA6E9iegZxE1IyrVliupepynGaZp5n8ZXowUV9R48rsvBNYRb5fdolIpDEUZu
v3Fpd1O8t1wMppUBcGpLGmlDrzmdy1Q5htRep2s5BjxcEJSUtPCatBBxQAxoS/DToMUj9m85mj+K
Ws7qwZ20GdpkMppat+bcYzs3MeIJ5rHMFXulKc7kE2UUA6HJHfcWNYWD2Ud7GWuIjA1ZF+Yw2F4G
zG3bpa28xzeGFiSpahjoQQDzGyTYzzyR1a2SKgs0oOhmHbsse6mnFpoDTye7nwdhPeZh+iNsxMZO
IgrgWuDpQM42YWrcOjJ/NQI4UyhwyJOfGvOOxnl5CBWYkB6rYT8/AX5ynP8ODdZtxh/so1u032RF
Voaso40SBr8js9e2eSa2btJsq4EzcJNdTVas+UGiAY1MyphWSDTThImpOgp9Q/OCiKqBfyySbt5r
OeHbTe0i+xHd+FSDQKyasTwGnc7ljWPvUeZoInN31I8Lw8IXy0sqUJhT+m62jWKU+3Z0py020JdC
ca4j3QUdEtcHCUR5y+2IsM6cCCk+SytaKyHrqK1XjadGfCESxte3oBWsx6NunzJTBV5TwTxy0iTY
K0Njfp/GngwrOX8Hs/Bacujwu7HZJu0c7AR0AC/sMMmQlAPhv3Jf9clJ9n3ZX5dAWbblIB+jMR6P
A5WvO4zi2dqSguS3WP1ZdEXkxQAz25WBG33VzBU5FlzQYHgMSflL4OP33XnemCN98jFq90EXjWv8
rrAes5pGRD0daNoZO6wove9OerU2NTltszCzOSWIH32UcFMu2vGOFAl7ZS9gR1t3E8rHAdgI9NAn
kgjvTRi7j4RG48DvZ/sOTZ+7k3UofJor9e9AZrCOYjfEnWuN9GZabdfCbjs2TctdIqFTGzXkJhk8
/Yp9Vln1RB/s+dqpuzrOMUZM81rTOKC4P6+NQsr5xgFg5xUpYSsBoBN4eOlzanP/bGO2tlJPHtJk
WHhno7OmDfswj3l+clNIb61bcxoUfef6Vp5gizWNnMMMGilQpQQgobTg3YOuKScLupE7/0Iepr9k
bmaVd53L5VCnqq9tIB6NqAWmMmk3nRqpB8iX1cs8uNQDVwMPemVm+UzWT2Z+T2O4k3Tnqm8o26wj
oseexEEanHAqDvOyZK26NiD3zqkK2mHFVYZc0KtVai6VWy2kUg43WqvMO84cyRNEywjNUyQPehuM
BxYwDtZOkKVeUzEP1kXQyMhrekx6JM/JSj2A+eXrM7p+dF659JETNfQWyvgxKK4aN/VLXOKHMSzN
e8Wy24PT4/kfI8W+dfNx2tCTSHB0R8V9VBW/9SbUT3zEC+ssU+4w0t/pwkH33ijmA22RLaXjP1aT
ALpoEuILSGEpZ9O8q3rSSmAhBJii7TAJ0ABFc3ckJuCnkZXf6Dz2/gR6ra9VZZ8EXJH1OL4fUxp5
5kRtin1459SG8gfwleqVLri+qdwmelF6Yz3LPSvExrIQ9Th8JOscz33PJEfmrVmBxs5sp6dQqA8D
TnS6btqWzteCaZXHyuz0vQ6ZyAuQpntDLDezk/LupWzjW6GaWDzcgn4k3F8ylfLQtxAIfNOrTlyH
di5gYTQtZrCkUT3h6N1ei9IJOKnefJuT9AmjEJt3X79yAerukeChcijlA/gTBXDdIp4GtPFIgSje
9PRb6NRj3VUjL2hcwflbPnIETQD+sE7UIFI2xNN/n93cpTybgdtoVX4araMnLm2yvdyVbKSKFGca
3S65Ci3LIn1Tim8G6X6nTFrZBiFDvB2JgkjQAU1uPq+XUj5jU99ykpk6eG+X6xx9bXclorrAwaEp
Lz3WuDV1Imevj7F67fSTyVfHDAs0dCqShDMPPRdU48SydwbqALBD3dR52pxq13PZ/UytWp5AVKTb
LGmnNbF75pFmZHttjLjbB7V4LZiPfkWa0REKETt9XoR/7ChGKVSvZTduqOiTTMuX5tYPRE4iZ6Np
scvr4UoowtfcIdrlBoIOo5s1DuNE1pSGCnOj10GoCBdpho0Jn0YDBqoDrfeD22u7npYcjvHMJwXI
I0QRmkkCSDfsrkVeXeVYoaiMlcOmykMEtmZjkc9oCvASs1tdJUmjIN9JopWFUslvippuaig14JtB
uapjJ9i1jVntQHpteF6EX6jzn3KtK71MRJTzeUtpG4fIeuHm9mNyr7TKk0IoJv0t0lJca4TqJKeZ
rd66Lck9OmaFRU+LjnkckDCmpLLYIAbd0aojG1TjSF6WFCoNouEQPzjPGSl/VFCU34Y2PcxVr3sd
5fd1SpKQlImyUQD9lKtp5npoOcRVUXzey1n80ZLOdCCLDN065aiwkto87wte1ikoCDZK/78g/k8Y
l8Xf+RyLXf4TQXzzi07K+X/+Xz287vyHvAzoATh/bNXi3vp/9fDC+I/rGAt3fkmEEO7yT//q4a3/
IHe3gCUsnij67IsviU57F/3v/6UYxn8gE+BGV1FIqSZ+8a/I4c+sE4iXsF8xPo5EY9HenpldQGQW
iR7Cgq6tLkP+EXXgs+iWUu8KOdZ0m7/ezAfq+/fDmSAVNIbCGYDEbfGP/OV6qRQR9GlnjjTJ2sl6
HbNUm4EgBRAcH0ITmdHvz8c7c73weKalmmz2AgSIiSXl7XgqnWeK7Jz/akVFj4+59bGO7WT7lVEg
cvLiMD6xE+FNEuq5oWAguDJUe9BKyAcGf+rwTCNx79afj4IF4i+P1b+jIDQXJuwWXT9n+5cAo8mn
zVtMgom7BsVscfQfs5/hyO2Z+r5y/fl4b9/dMh5aTagRpCJg5GQmvn13mUYOG1VSADONa25iR44b
KDvaBe/OR6MYGHcwjfGNWKrzdhStd2K234Dqvhnp3/E95fuuAorz+bO8f3c4PvAkCWY788A5s8U1
NeeyTrhQkQBoCy+igdgjU7YIO4SiXnIQqGX0+PmYb+f6P+8PZIQF/Mjhg9VVFpG/5zqhLDWQwKmh
aAlaT1VqyyeAMjmpPQaHLw/FEsMH5eJowflw9hL1irDZvKcLgBIXrKJbzJgBYNEDXs8uWKU/eJO2
CVgK24zliHfRaRb2QoI54EuRNMFlJ07sHYfM7oqEVPdGNqW4YKv/YH78PZ44gwRMXQlADLwlcx2V
0S4nEk9ZJ4MdXxjng1/LtjAvInbh8Wz37BUGuTNPccmFhhpvNHhJMoPM7xAk/DTC4VLc2EcvEToG
6RFsAPBSln//axnkImM77SLRCyc99fuh0a8j20aqalIbsEfnEsTkw4fD4E4paXFf2Wef8kAMJBgw
1Jla1lNDchPSxDrS3MKY6MavT0XgETSOALNYQj/bUDTy4lMyCBEoNGoGGz6zr1vwrAiPwubCB7Ys
3v/PdPrPB2b/PdTZBzbMompa4C/QOMubKCIp1kmn+klogKGlmdZPHG1/fP50H83Gv4d89yJjkndT
Im61CBIykXvWJm678MLn/OEo+DQdYC0GtKSzudi6VdTMSkT1G/XDbVpSzlWcwrj5HzwLk52P2cY6
6Zx9WYEV0LBYOgCYNuMVGHibmKfSvrA3fjTVYR7ALFFxBmMJfDvVuQphiiDXAeKda9ie42bpIbPz
gJirFpUr69UlotJHk32hs+CD5n8RWsrbESG4E3ZtG4sKSNjbbOifLdN80WtdrL/+ArlEYqhnrsOz
Wv6Qv75i21KjUFpLDSRA4Snz1iHJntLW56NoZ3ZF9mGbhd1cuBFQMbTz9KpIcYiGX3potdFATy0M
6aFKAqqDyWxRBZEsa1vbIEhh4lodwrt6KNC5oQP2Pv9L3k9LMsxMG4oEiWDLoeft8yLZVQFcs8to
6K3su6I1qUsR35O3F9ZibfmM3n7ZjGRz1tENx1rgS29Hoh/nRNpYQoggyv2gZvqwqevKeCyH5hTa
CpWTtirXTUqXzmB8b5xowfEbIONy9/2k1BeOQu9XGiBdFHc4cANls84pBXLifKTACl3ROsRaIUPM
Y2AqqTf7BNNjAoubAY1R3+XjhV///TtnZB0QDyBE4/3xiOibkW4rO8WInMBrSgQdACUvMUI+fL6/
Rjk7HkGVpItWs2hLLqLouzOoEHWgbHOEJZP7XGJC9b86l3gufmBeHHw1qjNvf2Ecj6QoS96oMSEV
U1xsrQM63Qtv7/3iwyigtahwGBrXr7N9tih1AH+iQ5uOwPkeOCpKobRNtmqfJS9djKvh86f66D0y
ZekHM5b6bkUI0pKbosWOZCfSrPyhdpSjHqih5zh5e9KHiTirkcCsfy/hb0zOf5uaL4179px2H451
TSlwleVFc0xkWe6rqJ9PoGObY0/gpKciObuw/H30cpfTpmqoHODBe739CcfKAeZH4QRKvmb96JR+
7Ne6OyxiDpdmUlQo3ffPX+/yv/h2WQC4pZGjyBWIbfH8LNgboSyslnSlAaKNb6MJ8o0ccpRSjF8/
dnKU5gRjw+pQbbo/bx8uBSWaStskokf22ZpeUL8ZqbN9+TC9JLVxIOEgqC/VgbejFFNblqY+VStF
VHJrpAho00TcqTUO8qxRL8zOD9aSN6Mts+iv/UqGut2OtD9WcFEDzTNiusIeGL15ujAzlvPJ2e8k
8GSBHwE0Q/3i7PzCdxxnUTTTHyQI5xABbt+CdFfpRlrOuhL28Ig+nOiEfMLyeeGT/+BTcIHN6ZRP
wH3ZxtlDChqIc9qx++OFcB9oleg30Dew5etWvS8b0qbIEg2sC0/8wcx0dbhpJidsm3lztmFxJ7E7
JNUcRUErIlpwoYxrFBdjdVAu7MIfPeA/d2WNg7zL9vj2V3Qq0orNEHUVNpfhaPd1v8+NzjrEpqvv
ukAQ25yhu77wWj/4SSlxUHfgIOJY+jkhq4lqfe46RjV6m4ZPFseOL8mOOcAlILSYXFNgrKgJatgR
F4Z+N22XTRcomI7aky3jXRAkERgVBh008OjZkLIWBmVtMZy+uLYwCtUHd7mTcdw6X1vQDxjIbJmz
c9xpQL77hPh0whR3RiWKL0WecnRaxuJoyg1QUMv5J6/0rw8RnZ8ZQ6KuEAkWIxTdXpl/DoqefQ2T
+e845mIsXFCFpGi+nSpQ+CtHqj1xBVo64dedzKOa9fkeyVZ7YW159wHwSIL5rxr2stGec4dIUCnK
Ms8ZijL9irKH4tM3f45KdbpwOPxoOnAW4hOA4gGh52xxqTHnxqNeVavGVON1o3DWjWRUX/igPxhl
2WbYGnl5KjS8t6+uDUVEX4c4wAzkBhqNFjl1mV/iT33w1jhQL/U8xiDa+WyUSQsrPWlpOEhr4HDJ
QrUuRye5Q44xP395fhtUKS2THYda9DmXTeh5TXI7jTOz7oMNUt3WSw3o4ZREvkT9/GfWvRlpebV/
ze4CLWswT6hrXHt4wqiInYG0gwvzbdkZ32wxwJMoTy7rH+suteS3g2jdWOfknGM/tEv1CktS/ZAb
sty7eNXmFda7S7wmKDMfjIj+G1gZaa4wbt6OONdZQgwzI5rAJDddrUX+iEjZC1wMZ2S6BtGuGIdw
PcWWuy3UWv+vgr2gtTArRoZM7z//OT+an/yQIHGIitOo3b/9a8IiI3sXPQouF/RfSqUka0oEf74+
iACwawqYSsybs13NRs4St2ShrMa40TGKyQQDcouo1r6wp330awKLomykg4am9fH2aQJMsKoxMTkL
khI8upvIoqSyQXG0KzpyQ7/+WI5Nb2ChqQo+87ej9SP4lXwowX93VnBMh6neV6yi/v9gFAoeC2yP
c+R5YVtkojEmYlJWSZs3V2UfgUW2jPjCCfKDecBr4xLFisgPdf7m0qJUYDhgEJskbclMuoQCxlb0
1VIRjSa4O9SiDO42jrH8fn990s48wFBY5n4aG/kpJ3GGmMDiUgz7+0rHMgyNKEvQS+HmdrZy5ICY
iPUichCzVHylTI6B5S07lNJyV7Y6XDvSusfYE6zrSARH6t0H262qC/vLu/MVf4RmafDsLKotKFrf
Putcq73bQSFYzST0aesO8U1xa46Wijivl9LAT+Rm8b4ZXP1SmfaDz4DbAE0/SITIY86PdkoZWWpP
mOOK4BwD86dqoxSr4ivDDE2P4GP+75fnKJuPTg0aUiYv/WxN63Ux5rPKKmJG6A9lazQbkUNJ+XyU
97sczlVBhYwZZNnu+XWAmnM4NoKfFUlAiKxclPupmAXeJzdafz7U+zfIUISGG9y9BdKYs4nKWol2
z+INlqlFmNVUZrWzUudI++a2hvUayZxk1s+HXN7R252IUpUOs9aktckXeLaaRCnKqLAmLaEqcjgj
6Iee6l7OL3UvMl/TCh07lDoeq8god3mjtz8/H/79dNWMhezKTYeTJKva2+maF7UaDrIvUcY0WLpt
8Zo14qdVUKCqXaSfPZnUn4/4fslZRuTSSjeNKutCePt7MWglglcdCe2qAJ2JUaHHLWgTWv35KO8u
HC5AP+q3fAi4v2h8vB0FqxTW6hJ/fJOQMeg5RRz/qHFCm36DMfOW+G6soqlDos1KZFl7aY/4YM5a
6kJJ5QxI9ei8UY0eT6SFQKiuZEG9sXAwYhANtOixbBvjEpn1g4WPVglXZSAp1FG4E7x9WKxbqQlb
iw/fbm9ZF9NHLUDcNZgNhiuzjayH1Mi5KqNCbbsNITQBiRxtW8OPMkkj+/Kbpx+LGMDheL2oE97+
MXrWYmxE6b5Ka7x01M+7F2lzni/U0V1lE2q3Fpl0HUZf3sp4CbTRqZwhDIAR+HZcFQeMVSPhW1mT
mZXwXAJj3iLYi9sLE/ij35aLF2IHg+ukZi7//tduBoAiCZA4LJHaffBtmBJjyd50g2MXm73Yfv42
PxrMpWxFBdLFNeaevc0ODEKELKhczVTWD5WGOlTiMfZx3MjHz4f6YPGzlyFUGoqCZp/x9rm0wLQm
QSTPSiQieE06bfrmdGLYpkWW7WhoRt8/H++DR6NGj7zFoiIAw/RspyS5NM77qWRdLwWawYgGJpGE
dNT573z9J3NoObMl8mhUi8/mRmznVdh2SblyJ7MJkUX1OOSsuTD2BINQC/z8wT5YU2GV8GCscupS
cHz7IpOxsLOwV5DK5iTYBWRKAUKqafx5gdPqr6TAoBKv2Wsu3Jw+GpdyI0MSjIGY5Gyu9B2QOSx5
jCvxHaxIxTSvUctiTCji6JsszfLKGeAPfv60H/yMCBQ4AggOX/w/Z5/DILBAdQpuwEW95gcFX3mV
gh8Sor0Eav1ghjqscwBvqRkTpnH2YmfgJoJcczjX7TzjEJr17WQPzg5QVuID81MuFFo+ejSu1Uv7
hHoxl8W3PyQAxbAeHRdpHci2va7Mup+HVknaZ3yJPL7MwLNjAMxlg17DEnLDBvl2KFhPOgSqhd8d
xtm1iUHGTyAFbD7/rT4chX2XYFW6ge/SYlQgT7ltsZrUyLPXdaA6x0iJ5JdrYRpNRyoSuKlVSxfL
VfivBRLUHoXSCX8l4IgR27KKv2hnJvTV/Mly1Pr/cHYeu3Ej7QJ9ogKYw5ZkdytawbIseUPIibEY
i6H49Pf04C5GLUHC/IsBBphQJpuVvnDOJ0vke18FEarjPYZDBXqS18MZxuYNU8G6JZT6OqvtTtLy
TKMUpxe/h9jy8St8bzRifMcSKsLE3Otej9Y1Y+nZHZN70H120RSDvR8rYB7GunaX27JNnzzdOz8Z
KzKRaPDLjOmerJKVb3ULfV1AoeauIy+bG7SXZ61JJ8fHD/bOx84Qx8DYEbxvnLKX184xaVliHq/z
7AMBpHYg8asW6FNRpMPXjwd75y3yEklNkmkH9ns6WIqCsVH0S0demLvAQBHR/2qGI3YjFQRyifw7
+X9fHdmxiZZyJuHIfbptb20g1xzNX1TONEdWIkscC1zAOLli58DAitYVkN7Hj/neO+VQDZbYco5x
puNr+NdMyDG2dlLAGQcAeWGRTdzV0gZw6VifBdg/G+m4N/xrJK+jLIyqIGC6kyrmc5ZqqGQNrXoQ
JCt8rp882DtbTYirhIA3ZxP2lJMHk9Bn6xw2R6TWTR027YLn9tKQVsSx3wlaai78vki/f/w23x3U
Oy4rTAduSyeDokWjLTmwG+iJvMSCUpBvUnvfkIEOe8PrEaWPufPJmO9cz1j4OVVbBrd6Yu6v3+sY
wCQvbShp3JTMCGrLRUj323eNcuZXK235w5XGkLjCGM6tZZWfzMm3t5hjVogllBM1Bb6nk99wWn+1
a/r0J3817yar0VGdD9mLSPvpegtEuhuhx14jTf1k53u76hw/V2YK52gCCqfbUaOcsFDEJ6PUonCI
lEa2K+3Suvv4B327CnDrhGB/hHoTRzvdX6nUx/hs0fXIgTr/kWFlzBPVji2CPICKPyCmZS8fj/j2
hR7vuYTUjgor0rLH5/7XNMkVFkRj4AQhVSFBWBSNewv/vcqigbTK3rWRQdKviQI2BVP6WdXCe6P/
c4pHNUVj1anQCjGyUZgAGCIDQCbydMHEJHYPNjYOF3TYiPbgDSZQurqKNiph/vn46d8uEvBD+ZDZ
JYk1ECl9/fQeGQmOySwSFoz9c/56qToHVCpQ/f1/HokQKZEhUjn/BNhfj8TdwQq3ml2ySUO/SZot
WHQUVuT09zQG6fyT5ejtLEX/wTWCcyG/KWGF18ONpYBvpUa2EwhVv9lAcDWVVWJWKRE41bSHTOr+
uVv87lBq23n8+GHfThZGJ5ROwTN+BAJir0dXEy1GE60lCC+H8tLsPJptSyiF/8soAYl+sj2UmJ4c
BJghAVXaMEwIbYcXpXa+zMEqzv+HQY5WPAq2uUCc1tWM1PoJqtJ4kcvW3VKUDr61MIz5s1qwd2Z+
wJdBqNIPKR08TSeRP4WWRT/J0VPuJmFPTX1oyuycer/1IgigyHz8XO98+eThjskOn5aFNxVhY2bp
tj/+RLQa27t6DuovLnGvncxW5/bjod77Fqm8xGR4DFhSl/76a5D0Z3Lfou3U95fx3Ch7pMymc+w1
WurzbhwMCEHKvaNRrnvOcaF+MhXeWWM4xvFKiTpREH9aG+zW2GUHg8M31BD6I3siirjka5yxxuoP
Dyhy3TkCyNg/OEWmh08e/u0WzQmLXgmSPUTAvdOKqRZyg+USfonMrTWe+TGgCTYWkzGe8qweKXWs
qvtMrO7/sOAwMPUFR8EDMsSThV0VxRFQxSVAm/2I+TNwz8EC5E8m0KJPzq4n052Zh0qCqkIuAKzh
nOxe/8DpnDcydHSRGAsOPRPM58Fs5/KTFfQ0qPf/wwSsZ8hxWLRPvqOGDcoobEBHJTkKFQLmQDyA
otsoRdx7dP+RT2wuKlvcpmu67nuynXfppP7j5/zmj3GyuDmdsSgOt0VSgIKNVhdkIwfD5dD60k6q
cNu1HlB9ZjOBN4oZdx9PppN5+8/oFPjB38alQ43sycI+QMosSjTTQLuz6cLtPb2DYQdKq5g/SzO8
97P+e6jjvP7X0cDbbF+7ci6SKQyLnbLrILHWsf3kZz1Z+P55IARu/KSc5rj4HP/5v0aB8Vy5eVHm
SVqg27igw9pJ41F3oBFsXYbGV79T6X88zR0HpZKe2UgzE9jM4OQQa2unRwASZsmS5hm0ULtPjpGr
Tw6r7zyaTzzPog2CfhzUR68fbaJZJBUEmJJw1YG8hJtrV8BjJapE+sJGeoD8jhX/4w/kZMH559FI
XR4rtRiby8jrQdvUT/NCw5eVqwHUqilpI8XdvI2LOWAc8NcQX0M+L4ds6sm2fzz4m0+GfD7fPnUR
FNuz1p5syQM8YkekjRO7vcrOjCHVMUr69JNRTlZ0xyOKbqC6PJpLsNKdlvtMdUEDS2uZcVbobI41
TdM3Zb+GO+GtYjdqdmvZ0D9OX3n2yXL+ZvoxNEbFYz2cRTrFOVnqwrI10qqUdmwabW7eWm43948F
pDrhAP31R/VJNuq98ZgX7Pmc5ShXP5mD+ebUVioAN+uK5mtYUUFCf2Edg9wZko9/u3eGInYfEsKn
wIl5ePJoHR1dQ0VJDSYbcJtp32zJyr7Mkgb9/+OhTk4Exx+QKghS7Pzlg2U9+UZLQBQmam2eajTa
yzxtuoNIN0ATAia5msnxp3Cl4lKu9tViu8snP+KbeXkcntQIhzoqd/hSX08RS4QhZ+DcivlIg4PY
lBU53kBg2kBP1Dutcffx476dFTYnLF4rHw/nRfPkR+yyFStKyrIGSNkBkNxA3Cty9clLfftUr0ax
TuYefLxQ9BVMIzL6/hEUTmf1SuWdmYd382x/Jpt9bziis8fibBopeL7XL9FtiJ0WIAsSFjGjKfcd
zKoCVJRbQ0EDnObA0IHxXcMH+u9v00YbTxksBZQEsF4PnBNqpIbfEmAgW+85r0hjtuN/LAfiR6Kt
lqJoIjpkgJjxrwepW13nHpq0WPM4z6HRNnChm+6TCNzbD4MGCMMjAsd9ibP4yTssZxDZAOCB31lk
fdwAVKGAYnf+X18YoxxjRKRECUydhqbG1l7yLgA51zkWJzNaXqG9j599D2+XD48lkSsuLZpkXL3j
P//XPk6oPtU2wPVEzLqN8txge4PKc7amJOs/fqA3W9yxookzlc3lhWah0y0OdRi/GgyopKdV7NdW
TfLBdbN+35d0/o9Bi1mLIOon++p7z0clhE3+lrIAWl9fP98ANdHLAJ4nZZH3pIwpZR8tSMirMJdP
ZvJ7QzGj2F+4rxAXOfks3BqWOK1fZHA2W910KJDjdg7MZ4cCw/88mY7de9QgEVE/hvVOvnNj6wvd
TUGV4ExrD+FY/x1s77PSg7e/F98D6Qjq/o/b5ul6O9omLep0tvIB+vrb1G5bsgknv6Lvdbw28q6+
bjYxfJYbezu5Xo96sk6knm5p2UqLxDZnsGtdoQ7tOH9mqX57FiGpSQSNbZMWdPKbrz8Ld9VF1Qsu
JSKYiltZTUikYXLH0umsSzMvUxkVS2qfOblKXz6eBu89IJsYN1uLMxCF1q+HXrexE2JduQ953gqk
0KquKvg7yf8wCkFtsvtEe2kjez2KW05UPKUu3HBrnvd218Kj7M3P4rpvP3nuNCyE9hHRQC7u5FLV
+oZsTJWXiTFt6XRol2609ls5VPKsl5ZSnyyJx8/6X8lFHoPhaEiB1MAtitvk64eas8bp+w1mYLr1
ziGr+u2ucYs6KYdjrCqc5vDs47f4zhQg6kcJzjFuzvH45LfKleOI2V/KJPA5bShlkrPyRRuccVFR
sJK74Gr2x1HuPh72ndfKekzRDaN67JknP54Sx8NXP8ONZPOBFFtu5yl4VxCUXOY/a5p/56Vy+EdR
dVz+uVWdvFTAQNoPM2hwo1IZOmjqHNA8+VQDxYUXjvlZ5bSYNf7zE3KNI4zFBgePIjg5yzk+aKJx
miDAkwyNiS2lD96i7LPNbudfHw/1znwjccU0J1BMOve0gkpNPlmAHB0YdfR+PJuzG9db+Pt/GYRI
NHEOWsFOr8OG2WXU8ymZUACNt6sxcCst4fbJDvrmuyB8wjZG3o+YzbHQ9fX3v3J5I7lYtgm95f1d
Tdg9gQm6HHJtet8/fqA3CyTfu3tMiHFKpJ3ntLqtGZrhWFzdJ2Xr2g8plVnpebFpmlyTNh0M2GNZ
vwQAX5eur36UyxTan3wipFDf/HTcnyiV5IB8rAShmf7183Kdq2j6rPqddg1EfpHY7Nqqb+d6GzOI
3tIZ5YafSG41bphgGEu0mYGEswVcLNRAl8LCMCXwNKhK+QuKIuLR50sddOIx91ECqO+prsqmPPPF
PIrfjSxFiqWxMCD9RgV40KrcYSwxUjwjupmBxKuZdG95UJD+7Id57ULRQhbPl+O/n2+9/dz7uVR/
TWV0y/cNaZD9ZZD+IH/3laMAvE+6MHelaIseMiLqVHkxdWVxYfilV5IcK2f9tOaNIkHeTNlQ+nvL
KVCvYSublzAiwxYM10Z9pCWUdl4Hj4R3LOfSo5fS+B2O9D59q7gQgl1saYvCRMabkX4y16IE26rm
dk0vIHZKBYh7apavaLo82iVbVaZpIkmSV4CvVTh8Wx17KG+wMgr7rA7DlAAhz9K6z32tJ+x0dr+s
vns29Fu22Ts1l7hU4tqoQ8c/G+DbLgclKbWCLLqSrYbqWwQ008qwD2WkNfj8pM1TxCLttJnN77pD
kwzmESTN937kOgt4fmg78YV62Tb9oooQKnU/mWPBRQV7QSI9KkuezCkzaGq1N6QnXzsPb0ESZqAj
duto9CqefLcuEazCoZGJsMUUfndT7Y8/Okj3+RQTZGqmr2NbEnSN5qash5yrbBqaZ7ltqfXeK1ZV
cYvItqknX1kaAgRdjR53++6tfp2hZwzmXuwhCCxzfX6UquZ3fj518xzRNhPAksSyAGBe1dmiS1hU
nKPAXmlvbb8PPh373LsgBqrHTdsLZOQClJW4C0Y7q3+B9a6sLJZCoPlLtmUorYCMv+FOX1svN9w/
1rY5WUVQGmmDEecZtHxQisE8mCNoXkS4UJbDFtZ1BBq1Dh/KVEMQlFPnBdtBZ27TPAduZZRVRL1E
DiqwhVS8QGR0ZsuI1ORU220/BZRBHsQYasDKVtkMLr6fTNnTEBXBZqV/xqGxXD7l1BtpWxBam8ZT
gAttpGfdWbdhjrMSNvdzl4ebebFYnbN9c5phyr7aIabOB7pb1zpxw1QsMW0Rmx8FhkqbZG4LbVzL
IEtp+CcYvz3WguoRlbSTx+A4BP0rjSjPeVRlMG37IG1ZgSDXTmOOeTRtzUyc9bom8xo1vaP1c+Mg
Os2BI2swDZFfGRslIk0pmsG4tAdLdmF8TIGHRpIrkY9QtPOAMGC0WRW5ACwVdHJigJzltP12c0EW
K0nzkSqgyGy10Tp7SoSagI45U2zajEpja5ZnKiwF/FW6yuEUWtZR2RXB+aEsOdJtkFUvbj+s+Bz8
zEAo5eUd8AS6dnQa4hVWlMhMEQusO/2SJf4RAJ0WupIpPtZDjOOFj9HLUV+q1nDr4RzbfN5Nh2Gl
NRg8IpcC30s620vdq8YuPTnBLgIvnp8rVuuSGmkzVLDPYdi4sYXHtaviYlqCzjrfAEp2yzfMJHqa
7pvK7qsQdHToL+a3IW25+3C6g1ZbHnOSKBRXtLbrJYLUbbR2XbY5S7SEejJ346jBAiWhWMrhVpa9
7s96eB4A0k2pWtzJoWst4e9AWuQ89qrEh6O6YvEvTaMajR9+YY3tg/TpyKfqj2IlCg9pJG1/W3D6
0siaOS3Ey1rM86XhdX76oLkgT4+Gaof6UNeZZ12OATyqmOXL+OkrMMWoJDSkx3SrDwtURSARUD7N
yMuW7NpLrfwGjKjc472vbsirdeR7pB+O7kNQuLLaEW4akAeQ9G7zG6+bF5p3Oxtl3pNlE/v+xTMV
9pPyypGwwCREeOCPRcoBniJcTuoQavtAubVRX466Sd0EjdzkxFUZWv2TPVmBMKCjy767Em4V1vdW
VeApMtmB09veKVY8xIbqnjbH1DlWjrBPf/lbEci7shKBf6d6YwufqAXq2/3YisIHp9fN+sBZVato
xhynnV0vZPqnDUdzuKVstZD7FYtA+JNPFgHtEYXYF3eDZzXN7zB1So/GwoH3AMF9Huw/hTMTnY5E
O1h81Xwjxnrn2pL0lGi08r42euu3i1yUOEUoTgXo+ZhmgTKaM2cZvdHfG+6QrebZykUBkukGrXH4
i/txMf6guOgbZJK4TiZ8zgqzxE9rWNfJpoO+QY+c0KExo5+FhJRlaxSiFMcwgAzoWJU65HYP4tbT
oDX/+JM0jDpqg36kWxaziQpfeqc0uke/cCQaBK/lQ88BgYcb9uyq1Ta0YeCeUjUspAFk2yCYa3rQ
yXv014VwFxv4fw4yKGhX1nNKD8bpGW4mUHd6qIALWpBezbiiDoQaS7PF1uiubUFZkVEVTvC4ZiRO
H9NFyN9Z05UB0cp6rogGd+ajKYiYxTbfIkJw5Mny1zhtwT0FXuzYIRzN9c5rlvUsY36lV1VuIy5j
9emfApPE71GjVz2PFPXc15Bcf+MvU/KsQz111y2Ld0fjaab+2Raes8DEi2Uh/7xoIBdPXzkp4H5w
czeUh34DbnEAaJLiLvFTZGl2Gw7u2TYCco0o95WPrenzY6E9BpSqjSPbOM1RoHcQD2IK8cARuH1d
l/sSAdwVtxsN+1XW20sh2L/PO2X1Dl7HcaEEWym5G1Cm7lFcms7eMZrswOUDakinqw40OHVBedLB
mzdidCoID8leYCxne3u2qcWs4z5lj4ndauZHKXQNGWimqlXFelim6nyEaK/hRwfUjkGLCzMIQusC
uxXE9Yq/fap1VJbYaSo5qBVkzRKgxRJsQ5BQGSqeWqui5sOccF8NZuuJxF6t1aTILsvvWe6s72hx
mzmydDh+c0o/++Zma/o3J7Nzh2RDrrwRIYx9XrTkkQx/MJgPbRkuGHpHDquAYzrvqkvlWt217daM
B8sZy+58benR2U+2slZk6QjuE6f3BW5id8SuUbV8mt4YSmeX6sBo45L/5ub4OxAJ1zA+Y5WmFvJC
C/7YUUyOFc4LtWQTKX2JHaCZrJdwcSUE4xZhO5XN0LfpylH2oRBbT1f5VpQ/Wn6aIi6WWuxtOr9d
/rQNJUUutnPK/mRlxVx25L50av6WMCxn8KxCuRHZpZk9DjBB0zMnw5SGDDen4NMrA2zEISKgm6rG
FbL3LZyqUThOHtp6+PCk9MOtCqMWQLTGWkBlbyRcM0d6Ay7B3WGa6e4Xf5TuV1llJUomTyCekKsP
N7rK+3W9dn0UIkmX2WEWN9nim0nL79l9wRZjnSFukO55a9ewSOUqHE6XPmzhyKYzaI6Ur1jMxq1w
6n0jZ3FjUVrV/jTxlkciYM2Meg/8NSainv+tXflhtZvhndfn2E3djErxBj10XfrOgTNugCyjDpvq
T4UVZPnjAV55knXHflLmRYFTdAzDYa+2zOBZTBjEnJZQ7zUL5R4X6Tq4j5arx+CiSekDiHN7zu5x
xjZG1FF5f7nOKYfLeVk45M1bF1qJ16JljwFPhUdp4Frc6t6yfoxOmF8VdSudSBl2plgMw7KIm3Rm
YVw20/k2WIb+IdoqDSMxO4V5b01IASKXEgf5VA09kqWkGtXUfGFaogKjHp6dz0sLQ9zmnGsf0BiD
djFaFOqt6U4h1t6Bf2+s2grNU5YH9hk/lTvvtylHZVhyfrifaTcpd+laqDTKyFHnZwi2e29fUapT
IQ8IECGkKiUcvIlU5ke4sPnkLOJYEEU3Z7knCDnuQnumGjRd8/SwWTOGmcXNMnkQnKc7QPs20o/A
rwrE6RhT6UiusZ/BFg47eTbQ73pL7M2qE/JHs3ne+8qkQ0xwZ2F+obqdD5A01/KscQKU8JxVuLVV
/CwleL+Q/49RTrhLxtWhHZ4Glvw7aX35xzK37Hfetctv8C/5y5JV9VXjUpu3t7ml327lVD00qUBt
Y/BBPaElM9DPVnbzMFTCYM2UsPL3/urVHAqMNBSJy4HCPnjmalbndi3HB/LsbrbF3Pe5vW2qse8H
euz0jg6kDuVO6bEXCHatmDJe+FjIW4OCw2DDBXXGPHJLVh44xUYzU7inRt8Y9sIf/BWza4j4UDkV
x2E1G/5uq2f2IfT0DaKUDl5dEXlC5M9lRud8RNGaIR9K1HVjMss+tQ8sxe01RRQpLb725tF2M4Ve
5GwlrAAKKcK/xmCtfw0lwr+j43KznTGV6XgyJpekZTCyn1FgVxfcQ6S1S12u59S9HIGRqyn7l2VZ
6HTJclvingo3+xfJEu5AKoStvikxfAtSv/0pcdjZFzbd6QfT8AIsdl4w9LA4iALv6VzB9Fe6KbUn
Oe6Mx7lNZ6ZLu2U/vKZbvnibk76ESou7ybamu1CESwXIf7Apn1RohSL/CJPeFWXZ7xcHM/YuNFGF
RNhr9PXS16uBL2lZf/ogSSG+C61+lTacBEgviKkShFP+oTaG2SBwk20vo4GdkJ0zaPAuVqP9E+k9
HslQ6/alY/HYdv4UlNdWaRl/rUkuX2ZBHHxv96P3Mmd1+ZBDjK9paazHi8nLOCK5JFPmSFPjM5/V
FOHiUlkK+XftDfET9n1psb5p/bVoEaFHY7vV+U1Z9A5pUzk3f8x6HHS86LCqdlo4dU3lZj1dCrl2
GIsa3f/NPCf9oe0uu5vYwm+9OlfPuXIxmMy8tV9+r4bLVfYmZ/2G3zyCwbKacV0JzoF1nR/bdp2R
sgXD0TXQ2zyfvoQD13DsEJXiVqXz4zUhcItb05IrQGijcInImxCN9vOo5wnzWeH6BzKX5rOnKteD
TzKKG2dwme4WbZc+gSru8MlKWzv+XX/1uZVSSRCQbRI63C04mnxm8tpebOR8nT0qbFj8Vq9IeypH
qYNf8q6jUEnMDu1kITyYRp+PLJ0d5ybtg/yRyov6AZk0cSAufhPOgi7sscJAYEAr4wXrPUJT9w9g
7/oa8jo2JRD0iJ/CgEPMflhlgCATmw7h8tREad77tdqvaxg+sKe3RTK7RXNZ0uGtzoe29n60sy2u
11Js7t4M8hzfV7hNF342hPc5hiRUSmNFjwExFjeNdd73u8Bc/eqsN50GJ4PTOb/hzaN8Uk1aXzrb
gMximToVD+7oYae1tFgizS9zwHVvLPt5zrenNEO1cMVq4Ur8ZJUFRz1QC367DjS30WVc7lIenrej
Q/3Epdt+cCs7+1oNNPpGhepdnIOCM0BiVdr4WxelvKTd77iEE73y9pjgOz+mi0bd4qCbgffCduAF
bIsXb7Rl3cB1s9c47zavieZAeP0u49juHj0ECKzmhccMaYKABSkXNOLMZ+cXGb70m9E543eHcvof
pAn0ZVZP5RqrvA6/o4tofxMJrG+HqZM/S3ezz1sec4jJknP9XckSQcug5p86uCVMz+1mrAPGnTRf
lED5tMNkNluRiYyJN8uaQRzEcsf7GrgHl32LqghWT7+/RbpXLREg39K87LRwf8yIjq99rxxe6qJy
vts+KTSMRLX6CTcdDPmKbtyOR4mvl2UPyXs0TGPwQoaZQ/KUh9nVhl1yiDQv8RpqtIEZNlunq27K
OKQY5mQmOvVrtH+QCVAec+94FpRmYQL1HP7caD7wVPVme3C6Eg+wnoeVKxBtpVz+t6LtD6kUyzX+
TQjUHqlYfEe55WfxmLfBtOPUhLrHGbfyiTL99NaavGWOJPejDQHN8dTWO3N71ngwCaO58/w2zmwa
9i+CQQ8v1qydB3RtDmu32Jq7tlHBdzezTX0eVln10Kmy/aUosb4GH9HqfeEV4Rq1UDCejJVAamSx
A9P8X/TmfT03bAFpDjqTJdbzsZob/vfJ7rjKUUXsPOYzSo54aTVdP95QrfWFMkr7EiczLdJeY7dT
YjemeCqCFjQdd4aUC2ngAHMaObVcya1RY9Q5NQI5prj3Uwg0z7u8X4AfYWlgm8qq6qaxuU8QByKn
fKj7FBXeBijhkIrQPA/Gyv+TSae5oH6dU0w9c8QwVbA+EFn2cTs1abrEayCCPAncjgJ6xNwsUQ59
89cFyaZfS61QkCvVWnvXmznRN6rc0F0Ow/hs9Et461HcR619A5IkqlxZD1h6q/aSVGaLHnJAKJfJ
SiEQV/ilgbLOnL0QtPV2pOxMfoXjjwoe6Z29xcox1ysHeTH2c0Rr9wEkXj+SnSr8vR1M5p7fuNs4
udHqLK1RPFNcRLs7Te/WiGLcHa9quuOWs4os0YMvliG/gBzJ5phzrM4j1iJxFubGOh+MrPP9ZHAD
utTdjEXGIVh2kZr1djOqug9325pXl7rRA9rgwdV2FAo9ogvy2NUaVJRFUk8D4nqfRBE2Azd/ctNu
e+nD1egTfsPqalqVZSbhMvJx11UqvytRdT9DWTv4Xjih/CLJoK9Lf1F5wp25+aJWLepbAxSDyu7D
jiBwsra2AgGfTsXwbNp4MgADT870xUmtzEuCJuj1z2oTxhg1lWIWiEDxKxgc1bkZjnZlH44FALQ4
F0P4y3OLodn1w7gtz0s6mV8DEodnejZyJs42o1SVS/hLTm2d7wOzaR6Bpzvfp1aUQ7zYQj4bCHad
yODG/W0TZQh4yQvbvTl4fKW4bpd6J8YpDHbrlHbF2UCse4ysBrX9VVaHnFmQoHZfPWckvGiuFmQA
mwB2nRRIFdYIXGm77oKgbCvCHLb8Wq2AE8Cnb42I1iFfn5VTcgy1fLPxd7LmD5O0c8/Qa9D7Y2Js
er3m8Nxzl9W17mNJRK/Y0Z0vEaKSE3oRevaC7Fe9HUMK2uj7u6AUQbCzwPVw2Fh65Mdb4TZEpnDZ
GLHQKx4HonNDF7fktP9a2jf+Ed/Jwjpzw6X70acTpNPUn/A0E2PmWqN9eyLSgxajuxgdS9RgOm2E
sRAGWI6Goctl3GybezuVS3U1G2JpkhWZYxFnG2V7cb4OgOTzQXXL3rI4Y1ABk1EGLDs5oAKiue++
HCbL4F+f2y+mXXJu0+VmSORprXZi5FTenaypGohWPXVE3CrpfwFLZyMo77zpNw3x6xQRDDG6xONn
7hI5iJyAVRdmt7MGjBMRKKmMw0zV7pK4K4RO4tAh9q+eSMR1nabjPUkVyd1et415XL5xA67OxDIN
X43/vOA0HYnUnB+szQlvOomc9UC5fnk7NpmJDxhGxJ0KATjC9MYAEzfeYpGuMvOJk4Ax4kbZTyEh
o0eZlxk1HmU2m3HbNsV2XTkVVzWXbVBGgZrcdddtAninqPGAXxZDYJ4NXafmqCP//5DzVSkqa+oA
Wydd2hmLccGEKqiVyaKVci8uop6bHabMDrYEOHFHKhPbdRYFgMfT2JvS9cVpamUccm6p58RU7ZvW
X7y/uR2iHJJLhrYW/Zf2I7euN2NfbVm1Yb2z5ofFFVJEplnoETaGU/skYQofE7PsKPjWsLHWgKIL
e1sI81IPi0obhpobk6ddek77S3BNkmj4llIiZ5DwJxQCz3bZiPqZikRAsfQbrpR0pH7UxBwc1fjl
foq82AhKOmH1kJKhR0boi1DHgvvBbbiWnJzoLsJeahgYMSNP19V5alv09aqVtEzkQmZoEp+T6xBP
5Pgkv+TWcgFYHXeI3bJzvoaDyb3apOnynpSPSQijNycOQtNURarCjcgsUN3tVHDkxZzaV+eyyjlj
zJmY+2Re8vmnlWqj5ry3IHzBeWSeWyoVDwMGzTtqfzcZuSoNibAazTDsJNm+6w3nPH1Amau+/ZNk
QPAWdn+saVhvBArMR5G2fb1DEF/+wRjKdtrN6/Zz0WK4sXWT/+lbEB5cDuz0ptONxxKUttbjXDsw
e2eiT2e+1Vq/UpQy33lUvjHyotuUTGsz/PAbQWB+22aIW1OQ17Qkg3KB11a6O/Y554YM2njPVRW7
pp25+okiafGjITPBRoZKfYzqyRTlNcRS8kmZ6uevnQ5yTb3/hvqgs/zhz2DAbOG07v0RgByNmMto
8MWylpJI77CO3wS+b8JPajKu6/K40qx5nt41bJ8qXhTWcpIjdN9SyOyLKC1G07te3c3xSM3I+m41
NeddhmxurFV4oA1n9rvAn1msBt8z7vugKfvLMfUtFK6WnN0k82vClGC0A+ts6h1QWS6EFTdRZqP/
8oaOixVHzSruCKc+mktOsLSauG1FrkPYIwNN4p6xCZrEtWVKItzaZHtXHUkD+7Cx9BXLno3xCgaR
jrxAtH9TIR0nbta85yo82+19uYbjEpMvL8Z96DRAXxAlmXd49Uoj9qjyuR05/g8sB0FO8on2kYnO
+NVAcZ9nKwT4VHYzcmJNzE/Mha/PHToC/wRuWTqRNCdHxnwk+mmeSvGQmeWAIFgPw0tTpURrZ6wl
FQahubv1wJP+Gth5bog0m7cwe1vrtqcWPiVkJyv0G8cM8Vo25vA9JfJnHEpbT7fSMEd5mXpq26Ke
6eXtaUYk/1eKI/T4yBveyXHkLG8HRVhQzTMK3Eqznf9sKmKzNFEOXGjFUFWkiboqv7Xohp12g5qH
XZaOpPhXSvl4v9riUDHUhneHDKrqedUZZ4WWatCfRkVieteMLMWxLle+2KA1/L/KNvQ9ErB5vOwC
jy1H03Njxv7sri/EwX0nHilCPnigb9FaOpTHH7c5mJhd1x5t521G3A4MjZXGhHW3p3KdzWdd1cH/
cXZeS5Eryxp+IkXIm1u5NtA0DQwD3ChgjLz3evrzadbFGRqCjtl77VhrDFBdUlVWVuZvJHuQcWeE
9F7+0jFWnByEnhFcxTus/t5nxmDYmZjTw9dCo97lLfbANnapNSmtamSaU6em9pu+h0a3AxTB2izO
4VwVass1C+F48Qe1E8riBUFtcFLah/L13OTit0xQaxknwUWLcWLMzLWOHNCMNyLqvy5acuVdOirz
2wSS65kJ4dLCZSMrPByqLd1R66HtNiP66XsKPuJolyyhe7IljFdDJRDwRzMXQdlgDKY8i1oRP4JS
jV56arPPyHlK0YY+df5YJ7H2q1nKCCPbzBKp+dObe6vKWj1MllmPmNwOlvQD4Hi12HKQIAKAG4Wa
7sQ0G78XS9hgYRthN+d2oEFYyBA7f7Mfp5rqYU2fOB6ymRQP5E3t6akQVV7bxOpVi9oE7aapUH8F
Sk4lQCrNwI2aUR99I15AE8a9JgrcGEoBJ/YQaz3mTGdAcCbW64yLbI/pcs672xdSKdJLhpD5K63G
7lQVC0mtELSB5syUqxWMo7UpcSoxU8SrJciaAJ/EWnsW5ImOUBHi2OYnXGDvjFSQKsfSBGHexU0k
PwCHRRlAlCJyA6NEw6XsJKoz4ZoH4PwbVMesUKqM4D4W90JDe4xTGscPe5Eq4yS2+hD6o9DlL0ZF
duTEBcVqOxNCjfNMzqqHrp60n3AuqM8UaV8adtMVkC+eVJQMpYOClfNynTZqLGDnFVBtGkLNOILV
rVLX5BxeaLWbNUFJ0HrodQPqEH6IgUu2CbLaSK5kwgeV56juJA9TpPghScOZco82CnhKg0tSKefJ
lJWrTl8cee5BD0vpkj7C69JzO0fPIuTbG4yBC3nBkjie6HH0nDS/WkR0VZeOj7TXx3x1/i0sfa+n
pjBR0B8n3O2k6rFaFkjGU2LF2CCmxD5niOQIyeGirCufklB42+IomMPw0KVHATfr7/A92H5FHwBA
mfNqat1INVsVd/kKKIYamPKuTdh/r+AECJCqUdDokhWCbUqaxeYs5KbCR50SA+ImgCPRTWy5xMZ6
3eENlEvKJuvQfeM0MAJPxcMch+h0xkF76ITkWptHXC7NSZxiOxxQJnKygoLq1px17Vel1dH3gpAS
8RCMfldKpESuCQZKvVvSrL+eVbGMr8nO9OuxwkB+ow3FEDualgOqIXOgWiNJg9S4+SALFGCWkMUT
aVr5PGALHbm1EoennEvX94k7ARQfoUTgYDGr4FtqhtUMm3IxDIfCP20AWr3NVVWRpvg5NfXUyaq5
6aHPKs2N1I/lDyETtPgKS1JtC/u6/6EPmeaJctTXN5Tu6Xl1kCJnglKt/7aGPP4501v9lVF9fVQr
HehEUKHo4ygpbq52V5Oa43RdqccOuAcIMXqw6CgN80TLYVBTZ5aRIUd0c2xejaQkCPYR1XJOks5o
nCSNW17FaLD0O0wuVbuIWvXRAnr0GmGk+SjWhtnbuVxMrwUi0ZKbRINwIp9YQKjUfHjDzL+pat88
plMpWjaxWkrgQIE7ATmmNiQtc1jFSB7pxcLdbWk7O0YAhlIDCvKUuSqjMW2pn9RXTerUb4po9CdV
4IJqt+bQ/pDFsCAf4RJUuQFtzV3OBEnpgl65iklJcdKNh7YEs4JuNWKfCsK0QwXIgq2fVxvOwujN
UEetQ156XhR0nupYd1VBM2I34AFK+P3CgHegxGBAHstKDGwZzTD65xWALXuNyZBWeMGq3WArdV2Y
lDvpyKXVIwJT2c90GpoSFP6SHYuMzNObcUOkrUV7N3etZFAnf0poa9eTntfObKQqMwtgiXpLwAFD
b9ycXqpUTF+5EMDjjnNheZClWYS1ItTjgxrOyZ08DxJFI2mkC8fxUVYOeA0605nZlcehC+qbXJWV
b03BTf9E2UlRnRrk1csMs+45LOf8vtVTUmwQ4AmYsDhQHiNtLmHgz7FyI9DmjrZlEdav0VCuCETu
IBjDIuPWbXqxSAV76C3OC2HuE9pJNBMfdB1QSxIhc2mPddH9GiBcvOhcQUPyDYX9qZAkkE3Q47K8
Uh/jzqnbJfwmdRJgooqOzuqqEdGu0MqR5xznyE/bfS9Lp0nBUjrHnKyidKkmryDquITM3fBzAlmc
21G7ruK2VeNyu1Rp8VTSEGZBW9kUOwKFAdGmdxBhuJlRhkPnM40w+64wCm9UueEcHvkmv47UPsLe
I6I4nonCnG3VPAA41IZTdwrbAIhFsgLtbVUdoxk8Wi88cTfPjopGqZsnnwjHqunCW+g0iOcGUqHu
ZKmjBtysECU2nKYhEJmWvekaFNUeKSpWz2I4yppniBl12aGJpRswk4XuwCuhcMV9TacrnUjG7BBn
AW+QehUnPFa54Am1wguPOlrJLlsAlkcIYu9JiHD7xul9FrejQPudGB5Or5jZBg8aWQzPSRf6N0lZ
6PJDiI+xmZG0mYu6MEaPUhBrwR5J1vFY1CjG+GwFAhvQPM7KUsN0jw7sUIdk7kpDvSmvdI6KuWyu
BZXYYhtd2KVul6n1goXnHBzhWwx3g2x2b4Paqc1WQjPkqshoxZO5lQFtSVV7pY43Ev6MJtyWCgx7
arFxuRHHGmTPpArVFVNtgTYYchQ5M5SrXzHrhxHQcPdbMdd/V2qU6Z7QDMXrGh64pdHzQMubTGJn
BBNWyBn90ufaHPFejiMlxHQbzBvlGWoUN1kDuQB4jB7cLEaGo99CIQ4sQrSUg2sF+KaTEqnxfsGH
WnGqAJw6BQzQH34tzOlNapUcnnmdjzLLp1H2qUbPCc0bscy4Q+npndhNyY+xXIyXCDw4gMxIEb+3
S82lSMtQ3VEn/NPtUBbhGIa9GJCW64PynVWYXAPF/zEFeEA7mC6T7Rkx+bmxmDKKkEUmbhO5As80
LTQ5CdhJHXmJScpuDwI3UTuhXQfYyBrlHaCcyPRQusObSS8E5bUADEe0UjiGk2IQt1FbsyUo/ONR
LlfKbUUFunCDURmfa5lTk8Wnjm9ygd2QnaSJfjW0YL+wgS7jx3GmXUZNatQOcLBHVjjgysjrAfY1
aENVKrd5I6WLoTeSuOfFNWA10kl4SK0pBMi2AhBLDcehzVAPMQE3KJ4bSKRPo9KWN4UYT8o2ySrR
L4SpUzcEV/xbjQ6jXxXUBCVB7ICoJ2TDPi3of0prJxFMnWkbMEqH7WRpOf2GPNZbIpBMsRejFIgO
aOXT3h6UlP3ESwgacEydptP4GMwDbqo4mrUK5fEDpDKqB8WU6gbeMg34XMoSVCs4N6LOGyojU3yc
gihpJ73SPJWJPP4aC84gFLnoOLtJN9f3hiUJ2TVA3/gKN3khd4xxvVXRY+ZDAJeJMbAn93pCh1S4
grVIG9tYxuRVjdTxFz0+Rm3SNrVc6laZeWzUnIIwDocL9wH0b+m6FqbWfIcHh3V1pJXxN0AHXUfC
NVQ9kJlYADMyQWVZ7adBYG1DSmrtNXTa9jAANO8dk3LXssUhsYqjI73WSX4AYbG8kXgN4OEnQw3a
xy5MoYJ4DRJcxk6glf+Kyvf4NIXK1G/oyZula3ErBmPRC6hDcr+muB0ai/BsIYmGbJepWzdRn1oR
aLDIJLkuy/uWNj7AKjEW3wTgEYW7xKkWeIBDLKBRXE1zV23BCNHpXjeA2s+IFcqFOdSOyZmik2Eb
IM3o9FkPXVmbp6VXRpFm5cI0YSjXG5C242EZsHJ39IXI4NIY6e9CQNM9/SEpralpmuljjDyC4vZl
2aD6AwqQJDPNZ2rFrUbIaaSUS78JMEQCMtZ1HbgUIUppMWDH7dC/RcYxrRYj2NbUlmNEikhwnVLE
aRtFa6XQfWTHKrSZkFIzfSr3KWeTItOaU4GRoxnXLFyXi2aQaVph1npP8jgOXoSC6h4xGYkKi1gI
ApfjluU7TiKqCnWSz4GdzoR3+ogUfHaognOZBnBigO1aEulVS+UU/nCBjCZqq0M6ubkyqD+jpSAG
CjFuNLag5NRorQQMsN0TrO+arM6+AUxUKo9b/fQ4hFEe7QQSb3obcaWcjFBGYWuSKlZkpxedRNdQ
kg4jyc1rnQzmPXLBFuAj3IoCL7MWKJ2LInc3jRnLL1EpG5qbJJO4W7SwrI6NVTancS40EeyGCYK9
XFP7PFDSxlHFHlQYGbkA87rQ2+9FlHHPTZAFJcgD4gxcKuPqiXBADwmOGZBcpcgEAfCb0N8SppbB
UZIUjGOVoGg01n/OAbWzBrsUy+5AaKRPDI4oeIKJkW1nlFUnzNwz2oPAfOrnGX5c69YA3uo9vini
73AqTGUjCtT4HMoEEkeJqOMgSXARTE8aFa6fCI93P/NQbkcS6jR8RGN3OM1RM3DCVHr4Wnfz/Ds0
gNn5aWOlbxaHdOPpbCw6EXVi1kjQJAa40JmU02HF0+xWI4F9A4uBxI+rd/qDGn3xWlZGPNoS0vCP
dHGp0YxtNx/KcrRe0X4BzUPHWKvpAizYWNN0MX9mSb68xdytmJWUgWnrc2NQnSROtG5t52mDI8ZG
9hKj7Ypxj7RAt1ep1NH1jFdORztYgEWLcsHvHhIQLz+kbbdvx1nusPCWR419oAoRKKMkbDyzsoBd
c7ZgqWSG6hI6NGTrG5zHxNk1RF281sICs4FYGrNyQ/6Yfq9LojJJHNCjXq4I/QAe8x/ATZNbeK0d
OMNYzgUPRHhw2xGfIoc0X+KaFpf9vQxW/FtF7+ZB0+kjqJyO13mZKXdJpqjFqU7GHqkdKx7mrWwO
030btRiyV0ujIANUZV2wmUsluesrpaXyNM6QVmZxodpI7oJo6iKbqelxSxJ0L1ZLrotTW+uNK3fs
Gi/s4on4aI1NsSvUSe6h446qaVFb1YgPmtLx1xF0nh9VvFSCg9ZaiaJBIs3Jm1kCnNggkTEEh4E7
DoAuIxjuJnBzv1SuBrxqaRVzKUJq7YEaASebQcAAb+jE7G1spuAhINP/iSjUWmadp1ElEJADelBx
lGf4ICA9cuhBz3U8cZA3nWRt6mxM6bLCEMq3E/jOO+4qFcbGidwCn9cgB2EqXktOm8FEtFNZzjIQ
JhRJ3CCAJkMeaRi31KbJNjVYAVdJA/zOjbGYNGke9BxPgGuUR3mu47fJBNnrZJlBlgv7r6mdWjSD
2yJRwRmR+ZPk0naNUr9Ucv1eyGWAPD2iIbetIHWLU5tBP9rQ30AzVYZYPqRGPL+YvS7d6zS0RE8K
FlFwI8uiOYE3VBg7aZOTmmaCUpwkszPvcG8sn0Wh1QAslWUoO8RDyoe4wxXXUNKEAl5zo7yiJw/g
EzhuvmsgXg2ehO575/B5xIcAzvN+WcYSjAgF1J9tGofPMtU0ELX1lMd0YllitqzkwgxScFhxlwDc
AAcAgf8eFHOkuiCSFtrwhlltQNjznQrYupJzj+4byTGQfLtX0EnzwqYzbrpEEyZCdSZp1P6S5Kmp
0vjBClLrlrYhFZcxCBZhLXBNpW3qAtSWKVZJ92ci2ytJA1cNGZSl3ZWQHWyIVcGbHlGq8FurTlR3
BgthgfPq5r266DlaF+J6wiRincWeOkSUZTMQHYon5aZxXO+dGkGlX3Zt2YaNE/QDtT30m+TrdljU
b2FKFLMRuIxxIOJa4ptNRTqDeHPze4Twdx3XeSe7QyPSL49NWAU8aRako3V1mNnDMgtPEBB5x9OM
JLoZL9KDMhlItdTgLmVKY6Ro9piWMsSbtLBOXRosms1lPSJpCCSJDSHKwrcxVpZvQTz0EoDwtc6M
GFz/qiatUjvLSB3GWXCgCFZdwZmGGzWj23yuQgH4LNdqe1YM6QBdrLkxrRDAsSHlZPahanSYRVnV
OBHpac/TdKbVu0zpGPgARdVwm0mtdRKKCBUNy6Jjf6UMI90M2uGtGxD2WygWnPU7OVEtwW47vJS7
ohG4i3a03T0uq0UCDTEpy5M8S8ACwIy1kGgCkX4XHLneq6dortxGnCTVMRco0M4k9v3roIzC6I19
IyW+FVkpeyqydDItAKgL8LkwTFyJkmD8cwopzHj9IkiDk5cQ4EnM5hTIhVXL8R79MSs/jENs3mpx
mtWuMiwZNK0SjN0Ryg9N7R6eAg+jVvKfUlpIrT9HSzC580TJyg8jEmNX4ik27kIQJ7dI6FLxYLNK
kKgKycFdXBvkEjXWFwJAz4EkZGav/sqKCUP1GN7HXdnNKLysNgAHDBG6JzCzKk3IstUPtUbf2VGW
uQJabFYJWoxqIIG8JXLZAo2UGymQgLxMVFJB4o3Ast0M/tDPMqjmb2UmJUcVVLq4AgapHVONNbiI
ltVvMxi4/FHXpVZI9ZCMK9Fo2HRGJr6Q8Y2dwxWlIAUdGvMoVUotbQLVXF5CYRQPUEwH8QoymfJz
1CRlLc5kwDPxEgp3FIajhf6oWBwhFygSGH6lj2izY3DgAAJiRxlTIp4iTA9Sp1RFXtggitpD3za0
letep72biq21m4WwGzcj7/t+4QSftirVjF1C9eTUKQM1JDTO+msAEZySJeiTG7IDjotMbMvBXlqK
GBszrhsKWDJsgntqkhkpSDnI4KWK1DzpeQkYluMmPNYZSGJ74Cl/B6E+HNeLHlAcMYMPJghlewtP
MviRVlSQnUGZuGGok5kBE8FS5dmKZjZzWEWzAT4ro1yRJwjreqjhqT8yim0ow8pV9BCpRcfNV7Tq
Z3SG9IwiW5H9CKW6AQURpJSUYHNnFZj0onqQShAABFnwF6qG5rEdt5iSu+zi+cWa9WUgj1fAgoyU
ajVQOKSN4KTV7E6N4TI4dKH0N81sjBNnUKv4ZRDS52bpNp7YhQ0pflMplbNG59mXE4o7XjJ1lLE1
cwEYGZn5ccWgzm401dOBzKVo9W1IR3v2IlUya6TlauHQDpya27QslZ1JTUS2TQTmucKXUyUdW8iA
P5tAXI46bNHOHgFW9Ntuof52C/csQNtUMEqeTaRqpYeLV2dcL52eVY/cC4RHwaIwShuoEsHn6wlZ
bjdW0nNWLKpIDsj16IcVJoNgc/0CoxhIkKY2VQ1q/LuBa6hFy8UqNIKEQmkMnG1IER4AUDx/A106
4LdhQV3ylQouj132M160XzOuVy2Bv8UNMA9A+hO5BhGRM6qQZ+TuTJo1qwb4Q0NYlV+EvgzsPq37
jZGO060gZIi9CkHIq+t6N0t7afP18OeE73V4vFqh45vI2NIFe8+1hsPadMBWchvqFdehDChzvxVB
CSqwO6sjPQrLXjQ1vGqmDFjw14Ofu4phMMfosijSdVT0VT/l/ej4hOkarbvCTgOOXK+RAjZSji2g
l3KriIE1UUULYWbTP4+5UcER9dICtAlJDAXvWu+eLnyic+75+Sc6k1gB8BzUTc7rCEuVOEwL001C
S3ZIlR5rUmECD73wBjaal3Wjhr6XOW+KggqAPIZAw2dKDuBJrAtP6lwC4M/HwsRwVb2VlA/KYvVE
hO5VrsRFHlJuhTsXAuzIqEambamX7tdP4VwbYh1tVfgwVnVTMDFnMinVqBbYvIMEAQ5svqmxoQCP
gy5FWjhp0xtGv/IFEZ3PliGSe5KurWtQ0s6kLwBItmXa0oeHDijf6sBMSHMlsLidOO1Az1mbqoC7
XSr6v9k/rBaHOkhjfV2BjC+drUCzhIEI/oV2H0J4UK4o/8bVt1zlLNhRCaK1/fWj/TjR9+Odra9Z
FyCmVBXEw0IcudGO82Fm3CvwGApY8bpza7Ou7ywtC/2vR/64shkZ8RkNUWMDP6r1k/0l+dTOWinF
KisbhyRxH4Jt5eCtyn/UavnzPDEJZNnAyKCI834Uho4Vq2ZHK6PU7bUV+mbm0p6m/HhvgLe+sG4+
7gvUtwkfdI9pCPI23w9nqlZg5QIrtek4zTpKww4Vx++Qa6Tt14/v455Q0dkwcCOn3YO+7/p4/3p8
ULmaZoo5G4JarndkMHCxoA/HDgBPWMkN5dwLtuufjqggxAQDHmrCuXqhxA27znv2fBUJ449gptBl
dclaSWyi9Ba1RvOCzshnKwTrBBMihIn807m6+IgjhErnlmjc9NxXrKVqK7cy2qH4H5YiFkRowkuq
yls7e5YxYHIyCp7lUhs1WOfOAnM01RdG+ez5IVcuAZ7CBQVM/Ps3NhrgdNOIUToQAjrUQmvZJpHc
eBM1Vjr41MK+XiKfLUZLtEAPkJYRzc52mF42Wjib6xKRBus0FgiDOFMYGoLXZyQ1FyLJuUjRutMs
xRB5iiqqEec2JaXVZ+TAMI8bKcxfYxp64ENToCtLdW22xWpJLHTD49dT/CR8cTAgQiYRKzF+k98/
0yUwF0UDJGqjKQCjUzKCTTtTb1XyxK+zwKQKoagbVQHweGG6n7xNRGDpNqPJRHBRzxKVQY7LyKzZ
6W3Qm88yxOuEs1gatpiV9X4IP9r7eqqf7IY1IcOaRZE4ks5DSztaHRi7jF4W8FBXQ9nS7wXlkiv5
J2/RkFF00yVUipB+PpsWcjVhUqx7LpBTaQL1nrbJRmlbSfSlQgSNHCfifJTA/0YXAtqnI3MQQGHD
LBC99PevMgD3P3W4gdmJ2XOPhgwTuEHL3qBI0kpvxHbAriNUzuDCwJ9sE8YTyS4Quwbftn6wvyJp
A+XdgGHKg02rad8W4uChBCucLCooFyLaJ3NE/k/BwIStstqFvx+qzkR5GbUcdj7cP1dogJZNWgPx
NqaBdKqAKT+lknVJr/iTCVqrNjz+QRoVFPHsnUKYRoN5YJPEEgI6YgMcCWpLsAlFWAr/vEgtMB8W
LhvY3iCC+X6CCaRz6klMMEAQyLU6cExjrV3Se/u4FVbHBRGTVQ3FN/1cElAcTFw8anxgBAQEjumY
gueLkuFCKvbJKKs2Hv8QPZHQPwufPXyVvNAsmtEGGNFKKjTQOpH+z9uaLJotJ6OhKIuon71/YpMY
DRPpOyALQCP5sUFcp3TLRugu7a9PpkNgllCzFznkWAnvB6KjpIYF9VN7GVEmjXO5cQAsXlAc/hgV
/1iKopeFRTzpz9lsZBKWcSoocjLddE/wjGcvbsF/VBOsfw+GdTU//+uSQ4wXs0Yg6tpqrXIWN2Jg
3dQPyJgVpeLKFpmVX83T5H49yicTM0zioipyuOnc894/vRH91rBJa67iVk3LMIuMa8xkWt80+sip
pvCSOc/n43EFwMiU/O5cFX+Qxd4wqOsAQRBa+n/YidJdDUKYNomYlKd+apQfX0/xkwXCFLEx45RB
8//D1Rt9fFgrPMg5KmKYuyXdhbJb/n29o8lDYUxT1qhrnQkNW60Oxx3Sgd1nYnBrThCe2iSdL7hX
fswLKEVpHCUGZyWU+LO9G+gRclOrfKaCtR1IbVRZYM2M90D2rY01mnBw03Cihdd2+ebrx/jJmyPd
Qi9Qw6tQopbyfqUMsRjXNYYldqmr4RMUIO0Jap7a+lmJbIetp0CK/K+H/HisYEzBo1w7OZye54d2
NMqFNeKibQdKsWw0UFkvmUBH8lqQuZ7fBjB4JbusI+q5Xw/8yZIxkfU02YAm++9caxbfSxJY9Abt
AbWqm0RTc7utqvGf81imZ6F7KUO4QvL77Pwqqwkuvwnwy8rMYgOvMUDkTSgMtkKW5dqFBfrZ0uFo
phq4PlFAc+/fX69giQVOlXupOcUbtL3A1mWxgCp9YCQH9Ajng0bRbqOQXD/8++M0eIy4jZgsH21d
Wn9lIkZM7TrUNdD/gJluJTSfvBJNxQt31M8WqCFzJyaH1LiqnuXMaD5VCorzIJP11LBbAAsvyoSq
J/jbegtPpN3+D7PiKo3QLdceQvX7WS3IqZRQBFmdalnFLiz3SgfmhUjWhdX46cS45a/JB/82z+76
KFMBC0WhAQWXAA4BzsA0TNrSmrJtmmtie7fA/LlUCftk0NUkhXsPD5Mj/OxgWGRgytUCz2bGsY0e
FRSuGRx8ia5NmOfu14/yYybH4uCGqnFP5VRQzmJLPqawbJHVgRLVQS5y4mWqsye4X0Y9wRCfR/nS
re6PL8r7evBqmcLNyuS5kj2cvb0pt6JQpzVhW2y73IuHTjyMEwpiVtwV28CkdSTFdbuJQEbiASjQ
nrLD2aAhmKORd2HpfhJvLIRPCOmKTmw/Ty+jEWQm7lAl2Jom9DDSBcIXohT/9VP+fM5/DbO+hr/2
YaJ32SAGuN8EyzLpdtOv4lpYRaqakytWd9TySNiJI/01M0OxtspoRSNcbuLKk4gXfKo+W1+88f+M
FYgMZ7u1REwuMFSmHIIdd1TQqr+Upk6BhInhfmi5o309+c8eMcVvzhJOztXU7f3cVX3BmwJZRtvQ
lBrdNRhExpyPF2b12UI2MBKXEMdXeJfrrP96wiCD1WzquScgoVc/B0lIH7GWw1eMty+lAp9OiDvX
qlAOtlc8e4CoIwMQkEg4GkzE3aABEUijJrqQcHw6CqQSAg+1D+L3+wnBawoqGdtUbILD2PSRKVJ7
l5sWDOiv389nTw77Ho5WCu8UH87S+Ibk3oTUykBCJ/oCyHTXKAfjVMEYvv9fhkL42VoTazzA388p
b6e2swReUjV11dEMuogOpwmMFzTRmHz7HwbD7YoSHCm2dH4LR84mQh2ahHegAeP3fYfxJQhxd+iy
3P96qM/eFSkaByByzJzwZ/MCw6TqbU7pRlG0/ISUhXmjm4N5IVatP+U8cCKSbKzlIU6Icy3mIhv0
OV5Yd0ULbtLuwYruCI7jY0SFyq962D5fT+uzlUGxD4giaCV6WGfHn9JBGs91WmfoaRVOskCPaxJM
wsjrowsv6+PcqJaoLAoOPioZ53MbVcnKWjDVK5u62URBfSrNZg9UTt+KTTxcmNgno5noLmOfgOfL
Cjd7vw7HXhFwG6e9ro2Cvg9zS3jA2gnqjtQvt0j0BRfyzY/rg8q6hHEOeYQM0/VsL8eiDmBfKCG1
02N/rqRlpuYmj3dfv65PR8HlkG1MKYOe5/tZCcKgTwvqTCDaUGBVh7C5AcJ5yVPpk2e35kI0Wrgc
UHRe//6vQEu5HnaUCa6+GObhVpKCFTIB63ev5qP+Xa6D7Pc/T4slSJFJRq2eDs/ZtBQ9a+Iw4kqA
whjJei7/jAvjHz2qKSxwH1AJSwR0Do/zlFIWEJsoloHrXamgotuiHUN1WS0coBgQ1ETe2YXd/PFt
Edc17De5U5JinjcE66GCgTNY4Pmyur82liQ4iP2ojP8c3aFUiAbO5QbRXTbPoruZg/cBAJKijNGV
Xp7mv5YVatboySUbrA8T0hWJG7ghckWWcS8/21Qo/TZCL0JElOo5fs5LofLSLvrn+jyjcDUlnVjN
EpjQ++UHEBS0t4HccAMNt7bTwkQKZ5zHVDkMfQVsL2ktQHTw5Nn8KF3WF/tkn81zDRvcyIkgdBzf
f4KMm85K+AW91GRgZeJGia7VWMv/9fznOFk9tjiYOZkJje+HEZGH79W1jActzHQtZfxVADLefr23
1lz73ZFCxXO1C1l74db6//eDNHHRNl2rv/RwhKtSOOnxNhcNv5RkG8cbEhxIX/g1XFiTH6oL66iQ
jSjrqqtg0Nk7BEuIWu+kv0z93orM63zw5DJwMj1xl+Xp6wmeD0XtWKT7gEkOFVcY0GfBI0ZXYgEa
CitYn8Ib1E4Cpx/z4UpAb90TdXhqVPYi7+tBz1fIn0Hp8dPTlEkxzkt7CapD2lhOkY1+R3qCH5B5
izmb7tejnJ/O/41ikvMqymqsd7bfaEKHyAEztQia0wioRFhLsagoOfDKLwEmPhlsNQuBh0bHG4uM
s6jflCU2ZdqKRowCxhor844DjRNz6oJ/XPjM691QZwtf04PAWGqGgps4QmLIgw3iKv+asq2jUPnB
G4O6GpHkLC72vRSBvEedkSCjbUa6xjTbFsP/+h19XAl0Z2FBEKeoNlEfeb+/YBwsiaZDTgziquIW
20YoLGb/Gnnp/Lwb5WwXcyFBE2Di8oggaGCjm/UsptLz1zP5uAAoRyDNijnH2m0yzt7KlAmdHC5I
qWFapP+UJvQcMgi6q66Ecckq6c/S/TsskWAwGCUCuiX0l84d6kY0EtR5oItFFx0VGXJGAbK20V43
Ql7fAL4t/U7v+y3ir7IzxYm8QyU3uxAbP7w77sh4nkigt8yVw3k247xGYT2PjCcrhgFQI7PoTHp6
KZv6dBAQHjxTOja6eD4Isi/ICIfP6VznlqfUirYv8KqzNv/09lZEjMpFiBYKA+F/chYr+iybrEif
RhszvAjkcmV+QzcFCqmaRBfueGcz+m8oslysWulhY2f4fskrgRGnBcmtreeQv1sm6PaZIF0KEuL7
cWjo0tzisakKL4hT8ry5wB9JghRJp6vd0T9uXd+3bf/q4Puu6x8cfn9w+bfrOvaWX7mHK39n7/ia
w4Hf7l2Xv9u6e/7O2/NLvtrf7Y7ulr898M07vtRxdvw0f2PzI/nx65f4Jd+/e/CPux0/zebH2d76
1/7Od174Ej6C7ax/wq/5jWfbztbZMi5fy0+83Rz58Veuy4964U92nu15/MQn92Dvdg/2znP4Hs/z
HM9xnPXLPL6fn7f+MOeaXxyYCZ/obh1+s3X2j95+/VJvv7M958Zx+TWz3m5KJu/w6Xxve+04/u7g
rx+Uz7bhO++cV37qli/d39xvt/frY+JBrd/tHg65vQ577/DHX6/BP4XL/9/VH97YeaMmT5pWBbZ0
OvjHl53/wKQ859XZ7p37CyP9KfZ8NdJZcO/aJpM71obvnp7ejqF9tL3nG0e0L4yjrNvmq3HOsou2
biv4y4zDK3ra3d3xnh2eN69ke3VwrxznQrf/rI748RGe3cgDqasTlNRPB/flgdXCe/r6HYFwuTCl
ddv9db0Dnw3/CHWkw+nKv1oXtH/48w//Pb747I0ja/XwcvBfDsfaZuMcXl54l/b1hoW1u9vsNpuN
t9lc2zessL1ztWU5P19f/1mO17Zzs+V9s/PYFq5zunJs9qe3PzlXV6y+/fZCCL+4ENZT7a/ZqCKW
lgnPy31yH9g3PLFLq/pPuv/VGjiLd0jtQGJkiCv/5Rh6bEu2+3Hd8Dy2O/63szf8at3Voc0M97+3
aHnav93tdvt7tE/3l5bIn474Vx/o/EjpTCXJ10V53D0cfef3dhfb/sZfH/rBJ8a594c1TPJieBGe
TQx01t+6R//BfdjdHdynkti2sZ+u3nx+AFM5buzNw+3A43OJIne7DevO27POK9u7eU3s/T2v2nVl
2z2xIF4s+5t3QyTxXXvreifi0P6wBpivl+qfC/JX8zzLrdJSmBSJlUrAPthPxNzB5nM/b3z77r/I
zPQIoleOe+XzITzi7tefQPmTh3z1Ec4SrwVpw3lcH/UT4f3AUzisce1w7x5d52q3I1pvX9gtBGsi
PqfExvNqwqvv88w5erbrKeA+8XL8F3d3PBKwWTfHu9C2v7OKfN4Jp4S3Zxc+/R9z59nbSPKk+a8y
mPc1W94cdhe4YtHKm1abN4TULZX3vj79/VLi7l8sNcTrBQ44DAZqSiSzMjMiMjLM82C1d+6rLduu
t1fb2+et7z7fii99ur/6Ebr3k/vku1uMHXbo6paXz89IIzZ/s7i8w8by82Zzt7zbvCww+Zs7955T
ZHBd312jql/PLy+/Xu42yy/b3ebX3Q0nxeKG42CxXN557uM5B9Hm5sy7Q0Xd5W53js3ebVh6j1V9
XWZm/sJyc7gyImfL5oJz+eJssVleouqvb3y449fCKNx5ZzffviGIi18nduRz64Xndqzv0CrlksUR
wyl5xv/I7vrC48hD9d2Ft3s75BYn5ACquk+NJmR2x8PGnWV1OcMyJstxcYX+o2piVHF6ly5a5D6J
sx5ziV5sXd6IdVjdilOZjWbj+dctH9i6lzgEK/4lPrvdri/5ublj0bzd4ubVsWFZV+LURKMu0dzt
q7uw2e1QSCHqKyGDVythTgN3gwix/FjrlYc9PhPb6G2+XeDpeJsrj898vgHidPiXQpivzh8VOa8+
Jszk8wLRKc9B98wCGqADFWBcgGrONXk6VUc176p4G4aiD8GJTBbBmG0zcIYdZU0S3Y2dUW2ioRzP
AfdtL43WN9YBeQwa7gcDfAza6vsYbjvwa1p/awCnt8DTPnX/mt2NXh/HpEJD3IyIU35IE9uZCrIx
CF75OCRurcfJ2QDK1CoEcuDi8wV+LdefrzDdCyr+PDWVhCyPRU3XUxg5RtzrIKruW3quQTTV1tM+
3sAksTHy6kcb9j9aBVZDfX+XGe23gcLAkWBc2cRb6IJOpY+EmZ09EPEVmziLo9LdMC/ipvMVsBQb
5iJZqRztOQWWP95lNcVn10CaZ/EqDqdUvQWqN/w5hZCEnCgi/83im6apyVSQU8cKJvLxguyrSW1B
Ze9cKvahVjDz3KOtq/DKIEpOKPpvpPtoqJk3USqjGoxC7ILGlLYxAnFOjLA94YP9fhSHqxMNBiJE
cTyhCrSRfZagQ+3kByvVGaRVoQIB+rkg/XYUot0KlVnUhpgzOXIgv0pAxEWO8ij6AVhNfSl1knn7
+Si/Ew4qcFEJ0laU1M2cI+pg/aJLAbuJQyVadynuMo26ir/0db85lwvAttS2KHZaF3Vf/nxoW0Ug
qONWPyoKiDeZ0qcgPmjkTC8GxegfoauStiDwGNcpYL8g2prmNVfyUy0bH5eWfkbC4FSRE+PEJBxv
oNRTcSNVEbBqtl5eRHGWbwKnPlUE83FpbQqz2DrZlom7z8soArnsTLlIRxe0hFvZNB473b7fT+au
A1gPKP1mY+nVCedSuI7Huk6iWAXEiey3SufUzLWkLbwnG5KNAIKAIfXNKeBr2RSKFpoLkP+LACjt
2qc2BuT06OHz7Tw+2cXJYiuEEygzpSqGSufZ0NQ00+MfM7Rt0ienDftomRdBuYSCkh7UpjqVEPrd
VHXqVGiYopiWcMbxJo7KtNd9FZjCugeFSh3S6Gvi+/sV7W8RmBNWsYEi4hQt80dbJqq0qByn2wfJ
mRcxBFBAg1cD7DU4k9IilnPJi/XaWRXAnnqfr+dvhyKVAjYHENOc2MfzAz93gkYb7D8AnXuVA0SO
5eXeCbN0pUSTYm4+H+6DTkCFTI2rqSOyooRydmJLA5A2tkFjrDEAqSZVwI4WMXy2n4/yQUhEAyFD
iMoMA6Z6oTPvrnvOnhv0BDQo+MWpXS/xzaPMS8zA+EXLvg1EbRHpq8+H/LCOsyHn65iAy2BDNLUA
gaPwFD1+jiyl8dIy6U5M7sMSvnZHUnmKd0U5oTk7F4JpDGSQKsOFP5btFgi5dEHLdnZCLj6OQrqJ
4kjqzzhSodQ5XkLA3rvIKgGPceLaWJZBNwGkaU7rz1dtrl34LmgVeoWUqzYA8cej0DCvQMVJAXK7
38u3g9PBZem321GzOhdeyOG2y8cTEcMPQ7JixJNFN51oppuH4hPF0gatpr81rCvFG6CVMRZO3kjX
CoCXV47dCBjhsVl+PlGx/e8tJrlKwpM02bzqNDHJ44kmQ992cgw/Z7MK3XbRL/O1dqF6pzJOs8CQ
idE4Hmd25uAttmaZME7h/XjIPCjR3F+768fPJ/MaJv5sNtrxbAazDgBkYBR1TZ2nC8XaUrkEfc+D
lm5hLKmIcs8qdwerkTt+/XzseU7gwwyF4L7X7SpO9EownUobfdEv6E10f1oX1u5Pz9X5SgqFfzfO
kGTAdGWMo9/s1yVoRw/0me32J+RifnrPR5kdL6AkRYkkZjOtoGxbgOe8yBbFCV3+cE+ajyJ04t1c
tLBS9Ejs10W5fIoX98/G+vHh7hShuSK2/TOxmJld+suSUQkZplzSDbQAFsp9AAP9alpYX4BV356Q
BCHLnw03M7kOROKYD4brF09g8bs/M3f3srh7ODHMbwzGe9Wd50zSOqstENrFrAAmXZDDW0DluLA9
03tcf6+9L0A4ntqwE+Zi3pdO6K5wAjFm53GxQ8HC5dfJ/fnlMnCva++RO4EbuNGJg+XU/s17HjWw
09RE7N+4eJpW8hqi0mW9Ci7D7d5N1q17YmGPo+YfbJU6syKxDrQFqA9iksEi5T/dBYid8Pwp+Z+f
zTPxn1dS6xIMkQEFZa5oNHS7PR2qedXuutg6NadTsjIzGrYV1XYmFM02vrX7TQiFRaHCQZvFIMSd
qgOchR0/LuDMeES2pBrgwL4tYHIFfZZnraDmXXwJvdAjqjxiiGX35dQsZ+H0jwPP7Envp1A8lQys
3am7+iG/LHfa0/6aLDBsKMXjeJ/twivt2rg/ITGnlndmYPxmCM1cSIyGzACIhXx2G7y8xd61FsUy
W/qevbAX5gkj/SHYMhegmaUZ1SxOaqEY1IWtwo3i3acLAqt7t2B585XqnjzHf2cAqNOit1KAGNBe
d2yx69hOM1mIbLmEAhP90DwHz0FfOGfpAmblm/oaopF1tdbPne2JVf6dXX0/9myVgfkbE+pW8FW8
fmk+JKtg1a9GL17VW3VzKmb2uy2lzINaEnodqFWcXQgi+EOisSpqt4KUR1YARQE1VB+f26zyounm
86nNDYFInNHHpFIYSe8ltaTHq2o2oboPEn1aSFqjrYCthOxCqUKob8fphAnXZ4cTQ9FwQ/0lreG2
BVzp8VCJrZqD2kFougc86Cx3sow2LS05YUPnqydG0Sks4jYgQEzmcRVdGeFjqkGhbABLuQIL3NpV
XVIv5FFNr6IiTb/QYa5c//EqEsHhWoXTTm2aKeTnnTeRg19V1QUU2vCAF0vg8rGpepPewCKUnJJF
YcLen/FMkDscgRv6Iw264md6AEliNTmWNC6srMucBZBk9RcweYG2rIxci+8TpWvA4U+toncpOKgl
F8jq9DqJxv2D0WRNDq5T13XbMjXVG4p8S6gfq7Cw3UKGzvLzdfngfFMKR8kSNQhUmTsaJUXHC6PD
bZY1lgW3uNJ1UMFJiT9iDaESCLyhNvc0sJhGN0QriOe7x4qCsJ9+7fi2p1C0Na2iQjNPAQ/N/Uvx
SBryQdURCPzQSx4/kgR2ZigrxbCA+SqG/0FTXTjC0u/UYxgAyRadvRsLlWM37IYTVvOjsmlsGl0D
xIOJ0L9mmN+JCQD7Uj/StLuoGvtHSU3tlwZMyCuA0E817/xmJNHgbFIdSVSBEuvjSfq1YCJ21AmU
48ikwpUWdC8fI0DcKR96/nyTP+o1IUxiXqA50UIrzyslfUse0hyE0YUFQuGyqQZ4N0v/xB31wyWH
bQPsQqNThro+jgAx43dr55Oc0KKp7RZ7Kdi7A0TvbpT6motApbuwnfKlleyTpSpH+gVFlsmzkY7K
CQv2UfV4BsqhRRM51f/zSNs4db2fl2iXDcWGufTzvXSnxzKtGk4DROEWVgkQ9v54dYUdo++aCmyF
SP3xvFMjSLU82YN/VOcAE456vEpTS9v8+Sj0nIlkAaWgAJgcj+L3HbmpMepA34NmHYBKyB/yUf7j
9dNljYkoRNZEedJM9eJRi62Get1F2BfZRaLXihdKgAL2gLp7aTvsV386K1FKS6MLGRAkR5/JjDrK
dTKpDbQ9U+jvolyatnuo8k5cEj4aFFs1gNJgUqTcPvSCAMZCSm+064UlhZkny8ASJnDnbGTbkJZ2
avQA9g91t91L9aFS/t9+Dv/Lf86v38x+/Z//zuufORicopp/9vI/L8KfFXv/0vy7+Nh/v+34Q/95
1T1XTVs9/3XxWNR/rdrs12MT5tn8M0dfwUiHJ/Eem8ejF8usCZvxpn2uxtvnuk2a1+F4ZvHO/9s/
/vX8+i33Y/H8H3//hAg2zPjN34dfb3/9x9/krUS/y7+9//bDny8fUz51l7dN8Nf/Tp+r8Cchm7cv
fPfJ58e6+Y+/JU3/B3h7lJY+X0LXuDF//9U/v/7JVv7BJQHqBaZsRxZYS3//leVVE/zH34r6D0c5
OW0SFRR2IkJ//4WSiT9JhvEPaBWiH5u4v0xrmPn3fz3k0bb9axv/ytr0Og9hlOWbZzKk6zQF0Lok
wKWoaKck+1j/8Jn28I/EtPTA6DFRjFiXIT9KCbDSuz4rwFZcpJKkSvHhd7BzJq21DsIigQ4okHMz
vgBKP6vD9T4fMCgLajRDeu+lmgJBmAbTwABgbLJgRgWON4x9LVmSKw7s7IQ6KDMPDCNNvzM7hz9E
UfQH/zUemzSuSiXajXQG71cq+WYeIB9VHjETiPm2145mBXhqMZbRS0Wzq/EtrsELvZXplmlr+OhJ
Z+iA3HW2uZv63iif8kCRG3sL+m5QrqoJyuovjp0CZnDi6V8b0t65V+woiT+bSDmGilrbObRSmQRF
NbZjsuuAFODrJyy9vqmzjoMBqtAIaiA3AOVUUF1qVglhpxkBtg6NmmVl0Yvh1DyzHsM3dKHKXcu7
TWNq1au64Eq1A9u9gyzDB6LphQY8K75Qct571WZJyIwr34GQYiF1ds9oDrxp3S0kV30UuTHN1oHn
VNzXwYXOWNUv7xTnIJNHMihs/PHMYWlm00SyXvjAs5Mmgkmn1GFN3MEWG5jfnGAite3p6qCWT4LO
zdyB/2HpG7ANIuY7kJPRN83rtBTwNfXN26yj0Op4XvAS2XwTYl4m9PmTvuUJZ49KRxI4MRzHNEDN
H9WMW7IYzuBsq0rTyifIgXJEPYIPawQpEnraIvNqVbCsHdSlASU1q2Aipxo6WCsA50h3RpRHfKpV
0A0vk/02U1YSVXFGsdaHPKszrxkHKS1+WfgdvgoUfmGjQmYzwia8G4fRQqzRILLS6z4GMNha69CL
1M5CTqNaqnfV3ghsUJxY0866Gq3cirIllBxwhC2ilgbzcpUFfm4pKxqRSts5l+pErtIVzJ2WoA8B
A6Ubr3UThG5tIU+11CiLFC87/amTL8oo76Dp3oH5VdKj0t/WlWENzplihlD0eNHeqZurojdDCajo
VzsCVkyWShdS28tytTKrDP6apTIEACqfOx3+onwDmi6IoGtrSNl0E0RzlgkCT0xM0iUlE3WgisUi
xYVTAWzjT5oSb0J1ABt1XQ+QQ+1XsRz1vYoqD0rYgthZSExpD7RKo60xAjB6AccK5kK+NWiit9OL
uDPAl1w6I0bB3/p+a0jyJZXeQdYvoWOCgPIJoPw491fgoOvlk9zCdOgvi5oup6emj8WLBkw5u/a0
NGz2SQtVS14pdMRD4Aac8HWcanADSq4UwKOunpVZKLf+2QSfRwgNaQLdlnkOJXJT6qsOSuZQ/VXW
sdGEa7rQuyRYOAMAAMrG75NauhOYqdG4TZzUQhp8ej+q6mGSNDiNz/R9bnbduU8imLWiw0YIjGh6
8cczo5HpQznMIVYrhUqVVvGlTH1pYiClIbhJ7VKH3blPSjO5EhfIIILIKrA6G7xuxEyvyQEldZCk
4D/7zpjeOGqddMplyC2gyC9wiiW611vT6WR5DSKdorTLUWoaYK8B7YWNd5HZWGd7FcFrjuzv86RC
lgMLMVFWRAWL4qZVED7jBZryos1u4kYJ2X0NhGhUAGc35pUtjUFlLmtgcwwFtt0AwnVXTtpe0rwg
aeUkXsvlqPfRorQLPb6ASUscalAhCJXRe54cdoIMdh5nMVVqrie/UqBGyvLKgWonrwHMtyazWdgS
fGz7RRrHadA+602Cal+GmjlVyqVqprZS7NQWOofgGw0/AIVsIcxCzZ8dMktSsAz7jOvPyijgHwm/
7Gt6g9OXEmIwtfwF8a2S59d2FFO3cw5xB5y3C+jLizTcAISesDgGpN5FscjSKIU0phhseU8HqQ01
RlVdtqHW1dVDj8Es4enW6LzQdxX9u3vruq01C3JJgMfKtqLtRKLLOi4uE3MCEupX6zuY8huoKR2o
tDsHoLBgWSpKoGnfdUDt+nCp1mHYwHxhlgy+a5I6Lh3flbk6MlW4rkxNGtxaShVJugABRy76OyVu
QmVYlbnW+tOyD/Iia2il7eKsji+Gikxjtpyqtod6uLZ69iRSKl+cWlKgDIXXNpJkJw+N3bV1DBco
ZM2RR/cIJ68gYNKNVWE0lTJ+p3fLqMxVEtO2mVwgtpLcb3F0o0m94n7boxn7fQ6a5LIurHaveWnj
h7DCw9ZjduolzAUm5DQ1zK6VuTaJmWSD1+SpIYA8MKJmv+RqB5vWSjL0LtSuSj1M2EM7slIfQrTQ
gn6HnjzbV42vUA/g3l/38N5aimfuJW1Qd1Y5RMNlCpuAle9GyYqH4naobChaNqkuOBDP9ooV9d15
PA5a18FN8mrRwop8ZE440Ym56S6aHCetwtq+KnmZGAqf54mwWO7emIRDM+EF8SPnmsnfSiYEtYYL
dJZ4T6zlphB1ey/eA/1La8rLw3eD5/dqvyozY5n0HrDnatm1xEdA06obSVM9vTLNMloMTVfzwHlW
9rxTgefbiTd5j75cNw4kytMLBPUA2XCrz9q4ii5hDY15p2Q5sDls+gL6saeyTLJ2uIrCBO7jJc5s
jmmC8lYZ9/eqPckqNiVokik9D/1WwyEBPRt/S+3EBGg0ISd8aQ6ED4eLGpYeZCZv+6L9qZV7yr48
pgaT7rIv1Ea6c6grQnMORsOA31K6yyW55JnavNyb5Sp6sycT/Xn88r+e92196D7k6EaZWpvJx9mQ
Weg5RI26soikrNb7ldyBha4suRD3bXDDAWKaxWI/lE6u3cB9bWb+udPSG4NMjqaVE/mfCsOgqKpu
Bl1bdQPkO/rGNEO/gI+AIkS1vAVcJZVVGFhgIKgWARR2mLgMuPq4XnQTHqK6Ggwo1l/SaZ+pdISC
tV71qz5mCHmZ5vZgdecR8AR9trK1cBppXJaMXn3RGh79pxWbpFiSrgEfyuXdMUUyXTKF8AByNkar
qYF6z4SCpVK3WQY8/R1MDWN/FhOw3dkZXvsziu5bO7WBFuFMM3tN27ZTDf+rG0NRGge3E1Ss0p32
ZldDUwNG3c2aouDxDn5/9CaPtVMJ9tBkKqlkWE3gmrMleEMmm/umB6XGVUNdOlHfGtpVCqsPb8x0
oxDyP0oKkjHR5iYv6Zzed45rhp1wonpfCqrGi/vUUstVWIz6oFza0CazosMEyyKwi0FvdDXIln2l
Tcu4VdV97U0AIKNuuVYPvCWqfZkf5ZAJhzoKHcxPTdSF4XyqGcsnilbwPuSRYGy5Gswx4OHKEoIR
x913Mi5LoU7ii1IQT/iRv7oIZY5A47dBH6np50PQlZBidrkuPpUXtfgbeHM1gxxWEJJlmEY8xQyE
Kted3rM8eQ3s1p026SyBnDrQdHJN4Y5VPUR5LCyAbJVxBZ2nYUHd13gBGKpSdwaWAshXuEHWEBsr
p1VyG/4Up0uk5LHPtIYP5qUWsIQFhCsptQPdFFNjZFlTNQ7bNPMLYJSgSxIDpnEkVvkwfBdxC8Dy
6IEv5j9MRJtXRZ9RDHAHhZBvjwB6OLUAUPdhKzc9abKoPX6I0tRx4ONJ8WuhSpr0TGwnflNpdiAo
k0wK152zp0xvC6a+wjr2EPj01S7QnaD3V3kzdIa+OshSOqVOXS1bxLtuVyRoOrlYO+DhFtOdDU4P
G5XEnd4OKzXv7CzeOC0EBbCbyrlSXJd7SxgHKi5LHkLOgCBYMxqXXg2SLR7EGMrqX2tUcSFAouQG
UtEeXkVA5OFoepPtg+KOSS4uugcZqt6Eo84TcRd+E+ARMnM+TSaSLPaymiQYs3ZNMQh5AKVVuGzg
MGEJKb+0Td7IWiZPhUS8mjowey/EPgD2gzPEevOhGyN8vRm8rZb8akCBWBF7NaWp8JgK1d4j54c1
y+qy16DcLse+hxCuanVAs4dpEKoQAu/OkXUwkCo8WKxPPvrikXH5Ep4hcPyUV4EJpgCC9qoTI/ka
u12Y2l71i4WWNGLU3DAlHlZqMSvwz8KhxCIchBwoXyHdw+FSg1yz31aY1sg63b8iSjC8uW34LvLQ
LMKiLQXXNJA4EQHYt8+9GY0iCcW5UBh6xWGRl+wwrPcVJUR3B8klKDjxrPBBCVE/7EBhMIGnAB+i
ekrBWCqJZ0zaxAYfzMLbSvadIiZ/2Jo64w6ADiREQZ1VxHWWmMjhY9VeF3vE4aCGZCB1e6yTRSaD
DiNkS9jIg9pjaMr/NnngWyBvPlQ0Q4HzPalRQuX4q804nGdgJmF23i5RplRBDQhpep+P5pX8dgvs
YSZlykQCyKesDjb3sPpQTkplvWJ7q+ZObRtYNpbwtnDGwvglXDBfsUNhZN+e0349NA8bOL0qxN7s
hUVPIVRkbQ62bcokIbA6wOR8x+GXFYEfFifuZZXdJOAktvgQUsq7SebjY1qKRx3h4eJVMihNhaOh
ErXgkLIrDZoSTauN+OIgIAfFsENZTA2EPoeFm4pO3HoLzefqbOqAesuwahHMw+V5vaMdJMiCWFCx
GQx21YENCYT2djK8LjQD2LkD59UUUboHxrKWiUU42G/OChHWUjh14orwLRQ66XAiODzPTZkkCkWX
LBk0gT0DzMNxzE3XQ5NqVc1ej7gU+LkT6HLy0glDMTTIzGz522YkCC/LWXMoYorgExJ6uk9bcUjA
DCwM5ecBjnnZCUEoYpRAIoLzqEMQootw4btkR6PsuV/bw35rmH0RvcSSanW3UVSOUootUH0dCIAW
xvEVaBtsVcA9N74oC8myYV0CtjlzgQwidpQWmgjeqGajngDsfU1pHodgTJ4M+P03TJ35I9aaE8d0
HUjbt5XSqzBh/wSqKWsEVkJGOGQYuCaZ9/mgh30KE5QE1+V2b+yDaYD0NBmdiey5LjWtuba5Sjja
pcrhZPSglOYq9+JJKwbDQI5fDVf5drarr8Gb3LfZHwn+No3Au413OW5SMyBm6yZNXkPCcTj2OfmE
K0AsCyWP6b9GAt+sVtQmwgF/C0wejAyMiUI2D68OKhC+XZWSpCSx7ZYyxO7a5u0swZ10UDjCVOLW
AE+nUNSDoTVtZp24h6ev3vwYCVpRnkA2fRFUMcNQ4hUiFeHnkx0UstTZk7C+eUz9vUVSgTDguD1Y
bcNKxN0j8aEZQdcMqxH2LpPFSY70ildtuScuomRdys3+oPQnxFNoxvu9ByIXskQQjkiioje2iCS+
E09W3vATUIEgyk2bYr824Eaq8hXMpeKe4gRqhJE/nJTF2zVngp6rfDrcjqKwZfPyt78c7gdvvto+
oboeErW3U1YP045JnHh6kWU6fnqUCqeLXCydJB/03tIHHRouPJFDWOJNlMy3i9tbJP0Q7NLayRnM
K5/l5qHGEdIweaFOgq/kLaT5/yCRs37OReqj/v8pc9NmjcgD+SSU3udgSKi82xqRGTrK3Tw8Z89T
+5wc5W1eP3PI2hjOP+SugZ+kk0OjKlpDzg5ZG0v7h6QzsNckYYGipu77X1kb4x9MO98jqjGoLRaW
6ZC1kf8hHy7SK3RLAHML9rL1J1mbV4qif0mSQXsdWD0mTR8Qqwj+mtkJImdJm0r5uPceriYKoX7R
bHodujSaUpR4ef28/rJ7+fZrd/dukX4Tp9eP5ffjqLMCkCnd742UzIr3o3QfbnL3HkY09xsvnp7P
fXcQr5/Xy+9fHy/PHi7PH7+83H05+3XTu6ee40iNPj7G7IySU+qUppjJ5/mDIj9VwYnKpNfz97PV
ndULqYPeqIaYZ+5+e7ihQNH98fDt4ezpGY46l07sbz8gznLvn65ut1f0/Iv2XveaFt/t+eXt7fni
cnm+vt2ub2934l905i7Pftxdni92d7vF97vLxd3d2dXNYvdydne5u/HOzl5OPP8r+tonzz9H/bJN
ObeIte89MAG+3dBM/uPqx9m3b+v1/dnFN99dnt+eL9e786VoSgaoQzzi7ubu5uxuSbfx5zIzb8Od
S+q8QyIP87iotde1fBJiw1o+Pd0/X/vuPTBaLOPt8z2d0k+hG/JPoLvc2/Xz/TPLez8Iaf7KO78W
7vX3wH15/H758uv7403g7h5vkK7v1y9I183dy8PLL6BT+e/h5uWBsjX32835+ffHX2cvd4F78+vE
+mrHecYPAjgvutLjBloggzkJjBJ6xsVP+oWXdA2vBXoCkCG0DtPN632+mJryueSb2vHxV/j5AFf9
sPeYIWJ48+vl7OkKiGf3CRvp3l6yVpl7/n338Hj9eHliJ4VWfSZUs6O36UlKwgAmaJ43pfk1lH/4
8XXI9bEpWhicHz6f6qye9m2NqZIyiebqChVLs5ygEctt4sfRHppmKKP7c0Lbm9TuqW57Ka102Wvx
j2l4DCVtmXW3eveVJlz+tpOmxzH+0g/3fnvva+GJvtbf2l3TBgcJVHvQNx2xQe/8DzgaM9nqA2EZ
7p9yrN9t6D49XT+eXz9+v778dSe7D79OqfOsAOmwFO8GnS3FFFSlbYLx5dUyPIPGVygD3Fg5G8Y7
GFHdqtnDOX+mNCf8bFGicrTfACDSM0kJi8AMAo/ueKqjpLa+1JaTR/yn9iwlnCCTTXvfG5tu+vn5
bs/HAu6O6xCIS5yRtKjPwdmqrm+4s1N8F0xWd1H3o0bnJKm8KgrT6//BUAJ+loojakLnNWN5qIWy
Q+TQS8pmujMmv4kWJKq4QhOIPpHYFirxfgnFtAxuHODpQQaFs3C8hFbOTUmvYNcFM9C4cmpjv6TL
KzkhlL8bxURPSKDT26rKM6PQwRAWUPFkeQ4c6+t9b1nrzJqcE7bngxSKyeBwA5BpUq5F4cnxZAqD
mIw1giCg1oO5Cigj/tpDR6stMsPa78K0Usk77ZvIK2Pb8FQI935GMJGcwin87WyBbaN1kYgbPtrx
Y0DEUZKRHS0vkiYTjumOysl6ahafS8mHUejjJUiBe0e7CeC3M0+nNoLKyvat5rV1Fa5je1LhxS6C
9Z+OQkcpFUAmFDdUZc6LCXwgE/rAtAB1L2V5QTkKoSNCbCd27oNy2dBUqCizZSoWSfqZu2TWZh0Z
nTl48Jc7u6BUnEXbaIGn+GHgfj6h166UI4mfjTUzGo5DcppqExiI6cjVgvhWxP3Kutm07X4L7+yS
BquvORWUZWct/KnYIGdLqTRXytBuFLPfWMmwNIbpkRofjxqfVaR1A2Eh5csQ/akhEI9K3YlBC6ch
araPBUlW9lrUUxjuaVkEdJ2tfdPsQIKjqfqz9k0w8MRIgA6IkAVRgXn/QNzYKZFibfD2lBFckPaV
zyV4U06I7PHV+G0UhJULAXOhckyI9LujKd/HRLpKfYDKu7OWZhT2q6Qn8Wly/XcLOzjV8vVhr6ly
545DcZrMHYQyxJkmhrBkc3ZUo6ecV9fGVfuQXVTfnF/65RC6zdfqLHoYr6fL4HF6Ca8dmvUqrz/h
kry2Xr0Xt/kjzObcw4sgJT2PkD9od/KtdaVf5i/m2t9pN+Dp9td260pf5Gva/sttvdGutHv9hPGd
r/r8CWZWsQs0PWilcvT8MnJtOu8rX1+pRr/Lyz/DrURERY8siKkEPiAtAa/9eIOlyCjkpm56T+kA
Qlbsqbqr/Ez+9rkKv2KDvF9ThgGcGCWlIVcU5s7W1C80OLutafT0IN3aZdF7UFZ9sweV7GHRuVml
LKR4FxRfNKVfD43uts4XKy0XQbGnnt2eXMs+g1z429SvyFeS4T1Lqp4MeO1RAaTm5gKKSdeGcV2L
HiGndseaUprvivKdVKe7L7bKOK4n+Rd4Mq4sfbVo04jNZmlRux6Hv/Km+MEJujIqCOhPTJzlm80b
tgkCoPg7gOTMsf1zcrDJREDeS/PJeRoIbP4gy7/840HwqQBtxR7TLTJH2Y0oDWpU+Fc9fUzlVVd1
N1aSDyfiTGKHZjMRYBfMAYMjog3HgkJ2sqolve49mi5G14ltgrKNHf0PpsJ6UaQKDxzRkpkrbDo9
VDlq1Hu0gWjnYF2OC530yvbzBZtftZBGwYOAhbFVymDnjQtaz8BB2fXeEMet2/SJc+doUXMxlFO7
hiFdAztoUE8A+syvOq+D0jfC+gnQEGum1Hs/zaHORBQ6UgU7q6oe4QfWwgX5Igmy+hKAcGUKYo/i
eOXPpVCg4KPjHNiiwvB47wwtlTJIC1hVQ4s98u7gBPWmesJw/k5CsCXAFTFJcZE5HkWz4RsBGbzz
4tS3VpGRtDuFU/cEMgmVyB8FkZYTaPVeqb6d2TpKSd5RQJ72XkTlp5slhbEoySFcQ9Ru7yDftt0g
HtJVbWYqb9GUZU2n23fB5KN3vYY49ZYbJel90VvLUFdOsJO8uldzPQE7CP8cD12F4+B4FXy1HeKW
09JTtNpXF/umyp6MQSmuqjAXtije35pml20m7qdcrBW/vqFYwBAx9ESNF9KkZj8/l3axILMncujv
AKAV75anmpn4il4kYPzb1rP6Vt+ko2a5OArBigK3U+r7u6E0woeYCIKVtJUcTz5QnL71G+jdYaiv
i4Wd58NNpI9avpHzfd0tP5+YePDjiWGHgBhRBKA/fvvMWBiF7ReUWbdeF9qKq+7VwW3CMd50ZpEt
iOeH55Mmb4JBvS1k+VSbxIepgmxBuxUckvwQanU81abaV5CNRqXnpPAkLCCl4RSqrC5R132QVMqJ
uX6QerSK4nMaWrgoMejsAJWVxKT3Xi68MSqvKD79Vmj05uyt8UdSl/IJe/HBVEE+BxqOTGsBZwpg
4MdzkyBuETVmUN5EVrOUR6m7yNqp3ZpN3d3WcI1xnPXJmjyyvfp8Sz9Y5teRhf/D8mKlZyMnErWO
Ve3EnjlScahKxXnVFv5iKoIflVNsMoiiTni4H6wWI+Kwg2HsYCE/MEWHlOoQVzcxi2UlL4qRhHEz
5acAxWbbR9sr9gAXABWkmYCGzuMVTY1WSRoLsLJciQztPLXDpL41UwrRoFXmHrGGTzMuTpw4MxFl
UNBARAuU4NOEBnum+BlVTtTHVqlnFUX9M6SIYp1ywlFRawTa4+cbN1tGMRasVyJ3wclGFmo2Vscl
ZK/FSuo1FG7e7KNifx9OafFnm/U6Crw49M3RLvoR9mc/jY1BoXTqaZUWrycliB4rTQv+dN2QB0F+
De81YCRU5h9vVjiUvplPrJtRtKm9SrU6+6rKY5Gs2qqsT/j68+uGQNknFsCxiZTBkzDPPo6g2iUw
L6ReSAeHvbXouzVXGSk6+NgrI9Fv5DE0nFaU10zmVdFX2fepsMGmK412jJYUEefNQg0tK/iRVkn1
JPlxFj3bmVRdwDVK0TmUnE0fuNSB65E37G2zPusmKiQ8P4qdmz8UAyZDc+xr2wWdJ3Mnp+ydUJoK
JqNNkQPXqQw1cpSfol3+oE20OHGUoZfkjP8PdWe2XSeyZdEv4g765hU4jVrLkizZfmG4haBvAgj4
+po4q25ZRyqf4ftW+ZQjnVYIiGbH3mvNjXX4ZDW5S4CTAOFKHASd6aIWkaqOZy4wfiT1TvuMvnBw
/i7+5TMBCPvVXGJz4L16Mqn5k0TmX8Wk5LrdnAcbG001Zyb4iVTC+TUMEgRiNJ6PG/7JOiqMeUSQ
lVYovlY/rP0svZ1RdUf61K2Xxuy3Dx0i4SjNRLofRhpaSH9QoWF06uB1Q3pcg8V4/ttvusXKBP14
idiST4lelS8pXOdZFQclQZTInXmfa7115slfbSC8X9J3xI7YdbheWC8XnVKLqKqOUfLeEQ9+lmV3
c651Z062t0Zh+9iSGTYOuVOopjb4Wm3RNTtuhbleiVEbD6Yw6v9grhAR4OQhDsR9tf0Wv2VNiqxx
tLINSqLsCbG3ms3YweL+nzzLhgWgQxMf6NR+utI2sCOKLFnTRvmzsfR5hw4sO9et/uRI/jUjNzch
X4b8D9fLlw/Dubk5dRimHOgbo+VFi5d87WJDZvJAXq5AZlecu0u8OrqYDRxbpAsI73i0kze4Cpk2
gjMz9v1kjI1C6Zg1NA15VV89/u30ZgMhhiTe4SmZ5S+fr3CcAZGGytBsWVyMjLqrr3Mse3/HqNlW
NnMBPKVBcE07qNOM6Twstk5H0RSNVeF+xMk01V04DMJ0dwH+J+vHnx/r9WeDhEH0xu12a2l6+lil
0bsDxzXD0eLvsmeXcPZArOlJ3taJfShopHTU+bSHvx12W8c0QqEWQrL7tGlYvtS5pS2lFrk6Mv+d
awxah6BGa97JsV8cdF5YsmPam/ZnMq8nlwFe7zZlmI1bZ0Par51cPVQPJ4KO6Bo75ZxcZY1XXRRe
mh9WzFxRWmPoQgGv3XaGlaM4ruczz/36SCLDQ6MZrK1bges0646qo1dliTfN04WYQjNYswpnu5FP
4VJZJISRzE7nDPzb1PztAvTrmbltBTSFQVQHye/l1PXp917ZdNGJEsfXdqAg8J7nuYr//Elfr0Ue
bZu+QB5Q8J3uzEEu84FMXRKpflrna1pJkZ+joaPWxEXOxDpzELwajqgLHwbhKmNRvjtJI6Sjsp3R
XzWMVat+GKv8qUT6dDQ7Kf52A2WeoJjE1gvJA4DsyZTRhnHs+yzxEWBn2d5fqcckRjGfeX2vFuI2
ClUuJiahK4fby4+UglhoNBAO0TR39b3pj+JzRzDxyRA2ukc00HWItMd9/MuPxqiccL+upqyI07dI
RTKw+hEiVZGo+rJ2Sx8pvlG8n/s+PXNnO7ktwoSmZw5QDhpwUgvC9f3yAV3Bf1rtxotQ4/dPdHJT
03t3LDUBF7egk9kNN1rPPshc0n8xtKa1Vn8bsHPp2LJBJJb5SRCVXv4G5WBjP7RKBzE4Ry1yxlqF
gV7Jp6bz7b+96Gxjbc1tt3scy2HbCH472xdtzHG9VE6U5WN7ORZac2Ni6jozaV4tAkZhPdswMggk
OJhejpIvE9ZW8ohR1egF7UxtLah2KVldPeqM1DuXIHw93LbCt3Z+nEt8z5OAWtk9NWtOR3y87nSV
FyaUTgyv77zKrnZ/OzEZakvWUP13uOCfxHlpYdVZuUieTOt0LB1OZ39aOs1p991oan+XkmRqvhzs
ZGoaoi0SW+JET+dpRo1do3Svu+rM3v/W2yPxTrxCYZ5lt/35b1OCTXgxcQLbUAk8r4xy2Xv3aeb5
gIgg4f4H748+WHTkZCfeytUvB1tFSXV65P1lVuLsMZHiBRC2dm0uZ9mtr840h+wBh7lLd3IyT6cp
f2S7uLJyhjK8cXiPKcGPV7/QL0dRLnGP+frMMt6+xovjbBsPAQU7P+QdQNAvH20Mpt6CwQYPEbvo
41TRBDHwqnMN7t4cBTwxGxa5u1cJ2sEI2mbOC+zews7f1XlpXlRw5f/2Irw9C9l+SvEbxPo0X6cy
CcndK5nmXqPCYqix6c/rcmYyvPGF8K6S5WHzpWnJ6UWYH70Odq1bkSZT7ztfsN2NboqQpxuol5r1
MP31vsT0JvGpk3/h6uGcbBRtktKYjStUVGNghOS4Dp6NVKLTf5BWpzD6573i9dGJY4+sCP0jaXtH
BuvlhBBT6TnAJazIUVYQuXkmIbROc3CTYiOIsSe/m2Y9PZOQ4Vq/PcWLieiD5APrhu6WQDI4zULK
CfvvWpiAkZpOPrZG0s1HaQl5jZzHGmKzdTrsTuagfbLqprzR3Wom07+0/q7S1tzbF0HdeyF+TXGf
0okioFOEoRCb5YDpxt7xZ3xpafVQtEln4bJp1BBJt7fKPSGqbCO4FdlDwlJwQod2E1c+Le/6KPVT
XYSt6zok8DRlfjA7Z/hUyXwVkZG2LWY32Zj71FsTlDTStr/Z/OWborVXPy4sL28wxHhBFttpW1D/
HD057TPMzY/VNBkXoFOIUhsnbS71XPd+BFpgYKqzEnkouiS/dsSSkj+0kiCNssHJ3yFlqeoo7eby
2GtzsUELdPcrZt5uCseRVHEoh6K5HlpMa3DUO83bL71ndmGe5+mnLtHbMXZSTOzhoNPZFfMplJI5
GX0yYdPkt1G75M1zkU1JyjtKxkcuu8WnccLZhxGcelaYaoZxPzYw0+Ni4bgPCfLERzDUwxpyGWuW
vbGq4Tu9AJo8dOaheAz80lqwpUr/mfb09XsUTXYRVkKzHyerEc8KbLS4Glu8tuA3vKkPu4HiRQla
LQhNHMtrZCb4BWkT3Gl3zrDmH1ODCC6SEDvGXecOPqWA3FGSorVBD0UWy3yzDm7VHTyZJi2CMGte
w1mlBebstZ2PmtniJfIz25p3KQ6eTwtGzU+W1mkujARlOhda4bOOR9QWPwa0X9fE+by0ZeibG93p
VB8m+ppea+ksq52Ve/6XXLdLMyzS1Ksiyd3aimBbekUo7VJ+haPnAEUUhf089Uv/ZV4G56ZMpPu5
o47uXTW0K4bkMHndXWGOs0m7UXcyQt2Xw32a0PIgMu0EPzOc9VbtVtdLDGynHf56vOyVv5uG1rpw
xJppMWbRrXKvW70TpQWDRVbhWxfD2FZfC1OVd8E8Nd/HrAyewSzkKlpJ8F6lbV99Nlp7eKZup30Q
nWF/w13ieWGyNn4eucTR3c7zJv0iEzaBGJ5de9mB9bAp7lujpaI6m/R3dOSc6VbgWMajL5fJCZs6
kHfDJFpcKBurfN8ZzcB1OHOxITOBfmYa7UVilWqDHrpz0vC1Cit9mNjhH6clWD5qPqCNMBggdoTl
ouY2LG1fzhG+XXNnLrlT7bkZp/keu73R8hKz9WNJqhm45qoNh8BctE1rWng1keqIZXu27fWpKqfu
KuWmLHYQK+zvy9ZiKPIM5dHqJZi6XW8pJ4l6Yjeb+0KyqNBN++Bey4J1vNRJlT2TKVudfT1Z2k3X
lO5nrc6VvEApUV/pNCQV8eJa8r3w/RKjK6yNiwLLdB5TePRlpEp9LPYaWqLpYjaJKPbrsJY3gzc5
P0oXiCLchtUNffBKZtjzCiBmV7LXY9Ncy0et87MnbbLtd+Y8mCzKpYJCAJZDupHEpvp5NVR3W+Ws
R9gkVRrsqJA2zr7qjepyotkmVuFBW4KdsEw2KstTXh5KFyhFKJqpzvEtTzViR+IQ3p0zOV+nNZ2B
FuWreuIQcr3DOCwTLDlDq9XegJi7hqZZqXqvMKffmUvm6zH2b+cRGsWwxq21ZEOoZD/eDthZFR9k
qIuoNb0U3GyhAYywWfRGNLcrFdoZg6Ee44ftrzw9S78L6fg0Xi8z+WkchuEOU1f6vqlr7bNJkuHn
6uYdu4YqR7KLOBNjJk5R7PRy6JeIRj31DyE6m4bLzVpm7zbzFQKEdVkecIqhPpFtnn5rZ8AewA5w
PCuC8uloAI+ZQihGAc8tpydTjsNl6mjm5jFX+aPdDe4XAvhO7C1APLdoDYyfiarqd1oeOGrnL0vz
Ze5Y1OFYDNbXoGpadRy5UbdhMRfl56zsZh0pTeAdUkVKAWIJ7eUvpRCAERI7B3K8auoryiil4/oe
lhtoQ0HCq8PUvHNRU+/dCmHALlGwN0MwMNYEViWYi4NZiel9lifae6qy2pdFX+fb7b5NJ5pk4oyo
LOOpnvxqpJAqRioZ7ppZewVkg1ODHhIisteOWmNZZPalVVfjN4Ip+Tirkcnm+vX0oIvc/pYBISlC
Nc89C7Q0ui+pOy1sjXnCSeIYlcnRDJSKbXnI4OrqI6QX7sfJU4eNtNav1lpwDh+kLKr3li6TzZg4
WHXcKqgKUZEHxV1vD/L7ZNXJhVJy+Jb1RVKCJePDMd+YvGHbm/KRg839ChLFGdm+DfWUTlb+qS3d
tt9bnER15KVO9VNTvfs5KIty2qdF29O7ZrRbzPZ47D8bBcSESGm6u2NdrSjQ+6a8Lrw8TUPQNoYM
l2bueTvePPjcOYriQ7ECj4HaqImcmrBtJ6HesfNFZmaPT2WmvDlqE35T+BFJke2dUik+ab+m3eWc
LZ0T6qqt13ghmDX3q5s2Weh7qz2FmPcZNRCTme1tt63miP3deUr81VmOrjaOD6aGdHAHL6HRIZzZ
1oqUv0lhqM8JOEurG6bPeNB5it7PmubQQXIdIhtyRcOma/vPw5D4TIM0C/p4rCcewEYjS1sBMVUS
S2Da6JS+gvGDKlbv+0BduI+1FBI9r2UIFObH2f9WzrX53HXKu7KBNn0m69a/04Z0/abmpv0GEyaF
WuJPNHFH8Z4YB879/KarNTiUbd4WWtgvWXaLrZcQyDRHseyTYhLB3hRurmMWaIvHggqtHk+91jpE
AjPYCw0c7NdRlubXVhrNGA8gS+jH0ymfTae0n3VUxVM4SMznB7eYZubhkCYIKMuCjuGowuApxYKA
D7wYhQIpvplBYXthoLpC2xdT0zSfAu5fItY4X5pYR3H7IBwrDcLVSTP+UmY4RWQJ3v1B1lP6Y/b1
HnXr6sOa1caq+kjYiaOJC0K5HgZZsGKMlbLdtZc0IjmqaXVZdt22H47NmC07Zdmtxmz2+2/55Ojj
nhpjucGU2xHCUZUvWGngTuSXE9llO1YzkjuiM7ZRj8TEUDqXJEmhOg1lrudX45CKSiDum/NsjIQ2
tsE9XCdDgxIja++j6qr0EaJNP0ekhvsijRvslekF9RttffJBabrvJPXE9aKtu7W89OoS1WkhRqKL
SAT0FrnSSrfRduPYyOygJn0p3mdWNl2mubZgz7d0Tb+ciLXNS6dyCvndzggyAcT0WlFGFVnBEpBL
NS5RPcp8OcyjL9AbUgAMkp2mCz2Ns6mdBAA8XCqf6IrdJupIEalr29C2kiW4ROxTDdeghAj82E7s
8aEkvhmv1JQt9ntLck7qoUDa0+/42Va+XxrwFh/WqkTaBkHED44zW4R9bxHyJNGMVDN/aNq0B+w8
m8WSc/nWi/TZG32lA+UTvv4xr9WQ66yTsRQcng5XBv5Px7/AhU9v8LrKpM6VAH1SWLSVzMi5YeiP
XMznTkiQVulcEMfJ2QuP4/LQV+zTj0bHh7se1ypzLz0x9NMhbyTgtaUDgPfBMIp1vcPw7hrtRVrS
VroOZzT5wgvT2sumHzhca7qBCIAd+87SKh1huMy0Jw/4Uwn2yCCR5PXp6Kyx2zqJfsll2Ar205gO
4rNsqX9XxERcW4zIs2FWArdI+6dmtqtll46IDx59TMJjVNaJpR3AdS3ajZiC1u5CBc2A3SBtmo/D
CP+NKCEzir2VrD2RnutsF7JBsqVhv04ZmM8nLtp21AinAFV2IPaILoZbqJQTmysGj7LbT001rVcy
IYfwM9ABVewslVvmF7eue/+mcSs53bd+6VgHiVV8ixqHbnrCS+Ftxz9G6eV5MehHKEMPblT/rgJq
4+Fs1PKmj2j6BgZABqKR3/XCLwjVJKV+MhJOdtvk6ASjGpT4RTOJab0wc80xObOMoVriTOvqci+y
rMivgyETA8aW3JvuDFAlPXGTPX7yJqwM7yxwfX5o9b0+fsfI4dQ735mmZ5WbbNE+zKwutv2+GsK0
XIN7CmBGvbMW6PtRtiA/3nVw7+oDaHPDTENbetwo6Dfe63vAD8qToSGUn+3yPulaQjroz97PBPZf
cqsGjfBuWlbrQ6ImMUc1Uf2yH2Uh0vvKBPYbS6zv2hUJdywWemXpAIdh/sEA6/LJfJR8xHo/E0ga
cZLktf7VCEobhkyXzpbEmiS95rB2qinfL4Nv9OHiDBLuXu4n4mbtEtRDi24W005q89o+UKdQ3adR
s5ziypnaXH6Y7abOXRCU3N/g0XW9cQgQqYmLdCzY54Q1W9pezn37M3HU8NHw1rUJE60fvQt3cdKK
nmumkx8nGpLdBwGm8TC1KUxGnW7N5VWqdUUDXiTFxTaS876k3GxBZ6pGrlFk0jTjbqgpSkEAUdxZ
W18otpx6Ttx4dImO+C884gW2f1ZruaSCkz7IXYIMx8wFhC61TF/VUtTBHcSCIYH0YNTZZc7N0r8a
QNQUz6ogqXElcn2przNrMJ3biV98vdVsc55vIOI43D6Dsh/rHTGtXUZ2hkb02GJql+Ewt7Z7l1WO
l9NlMVeWR2y3ptWTM2Za+3nNO/VDqNlx6mOdMM69r0t2rkqQFd9VdHu69Px+ZeMiBvKXD2NmNd3P
JdWtIj0KAD7GnQvt5MmYmC47NerJnU0XnmUvxjrZjW2Ob4MXlv9MWVLBboNaWvusVi0wskyOgoZO
hX9V6rkvr4Je5/pe0vbsMlF5HoSFcsZr1+kdlsJQ+/Wuc7I0C5GhQCWcDWRdJBg4GSB/dd+cKYUW
aw2euss9lHSsnnIDFbhF4pCxa+jJyM9DZWeCA/3IFbdZD+uoyg/wmbN1Vy2+XUV+1w1JaDvSvl7y
tLF2oI3M4TBsfqeQC0g5HgaNxYMgxjOzXU9Lkp9rT4fExWzaw+i203UzGn4Z0g5m/MzZXM3haszJ
sFvIpGihKvLiyqsFPQxGERQgJM2WNjXdpH+1BlGDW8q3dd7rXU/MlnuB2FN9XWKBZeuRL0IWgbAh
uZdADesoc2azjwBvTN/c2XC/Ky+tS/isar1vZbWQY9ON7sbrAf5F0CycZ2gqo8N1GfFfpypjjaQw
xZcuIU27B9Wm/AN3yrq97TW9ddNQ6EpPwwT463fPA/BoEJ0kbh5prlN8cdbKuTaDZF43AmWg7xw9
n2BeaBDQ7NzoH0ofHlVcmatQ0Wy044ahLJH4zkiJ4xkB3afeD7w0cme7N6NFFEMXGlar/4SOtNg7
ZVCziJZZl+sRdBFpV3oztj/4cCW9KBetmSKsZulnH3jn1sawB1aE6T7/aIjKbCPPlByeadDWn5vB
KKx9Cx4vCU130j7N9ZprWVSAxjKO0hlNmDdWShSSc0kco2GoDSOc1GTwitVgk8GumxY8RN5UcaIl
2S4YFRAEUwzcYZvxozFnI2wk7uv8wpZGYJ5xZfiAj28uQn8gGRoPtc3MhdcgHnXRJ1kope07EVTb
n1lNgidagNeBpspT+zuYmzqLaJU0v7MShYLRJTIme+nLoghJRo5Xi+0Y3zUnHxX0K298NGaEZQqC
OfFFR7rvCOYyWCNnrFrj0iznrI4D4PDfa1l4dFhoevER3rVXcN8h6I+1XF9ronh7aXZZH0yfEr8w
uoKbAvGGLVA50ykvHEvTu1qt3mpDlaS5CFPLIHfGxiK5AAMd+6RMo28iO9HobktVIeV+ZsmJS2lV
uWvczxqbLW0LdXpLZalvss/ODsnMfpn7CAMU3Sjh0yXf1dixn0/ACSt29VzjKkQf2zuCIaLZ0ocl
BmFfH350QjGy3VRpFQmfcxtRXI8iQ0ojLS4Ke9b80K1E7u76NhE/tWo0ncjxc+ejKgIxxEByOhZ7
ARk0HhuDBHHXQcy9hbIril3CljbfCL8s2X0qv5yjom9N4q6iba+JFbssysC6Av/Th/XZtiCB7b2l
pweAYNPjkinHboxTLGT+ll3yfqRjMtM3iT3VPAYOtdQrG0CwsxNpM3xZ1kGRa5xaQ0TSlhlRhbQG
GRYU12bsMLNao4xMCxkZxy4fWr1cqltNy/xiZ2aB+MxkLJfI58iFNcml6GBl0I0ups6VYN5J9Nds
HMQQ6FPBwcVe01YpLDM6I+wSeCb9fhxswXWH9scOICxFg5fc6mpIPqTm2IrqgJTFqPomI4JtjFtQ
faYedqns7RCre6nikVJavdO0XsjYC6RrwYgBMnbUktoOLsZGc36MQmrc3DMSVXHgp+n9LE31EFTV
JWmoro358WgaO5EM2ESDvjRCe3QWM9YnKIC71gwmiI5j0yex2dlTEvvFClJmchbxs5o6X0RKrVZ2
AYTGSd2Y28qkHvqkGMZoQuZH2gj06W3ic4OJkDzqP/wqKbnnEy5etZWuhoO1ymQMPW5fRiwtc7qX
o2d9YHn0MuqpEl8XPQCjsNLK8RZbK3kMrSomClwahCknb9PYmAXLh6zXh9xsTJO54OufEtxRYhc0
CymhzEJyBWotL8sDTFT+tsprj5rImpMJNxrPUWGfwbOK/RJCc0i2BKpvXomUw73RvxmJcP1QIzOT
XayzLNVBUP3wQ3Oq23eqJgtwQ9FXH7kxjAu4A3MKriBEd+tVNROQR1x+dXq/SqdKowXQN9GOP/gf
/DbQOP6Ip0S8okaU6T2FDejEPbeNW+ER/cfAzMgUJUvzDZaTnUaV7MqfQdetjw5VqjWEN2gZ5NZE
eS2KyUBTBgQUq72TfSSjh7G5GPv66CW+Q7urhJe8oXqHd2ocVytkzydA0lVWXPWy7IJd5buEvY7y
Ltk514+dg3MuXNMWqzQx3jwdSKlqR6msMQsbFfQkriAUZf9o//4KffOu/VE/yP7HD0l7glOyzYuu
Bv8P+hj8HzQcm1rk/93IIMpE+eN3eM72v/83B8d1/7UVLGHSIzf4NwIH6+G/0GMilrTQGjl0Nvg3
AkczvH/xJxbKYtoJEANtSvZ/dy5w/+WgfkQ4imCQpgM41f+ic8HLgirRDfJWTCUuxAAPDapxoqiy
PCJPzcC0ZGTOUMMmaNzyvexZWR/MumqMD1maN19/ezN3/9QVX5DqXwpoELWjF0MzDX6HOjtyzpMy
Z2LSDIBL3+ZemuO2OXgVau8121POBb4FPsradj9q4Q/Q9bkwTaGmnCgBBigLKl32ZYGuhqTDX9V6
3a0DCIQMiqAoUbY+OFsh/TdZQ5smwEcDTx4az553WpHAxhOWxR6ueXd/fgUvC73/DOXSrgVbl8F3
PlVQtBrenRLy2EFzkuYxdfzLelX5kfO/uISfKUNZnDW5nHxq20TPhlidV44QhQ9+IkQpFjtfC9ep
jt1gDPtVn93Qmcae+NOsLyvTE2dUIr9YBv9bVWZGMaCBjoLPjf7T/oUB+e19JlremT2ViWNXsQOZ
ve3u7Lp3o8YpPMp7cxcXVFrRSWXBLpOdd4WmsD0OxoyIK0g7EsVy/tK2et9S1TPGzeEEcEIIKv2j
UORdaZV9r8ERD2mXFNx4SeqGI9eyY9q3/qFVk9yJYfIuqE1VV+h4ux1cMSu2xq7bO/gBooXL4I6S
l8G/YVJtp8rZ//k7v9Re8ArwhdmYLtF2oE1DK/lySjWy8qpqDEDftxmFhLIs900zT387iuNtFD/X
2fr/YL09UdxBK7aSQl+7/eJWJkm2ZNr32tifGWVTo7z4nLil0Q7SPWkTebB1vHwWnI6F6SyVvZcy
6J9IiGmXZefMD6PrGWdkTG8MZdD6B9cXexz8iJPXZhZJ5WUomfZL6tWEv1rxYankuPNXe7z/8xd6
ayhyWsgiAyRuaJVfPhVSJh/toG7vVyN1dl43r7EhgOlnBI1nhJ6vJgPYCHZYBP98LnQWJy8wN2vS
qSJz9+CPnd3qY42VpXaOHnG6tVgka9GucmjgPPdZ6i8fKBlGgb09GAkjDPNn3eKxjfrSFj/LJGBb
WwevfQiGCbH+n1/kyaZub8wUPJAgFDYsH+Lkl+PqZgbNlpjzkKIAtUN3KvuPpUO1DTKqEM/S8fpP
gtOQjgjGYJ4Dq5xubmw2HJYkGRCl0WNMP5kxVWViq7eH8mgUeod/LiUKPaqhoRDk9YV+T5CXnhMR
nr5p5G/IIQE3oHeyECSfPLFfqb6SteYepq4RR3bd9GPrzlU09J51tdKvYQdxT55ZGqeTiMZ3KAkN
/mFj2RoivXzNTpWsFXmm5ljVBK+Z7jRUwDNxRpl2uip+jYLaCWoixlYe8uUoyE7ThQXYHDs5VFdG
lTQIORxJXlmd6wbzxgOZ6D0JgUxcRtT0Xw6VTo6xKJ8HcvtgjWcy9CH5x3PW2TceiAZiSDBNHQut
7p+MkjfUytasbo8UzshRBBT8xT4N7MyMO7hQ9l9hn9jzWQUceSQZ4G5twJ+XDzX6TUJOUqrjTOYC
jrOVXfk0N6HsMv8duOifoYikHOYhpzoO7JdDraNGqt9xl6OeJP2tk5T9QW+Dv6Mh/DMKujAEmPRM
0V9LxzEyoa4ZlqNRLVuuWHBt7eozgeHrqYCn0uO4wLWNINLcFvlvAcMgmWwBWOQjNbN1l0Norqmw
ZOPPP+9Ur/YK3hb4UOcfKBc21ZfDAPyH8GKUSJGYk+88UhzXpt53N+3ir9GwqOXbn8d76dT49e4c
GoMRAXBOI8I8XUxO2XLTbNTRJcX13i3INxhW0dP/sOrijgxYLFtp7vw8cS9Q3TVnzFmvpz7SPh3L
NucCEf6pypQGmQbc+Gk+Do7QdkkrNBHOma7CDRj/4c+P+sYX9JjyLDG2RPzMJ26+boEcTmpgPqY1
jU3RvwRmFCDjO9eY/a1norUc4mNP3+S65stPmLSDledWsBxpqFh/4Y16w9GnYZpxaBisufjzU52i
poF14b3lw4GZxhYJz/TlcAM6DUjTpbaVQCx/n5Vu59/pWto81amm3a5rXQ2f8irwH+fE9+/rvrH8
XZfpc0qzjZLS+5nf59UMdtEnO7hGXLhXfNOT7SVVbk77A10/prwHzDdCTcFB82qv3JtrZvdxJ6kR
kTon6I3Z3nVjX2Tu1EZ2brbeAYuEpHkvFj1FpmbNSyD0UnsCZbXcmarGMPTn3/fVAuDXRVrKrcPg
lH71+pTr0S7LWpdjjgb1e51oOhIyNN1RhsbrajYRkAWVP9yMHogKjMfzmd341UG9jU+jP2YMX++V
5d2TI2j7CsL0QtMTVMIBCu95EgcLV9bHZLLFNVgKcWbSvJqiDMrdGpXyph9ms3k5Z9ZxlcqsteUo
RD59LmgZMSIKHBpEREb9P50kXzSS/P1O/eZouLFcwr+NJrP9+W9bZzujKphcNCooSqYLD0gY2eeh
81DEmPqZ6ffW66T5LdoWAJ2cCCdPxrKne4tk8ZVSQ5rLlYttehHjMWjEvGs8U+2Uh7gs/PMs+hXa
/H4BYaGjUiRx4Om0UDZ+AUV/e8bMsAAbDmo5ro2k5ryioTyY0kruLOHPWDnI2pXLtG9br3jWUUy/
w1i+Q02NZCTr6TRLcfbG4NpCAahM5TkH51trkjAQK6+jk9o4fSua8IBooSSmz5zELFMPy2MJ+5E2
F2girizaa525ubz1GQLSNo5PtLblLV5+8sTL0UbMlX50SreMiqoObjpraD4gEaBdT2/Zh2Z2tTM0
mjcHZSPcfMugOdyTQfXSAh6emeuxK+fSDevc7nfOZHYPpuiz+8zSsyzM2wYlxp8//hvzm+TFZsfb
Concp18+rOpAQblS6Ec6YVA7KTKcnDSKmPzvLh/3+c+DvfGQFjEplgk6PRMpnBzYmgpQ38EHPWaF
rjGLZFnifXfH2zkbqCC7cgSxNZ4DI7w6O7dzjIhxg7NjbTglSrgIskurd9ejbrcu/eIMu+siHbFD
uvvz4709ELvx9iI3w9XLd4l+1rJKcn7HKtfHmAtVcUTmeM7L8NYosLUDHsrkyNzyob/vSDqtYaiu
N5QP176ZYtD6tR4bnoN68M+Pc4IQIL7ixXl4mvFNYAsxTlceXr9ASwoa/HW9riPRpv9nF7eBTat6
K91en4GQ73GQqe3H80pb3U24OKQRLY+8LIKGpdP9rkUicBS+oJL+51/vrffg2TTuYGsmIeaevIck
SOpWUGU85iUlhLihY92wd+1sPZdeeGuJ/D7QyWflrorwzmIgh85bKS3FOjBbLRLWe6PvrPXMY726
7rPF2RzXLsc5Qdjpguw6OTZzUbP7aBoQyszSnmmfYl4MSlUPlTN470Rv9mhcLeucjfWNcMJ2MHvb
Jp5OFJonD0rrk2IpPfaCpQrqR8dfUX/1XaDuORfsFEpboF+nWrJcWoHTRsuEoPXMw7/xTbne8ewY
kbmnnF5UPLMZu8Ad9KNb5SXOGH0Y5ksxDm1whq71xkDMbO6f3MWpdp/miWmnthZ1Ib2jTlEzLstW
xQP9ec/kFN44uuiUS4TE2Yr/zT0JHgZrnGWgEu+YOJrbh0E1qyCmkWH1jY0o+y/OzmM5bmRLwy80
iIA327IokqK83SDUMvAuE/7p54NmMSoUohBUdF8tWjeYzESaY36D3d8UmF/un4qVzerMZSKid/as
vawN66BLqzrKHL9UeucgQkRNjXFUH0gBg438Z2V2Hq8kV90cM1PBvL6IiIxcoBQaxrd503zL07B4
Y3gBsm1enVcFvX5HtBuxH5xBfugiViGJpcrH8wyna5ljUvu2cnVKbL9rWo9W90AQcGq0pn6rqKFp
P2uqMIqza1VNco5bD/B/OujWjwYZHPWkpw3tcSixnXW0Yzf9lIRRXR4kF3d5wdURnHeTwV86donR
fMJ0ToA2BcgZH8LOxP0I36Xgfalr2WdNifNnFYhG/cWYUmH4XqoNr3PbAZzrSsOyDx31JPschVWA
Z2OWGMZ+1BWzf4zSunH3kynMfk9X2UnABeTaTyG65jdxX10+RbqlyH0GaPNTrcCOZ980DhJzyGa8
s9oOYC8uuqhUVlI63bHUG/NH57k9rAA1aPJdXWgsST8q3pcWm8Zhb5lDKlDs6xT3NLAhe3A6yYBh
UmoEr2nLdOW7BN55cHCMzpt2CqUv62QkoHB3JrmXtstrVw+OU2EO39DqUBo8E1vxquvRANxhQSS+
JRVx8T6jxPRdBpgLX8Y87mF2etb4CRRG+6FqigLFXTlpH4w4UX6NQjd/uLIxccftjP4topmVzsdM
KgM8s+6NhyAloSL6HSzjbaZhgHsA6BS8FbSnEeWcGu9NIyuwMloRBj+iohmcXZcE1XOjBp3jM6fu
Y9nS+X1ttyGXtgX8uj5mpcifsTOuMA2njDTsBeY34oj5Z/6th3xvnA3pZh/BpGmgMOq+/Wmq3Rj6
LT8DdheGpNoeyKn1ww01BECNuiqKxyhvVMD404DfaVimdCJss9WBrrT8QieZhy72P8B+srdg8sp2
lxe1plPGHQAHwCJTg4sCHrrbN7oKSSoyOuwVsY/SfUAfpXoedK8M9qWeSwMV116Fm9Clxg/4dRYw
NU3rsddxRAeQQamy70PeDj+I3KbL6KQuJEdNF+XO0mthnGbjpP9CVy3/M40m106laDN17wSqUsBR
cJUvSqja8pDKTLyteL15vFuVX4N9Fh7B5vXqzlKMXrJDBtpbPVaC5jHkbfr9P1069ECJa+x/FDn/
aCyL8YoacWHf37/fVp5H9A9QPYG6TOFgaa+UGJVXKwFelWZvAFQT2GWmx3QYoi8ixKkUjAqNfqEY
IaEkDL+tjPuPFs7y/qFqgRgKDRu0GBaXnoV/3wgzC/lDfUJDFxdGfdxFdQ6rAyXQxwlP+ndhHba/
zQa7SRDtiJiVHeDyw/11WLsH0QXCt4UWNxTuRSidozBT9Gql+w2/5bOgY3HIsyzaGGWezXK2XLYs
NOkhbZz5a/yVGQ5j2yANDWoIimpXQgceM15+V23zaafygkJbMTLnv8gZZfn7/gTXXheeZ/pi2CvM
r+j10GZbhnOogL14ltQ5SkHWeJaGOr2zKtc54zn49f54t1OF5E8nkboP2SYaftfjBdBaFC3qLX8K
8gbnvA7Y/t6reyD4SjrhOq9IaxpO0aQQ/t4f+nZPz/J6jEwNkX7Z8s2eBVNgtQ7JBdFALGPLxjH+
C2P8wgEC9y6GIaVTtMcWiCxe0Uiwb+WeK2U4Cre06uakhdxsmbg0Y2Sbo53kFxvrtxDZSzeq90Vc
lPUOkkhQHBtSOm0nlFgaPn2ASjl1pjByHiK1+WiqBbS3+0tyG8bQyqOmBVqAEJhtcP01UiWuDcxE
0kstJH1oTwrvcQTOCF8kdr/fH+t2pzEWlwo6aWhlkOpcj1WFVl2UeHNfCtdoj5EBAg95oPZVZPbe
yXK7aGNutzuNnAXIAEtO5Roll+vxui42UW2cXN+Nk/Q8WCFYQSCtr3BP186xTLXdqEIOvz/JlQWd
C4RI1DBH4BiLQQ11AJuB4YTPE5I9E1HI3YTQA5QItP3vD3V7NcF558JgT9joYS4bJyKMbKexpOeX
VqWfFLNNH+DEbHXNV74a8imcGsq1dLKXgaAWTCQLVQuaRU0U3rJAeS+jvsPcHJZshKLjBpt/ISg/
Z8NE8vTT6A1yVKjGX3+2BIBfP5C1URvWy4zSl8v1Rz3DqB+HvjbelnXR25e+SWUO6DgACJlEWvRa
9sJ5Ay+8NHZuP9BaTAKhfAhGRwLZk0aevUp0s7B20PTRjJaV1bxN1KYLnh2gyF8b4J4fp5CY7HT/
I63sB4AAZHu07lxLW3azY2RGEsNq4G6p+qCBAwnq6IjwEOzoMcQt++XbzwX+Q92CIedS3vXiwXTy
IH6mgV/VrTsC6kSVBuRzLT6YWV4qL04jgePMDUlsDXEhW7YV6lHDczzSAr/JJXFu2NlfW3tTKGxl
nzOKyVOBHL3DW3U9J08wQpaNgV/aCsQ3JTWS9qM6oBG3AWpaeR9cg+VDH3gWRL1pNDkmYFqzCvzJ
iZ3pQNyuE4ailyVkm1s7gQ/qsXKH6CkeJ2hyL98oczmA9JVtry61XzPqxUon9cBXlSb+QGjW6F/S
xCg+6oowqw8vH4zSICg8clgAY4tqZIjqQQ/gXPEV0Si7rk68ZFfWtXrpNPgI98dauUDY+NR3aSkT
ZdzAbgaIVKY2Kn6IK8gBH3LMc0O9P2Hp99/I8di4FVdufZoVIPOopNHwXd6Klto0A+4jik9rPHqt
Q7M42JOdPck0K3YFFIELPHZ7Y+fMW/A6fgOnQkmf532W7lo+bU0XNQNvt+LjFGqruzDH83af1pq0
jq0tkSpEcMRGSisu+u+KHrhnXaIu+OLSNkZZYCoAzaAjTBX2+pzgV2/nlt0qPoXLXPOjMgAY1oVW
35+MrBuhxXphKPduMIr39z/x2gmdhXD/r5oEduZ6ZI5i1LUyV/ysnuzHPEELLiSv3pjf2iguZ5P+
F+EqJdPrUaRSTZZwS75sivH6rqcPZxyK1pPOxkBrO9b9E6ABgKBBsZiO3aExgkks03GoJiUedE0I
1T/NkJqrCGGt31+9tSeCY4HhC7hNME+L4WAVJlllwCvNCyi6plFK2k+NvRuT7h8OBz30ufcKLI2t
stgirkWDG/XiwG/TBnhY6ybtWzXKoRameZvru8KsmF5Se97LLwHuU49/LCBdSJNef7upZOs3E3Ns
g6bxKcviiAuz+SPW2BRmpFMcX7ymrCXvLVKBf7w4r8ezsllAj6wW01/Q9nqgJQdkJQyKj1JufL6V
bUmThWsU7bK5yLl4nmjlF4YGnN2vEit+znSofcDzk/PLJ0QINttukQ8byzQN0q3WQ2AhKkqz4dGV
SXMMEZb75YXWllGRprM4i9uMt8ED8s2VNjtsXS+enlUCulHi+Ykny4tJoec0jHoyVwHscK8GqPFm
TVDgAtyC0pMdxkK2h0CPMYXIPijuRv1z5VnGDoEIAFgcL/MybcuosOQCWrxfSnSQ9qkLD69sBaRx
Cnqw1MPsGEMvxnq0U+rDy5cdBxwO5XxeblrFMfAxp80Zm16LSJ56ewAO5RYmqFxbGeBG/cNw5Khc
O1zgN8k4rnRVWxgW0aLiVZcItXn3wJbo3/QVPNaNwVauOVhVRPX8ia7fMtzpg8nr3Y7PPDlAqbVh
UHZEPMYuAHyBIIDqbYy3UtMhMqUzCEhZ559lLGwrXY9deOP5MpsaDGsb3cjh4EfmdBwDVSgnu4R1
9kiZXyJcFcoOrlphQKf18mHMNg7Un2R7uctpdcMrY1fxqCyek6Q3pZm4ZuDLpM9NGI503R5EmZfR
a+hz1H2jDILyMUC2eTig85U+dnky/LJHu/0SVW6Je1mbQaF0hxiuvgi1PD+rsIkeRqpaCDIFfR1s
3GprX2yOLry5MjZ3Jq8PZhHE4aBOUeB7iRC/Ks+Iv6ppWn4FL4fAX4EChL6x/2/PHqkYnfI5qSCl
XV4FDuccbn7uAgqY+vpsyk77ioF6jZaQaWTNUVaxSA+Acsz3k5Tey9yY5lzQRSYYI3roInOeu3g2
WkumHgIoLnGVITyYbfasDTAA8Nt4n24v8XkgBEK570hlluDfCORvi/Ok49dh6J6VKCtg+JvDxgm4
fekZhVcCwBrFFvbc9feTWSjstJSMkkYZWmcd5FlRRCdwicPG9l6dECkQ9BTgiDeqndGIPAg4ZXii
ASAaD36AX+ldu3/pfcWECCMoHFLVISq7nhAgWwQFR9vxIwe/POlp9V50qnFxFPHyKImhSKUpRiLz
cQOA1Y0Q9f6qp+fAVbF3C3U8wsBGgmxE+ekfZuWChJltkUB0Lz5TgVshjxEc2ykaPmuAhQBi9/Ls
plW/8bTdHugZYeWokFmAf1ARvF6/2AJlONmDA7CrbC7o2rsnNU/7/YAJJCQhqKP3Z7Yy3iwKT1DE
WoLlX1wgQWToBegiF18WW30o1SDd4U4gj4Uhuz3Gi1tX/tp4RJscKlefvU8X+6NIi4jAoeH6cBL1
TUur+y15Wy2fgryzfqhBmegbmdjKEYMDAXgTwN5MiFp8u7BvRNoqletHSjsiSNaXOzr4zmGsxpfp
w/+5nOibzsEBoaZ2A+dymrIBP2a4/lRM7kNkNfCNW96Kwiy6jWt45TRTNeQgzyHQHAJe75PUqw27
4dHxDRT7do2QKUxapd/Y92tf669R/rzff3UhDC0Bx4tCh8/RAHyJ+h3Nx7H7MLpx4w+5bf/DbmTT
UxF3uNoJeq5n1RO+jbSV+VblVKCOU3pvR3sYd+FQFifTTBBNvL/91zYHkC/T89gYlJMW2x9BKYca
X+n6DhqVR0d67ckGkEe7bdhik8xf5Dq6oAgMOxFahU0V2FsM1VqJJCAoWEuh6vumokOWmuzINJ/S
/dRjc1W5tMFrmAoHKxH6z/szXYnhGR94AlUQwHX0W67XtimnNDJs1rZ3ErPyY/jyvzy8hMxDGrto
Hue6Lcs3Y52K/uwKRHAIgAz5Prd1+YCy3tz27iNsYe7/WivhBHcBCE94LrN5yPI+EGPSisFwqDtZ
I2KMdqm9grPufG/bWvZ7+t+e3LlG1/7Waote9P3R104RXS6ILpTYYBIu9ls+Q6Nrj4DXFoo8DJkd
7yF6Kpf7o6xtMjaXAW4MaiQ/4Hrlo9AxBzSw2GRpPT4j2ZIck250D+5Q/bg/0kpAPdNnean+MJbI
F66HajhSEwUe1wd70b3uC3qle40+h70fisz+ahYSDdnYC/uLqpJse1pP27lRtppIK+sKRRIHQXp6
JBQ3UZoRGxBsRs8vvCh9btOq23Vj8WJovs1keUzoVs3eccubXdhmqvdC83x08eLgT3UEFPboYtp9
f1nnVVsc3RmYDsWCLsNcbrpe1SgPZ4BHGPiQDMoAFxXFqA8YNaWfsiyw44c+yepXhtaoW8X7lfsX
KW2Ak4hd80gvr6dRAAFAnpj9maXaU8NqPwxOFL4yQ8QJitG1z/cnurp/Zrwh0D5Wlb7z9UydUidG
TDWqJKbRfU3doHply8ilR0LvIOoDTJiRaj1Ad/XOMk3yE1qGW5tnbdK0D9g/ELhNfVk+GcxmmmRM
F6sVVvp1SErpnW0nRxuoKgjY0ROSU3q8P/GVI0oIDqGdhjvv6vLhoezRG7nHQ+c2TrsXqCHsjNKr
TolAHuXlQzEWpZv5GiZKvl5iwxpRALYi3jgQFR+z2DN/IW02WYjzWYgu3h9s5XoFq/r/g80H9a8H
XFX7obBGshi7jVRzj1IH+stTJi8D8LFiF00hUlaZcB20N4Js8O+PvnYNkG7MjX388tTlbaTTezS9
UXFRSO7L59hM+yeYAvpGyLz27cih5otGn4sy89//PceUeKJqR67X0RJH04jD/TDa5jGqq2BjOdcm
RKWUFjJA0VvWjBmhH6hmRF3IW9aXNJjig1sY5T+MAgRzzq7nRu4NKKBJ4NgVqe1HWR6dpxT9/Cmu
q419uHBh/ROtYmfEtYIx1Ay6X2xECthDNWFg6Jd1huF6oMl3CBl5Ow44NT0ztREcHaNzpQ/xQVaB
ulOguj2BYqNpabbKQVV6DWm8WiANHKKuNiVbhm1r9y51Qvq+ZF6oQyx+w6CbQ0UUMqlu6O0ekwbE
Ug5HtYhUlKKQzLq/W1cvv7+HWxwWuJQ5epGh7Vddp30PGtP4yVHt8hPyM+hQ58JM/aSKyg8QBczq
AfBMZx69YKq3YCFrOxp2EZfZ3CQmKrre0aWJE0Rld7av9EnzxYvQBwJIFr5OrSLa2AVrO9olKKVN
BRcFJMb1UHz5yC7c0YHWqRh7UCXTIYwAX95f2rUrnUL/7NlGAf7mHQNG3SOqNMf10ehcIukipgZq
jDJHWbypzS7a6NesbByDDYAZComEdlMghvRWNZUXIDjYTe1j0CHHIKZceWYFhv2A7h3wMfkPFzut
b4PQmpIONbJFC1VPvSB0FQY10IvdpUWlH/pesXwdEe8NEPXKesJBADgz9044vMudGk0dchoRXy2u
UHzTzPjQVWV4jlyJ/3BYNof7329lQ16NN//9X1cs6uJT0iWJ44d2HO9FrOvPTilR7h3qZOPNWB2K
boZB7Yi1XO79anCyFuCv7ed4UO5CsLev+1rpP5Z2sDGptUXksZ/ZuaDEic6vJ4UkvKwBdoWXvsTu
K4h7ZNolkoQTbo37BPj1RnA1n9pFFDkb8cK6RP5hppNej9ehumtMBsrthsBj5tIEXfExQXWuRJTO
6L/h3eBlx1k/ItzR5tcfm7RLLve/48ppp7QBOoPeFAHtsjrXRIPK++uGl7aS2tGqSP54g+qN074S
dHB1wUZGIGTGgix2i6VncVbXRkiQ0VRP6IR0r2x3chAltO2nMGhK78AKNSGiW1747v4M/3jwLVd5
7tHi/w7zHu719Srj0BvmylBEl8gpvZpIAAA43aDcNXHv6ME6a3VJfXCoyCZRi5FR8GBlHZ3OTsmr
8qAHrXkWg21Op1nvYdrVKDK2Z2Tl3PRguZVAiUGbIdNOb9ZbFIK1hbPg1LB28/+W/ewWOLtRWR7A
CMq4EcJBGG4ELTaaWTw1D54KWMlNpXp0Rlwa7q/b2rHjEaDTNAO7brqJgVMGmdsgrqXman/w2kk/
B7k1HNJy6Dc24do5AL4zKzEQRd3mGBw63Pum+FK0UeqdaxAf06yzlzXfMCDWv7mdoX0dFBMEShyZ
7lOK6Ke3wZ9dmy46Ufqcz9HsWXa6jMxrhBm30cXVBlTaXBEcRyf8Icdo2rhlVp4ilJFJZTARnRmG
i1OfpEmommMMsMarWhsXlRCaFK6lAm2/HHDkrrO9Bk1QMO/JxjlcueCo95BAUd2YIWCLofWeuqjR
ScU3qF+3rxAuTOqd6Epy/pK/eyfNqK03XqaVhTW5VGdI60wTWdY6hijWKy9JFR+M9MesboqPKMV+
zBu32/iCa+vKahIAgiVCCmD++7+fJMdChlfHlxitRgSjVQUBzgku50PdO53YdUALClATZb6Vk6/N
EDYjaQCfk87D4tkYVa1BMb6n+Zw1EUqWlVKoSIxqibFzBjFtJDcrVwJYQb4ehrez0NWidoTWcMZT
QrtZDJUenr3GgY7qjp3bIBtriRJlL9f+FTlZ+L7AMnnc2EKrw1PRxgCA3sBN8TxVuojj6gYANHTl
o+blwOlDR47ZThJmYIgEk7f0TRdJ7Es99Z3y6f61tHJXzAo4VO/pxXGGFtNH5qjURpFElyTvnO4n
xI4meijZf91hQggZ4xHXSQp4GCl6XC0UBJwrPFn9Q2F/hvsDRMXf+xaKBxCuHtMKOJMyyPAxczE3
cLMWzpIT5hsHaIUT7pouDeGZa8HOXqazZeFm6aQ4io92vhK+8iojVE/Il6BF3SHrfSnR8YSA2CoS
bYTIVnP52ctDrHdUPcycU93laBM78CUfrEFR2sdeUcbnoaW/s7E11w4CX4arjaribZZi5X2leiJU
QFP3rYV6XRp+U7pOmPsAycwtrvzaZcYmpPXMZcrHWBy7PA3Q0EoBKEaFTWKEfZe1M91oMi4h9i3f
Y87PeLq/+VaiJV5EwOK4wlIzX5YviHHQO0Dq42KOWn6SlVOept7Wj/dH+WO+uohYCFTwEMKbGWD6
EjObuogll65FxCKwZP1Zh6kWP0pLG+OdwMNsQM1cD72HsfGK4dyqzqRcyrbHnCQAvJVcQmwzk881
TqTYSQhD9I9B0bXPUR/bzb4xusrajziajRA57HZ80BOnEu9isnX7l0IU1mCPg6j+foICsaXTskJv
gOHJoQGlSzf45vj2JmKnAFzji+Ih8X3R7MlB0nmGuuzqcfTCV22iVgJDLhRV9u0kWeHcMqV+wsc5
e668FA7e/dVe+6bUijjLiFeSps2b+q9nw9ZwhuoNO75oTlBd4tqu9lEGnO/+KCtHg7gGfDKYdXpZ
y8JFXeMULGw3vuSOlTyohMNv0gapZycutK/3h1qdEPAG/sVF/CaamvJExGJiifUwHM54A1R7DR7k
xrKtvLbzz+aYQ5chQlzcw5laoyBLHnvBtggfFkfU2a4XgAnKCuJaZerNq1CLqvO/zI1FREeL/HOZ
C2IVYhR1wwHUETDGYWA0leSAIWy2sYYrrxzkm5lbgOoElIb57//aFEHvytIOs+SShhEpEXOkSBk7
ulHt8rQIhrMXuHH1TNW/+4jqSvJyQDT5DhO0ZqID0JZFLBPWUzWYKXot5ihIy/DW3Nd5XT0XQg38
omki//66rtylTBWtIUgiFEeWjRM0H8KKSmp0ya0mOU3Agn1zqoxDPEbjZ3VItoQTVsajnokoLCAD
GrvLGw5UlwMJoQ4veSqrYxYlFibXcXFGuWnw1br4h5cJ5Vd4xdhbAhNatvUcow+RDK/Cy9gJ8CBN
Vp1GrvITPNYtcsrKSWcoXkATgAHadYtnias76SNk0y/Sjj2Acrb+WKuVdsEATFzuf7XVoSjXslVn
IMoyk0BNVctKnewQx8xiPyUyewzq0H1A47zfoNysHHc0N6kJzrqDNGUXG3Iq0aHv2hS16dEai8dO
BobYVSSExgEtfqjOY4TP3hcrb6bo8/1ZrqDw6LKBK6MpS8x3sznxQ6p1i+70pZzQejoDIoFROrhe
+VPiyPqYDgSepxaTEONA03xEQRfsm31y7DjKMBhtsQLC7Mj83MmZDF63rfPU2vyHIzYy8XOoWmb0
6f6vvPZhgNhrELz+D552fX2kcJNAtXTYANVWuA8h7vlUgbIHMp8tacG1GjXoAXSy5hb+LXtIMYFD
0NT1Zhiz/hyL2iQQLvtjp4flPq+j6Njncjhi7xAf8JPA0qmJt1SFV65L1E/omhP68SIsrysp3V4g
jz73Xavud1kO3QMaGeYBSzFzP5px/8618l9BUncbe2PlrSPboz4BZpSUb9lWniKrRCuXhm/aBY2P
NIj9xhn6LdWRNaQEEYvHOUOQ+pYyNYxVaww4SIHBMlPcJaViBocxbtropOeGwNFrTD43udJ9tpqO
/4OZRAW5Jt5o5UmZotQ+O83kRRvR6MolStEOLryGng7rP6dKfz1SmZbhFeSxt6QQ6avYCaffthdO
SCKN0a4ag+rL/V298pWBobHQfGH0nJckhKh3QqRf6HX1gr6LZ/92tPg1rk2v6tD+LDTje4l6+8vD
jJl46vAOgwm+yXZlDylApAMA5NAov8ogH/e4lurHEJeTSz9VWC3Z5sZdt3J6ObokFpTuZ0reYl1t
A68tQl/IFl7ylUpTs5cITyGoM4nD/RWdf9Ii0CcUnMHcNLdpFSyCKFtYNkLRJo3t2OxiDJ8xgdxJ
O6mGXV1z2vCtaazuUEZa/V8oJhngOCSUl8PhiMNZXT4p7bNlHlWKTOnimoKCVik6Lpipaj9Lxwog
BtlNXb48EKb5TGbDmHC9loGwJQcgrSbFkj5uM5AoZfhJWFGyj42u/peJ/TXUfHn8dT66WOnCIe8C
P5ZJca5bnJ2rBNtWLe3/4SRS0IEsh/gRHMfF65gjUqHjZgxnJh+US6VH6tMkuBzcsWz2LuYx5/v7
Zm2HQqbkLvJmmOsyXKsMg2JaVge+oaaI4CHwrLZHHcOsX4Y26VsIzfm3X+5ScqNZZYEe903vLC7U
WpWNDdfDxuxw1wxxnjx7YEXSgz6OuOZpia5FO1Qw4q2W9NpECcMBJ3PJz+3I60/oGYONl6XC8XeT
7jgr/T8XZa7ujdKsjy9fUyp4tJUdQF43mCxliO3RjeA91WU4nVr6rHtphqqvte5WBXhtVuCDqZCA
CwWttDj2TdSpFQB1x0/LPnuTq1rI2RudfYfn6haDY+2KIXCiLTi3W28i7d7xinRSaQxWZuu8qVFM
uLSBqb4Fmo9ogNb08hVplrxALO2/9rRmtvLrtVcDLKU1Cx/PQdwiHg7NVJl6jMf8EkMa9aLXeAqe
Jsomv9QsDH7XaFrLQ9hnxmeihWwLz7e21N4f3QoK+/wGyw1ED4+2g+f4Tj7mr5vcHk6VK3EFAEO+
EYusDuUi80QwAtxu2eRyyjqKLRq+ftl2wUkkWPLVXZw+qHi1bezVtZef1jn8K4s/b0pfhj6SW2GY
6kvPnZ4q20CyBpDbPqox3OtSsbVhVzYRizeDacCB3TZHQisp8Od0XX9G/0qwX9b0sQbFiJ2zUYZf
Rwtj1b0oEHciiSgfRvwhf90/nSuBHqAEnmRu2Zn5tDgyIxZDk1ECHNIry9kLDFgPHfr5G+u68glh
/NGnBGEB3WnZbjNcZBD1CLh2O7jOqa/NCBaBPpwTkdobgc2f0HRxqxK2ow0GfWBFeiLK3ba0Ws/z
u1ZNO9/q49Qodg29jf8QDeu9z1qV4SWbtW0mfoVKYz1Ngxk/a1VgVJ8mE1Wgo9lVTv/cI5w0nPqm
HrNPSt854pI2o6OhLFWG+atci3K8R+m77CAETc92J1sFQzWRTk/4TKnvaQA34qggHd6e8d0af3pJ
hc4G9ku6cdL7sT60YEKLfT82UXwpMywE5rKzhqYUFOPoYeyDnfAy74vm9OPwFmE+T+51IzY1v4hl
9l6bJJ4VEtJ4d9ClV/6WZpsBcq5k1eyTvNDRuLPj5rtS1nqASlrLVnJrGb2zsWcddpWdmgXGiV3d
0WeY/ZSrwsMtQ8WGEQCSSpvsqOUV/uBu5ZrPiTcm6Wc08gx1Y2+snDm4fSTbnAI24PJ4j6KbknY+
c1S1lH3fJ9VFMRIUuQprunR6Yb88UGK8GeiEutKtSkhMCBpYPfRUq1edtyX+Hg9NBfCqU72Ns7W2
67kDoVABAUPdYP77v+KkpkPhBaXZ8BJZZlqenLYIw72W4giFV3JSbCEQV8IJXr7ZvgHaFs3W5VGu
ATuQOyt+CzDoxPMYfrDGAacx5JsPiWmaByrH/cZxW50jP3UWkwXbtDzZtS1whFFh3xddLy98vOAZ
MS/7NUTn5nj/qlq7LOGfI5CLJhSNusWDJ53BHHsp6EsAWOnoCOkhRQtLxDaqPSJxD0Y2luY+zlTz
AboVqnBJ5Bi1f/+3WJswuKO55Qrl+Obdh5qeQ5SgWlhFffgRtCzWfpNwP+WKLjd26p9HdHmVsUup
nYOYBZu8mHEeC8doUNf2BYHg+L71ivIb/VCn2lVZbEaYY089ZrF6UGSPU6wkT2FDA22XtKn9JUWP
/znPKq+5GJmlFAfU22y6txaIJihIWMi+jUPbK/bxYDlYCUat+FhnRerue9lgw2w1KZZlBb2R72A3
kk+EqoVygoytPeBzlEW7HoGTRxFi5vfyLTWLzXuzVQWwzOU+HqjJKZqtK6je5B/T1PDO1YjfXaYO
xsa3XHn8Zg0OxkFqmyd4PlFXBzTBYdMBigElP0PdHstgUVbxxmdcqyRRaqbVSGOG22CZmpVVZWLo
Z/IZY3N4qksDWQxr1vL2NJY4KUzzvwou/nGw0y99F8UIFmm/7u/alUuWX4EqEqDdFbUYraWQWXgK
xxQ1AF8x0wzv1hh7QoBC2klLi3ADNLByTLj2KPDz2Jsz+vp6aeVkp30mUR5JgbfviqDDN9dT4nOr
8Pben9vqVyQG5tr7UydbnJJ6GozEag3FtzD88VH3Gv3eE9YG0HFtFBLrGdA1q6oui0JxUeMS0weK
L0PMyKUAGK83YHjvz2V1r8wgOYRUKanf5ISlq8TuMFLAVwPhXDwosX4xGObrzqbybXnD9JuetWrv
zM6zn4zcmqIDCDD77f1fY+UpQVDFRQyPG50axuIpGbw+x10opqyfDpE/wjLdd61IjoSmKD9jSHum
bbilO7g26IxVAn4Athw2xvWWqelM5WbY0+WOQrTXVSV4MDRZvMqQE8U8oajf6W3dbFQYVh4VVGPY
oFwEs6nH4goQso7tYUDYJIzi6pOGSuoxbGpAipOBe7Ii8scBojpGtbycGgavG3fD2rkkC8cUiwTn
tmqjolE1a7NxLmlyviqaqjhoXvUrcKk0zqTbFx8V6hqAO8Chw8S7aX8lWqNVui4DP5oc/YNjjNFM
dx03zv5NZjqzIIBimTPQmX/no/TXtTrqdVM3dDV8r5LuW9GJ6nXr6fLQZq3zXOeGAwmvApQIfunF
iQZDQyqZtRwpJxPTXw+NXVqQ4OfQ+kMXtepusqP6mwymadzhvBpsUeRvT+ssHU7yTUuKdi1tievh
wtE1J0i2uMF0xNGIEpRKhiRoMoWvO2eo7YNWUQjdT0WVjvANK3zhMx1/5B2hVJJs4FlWlp0E2aNn
yemZhXquf5kkaWw1TIqOuRdo3KYA9/NjyGp8TurW/eKqdWueQmk4PU0li2Ti/p2xMjwV5fmBITzi
NV1cw+2ErGtPh98nbDH2ZUNhaddMttwVadw9YTCeHqoscx70Nv/88pEhOs+ZJW/5TbPCwzGJIovo
eQACgUZJlT2qhVkPOzMv+rM2he6jELgFA60OLveH/uOWchWiofcEtpGAmxYR4cpiB6BQhgeIZ/V+
MjndQyoaMz2MWL0f9C6azoMmlSecgo2v3oh1cV7H8pSoRrCrbTnNPUyxQw0v+tEGxZbqz81tOgtR
8eDzB8gh25hvnr8OYWlAjI4SvfPxX7Y/uQUSWEU1OWc4CNMHMRtot2bWf7y/HDfXGcU3i2IGjHMS
Hx7k60ErwDWhJfXWr7JKVY/IW2a+dKL4NV7IijhBVjS3LOtu3uW53mcicEbHZubzL3c9eu56Elad
7xXkvZYej0eVMvjx/sRWRwE7hBgGj8UNVKyRwiyCQHa+EK31H3r/1WvKC8Y/jEKOxisEXmDukVwv
X21muCdj7uuL3rVQjR5KLHm8rU7B2lxo2DsqKFnkI5awNzlaZjV2feebjTLuKzFGOKdFmxov81W7
OBn0s7GuAtClEcsvIsCqplJhozXgm73jnlu9DMWhCGztTRLWWBRXgOO9HQUQ63mKy/INPp+le0D9
CluFscrcrafvZmvC3gBHgpw6AQ0dhfn6+vs8OHD4Ha2eZnECjKKNgqoLSuhqGe1sr9QVGt/D+POF
u2Yek/IaznHQPG+abE1VRp0EAOYrhKdvWrORz3kV9Bu7ZnVmkGVhwvCu8yBdzwwLSstCb3UihEG2
tzSxb0zauH5H+1Y/azH+5RtB6s1NTz+co0ZfjSCNqGlxysMBMXC++uhPmZkcPeBsT04hkvcDrui7
QQuds66VtR82cfjSDuI8Mr0E/uGNoZZ8PVU7phkECkT1FaWuTmZuxG/NkV6C7SnN1sUy/6yr/TuP
xXvG15tBscvk0DXgajaVMvlAm82jCLzxqRF29L4XZr7FdrwNJBgM1Tt4RgS/RDCL23qgQ4jsHNY4
fabUn41ejx6JR934lPei83adiQbZrpFW86MPvf/l7Lx640bStv2LCDCHU7KDKMuWZVtOJ8SMPWYo
VjHHX/9e9HdisftTwwvszgDrhatZ8Ql3sN/5YzA/FgUVwRsxxMXdQJtmU/viboDORcvm5QT7aV+P
2J6sd2ZjqveQNfoTSDC0ov/2YBjIGpHhmyb/hLnycphR9vi5e2xZNlhShGmD8kUUGOl8K/e+9j1/
DrR7HYRhSq0prfXOkJr9pmjH5ihF+deoK2btj1F+407/uFvwFyU+LJb1DrJxF2ZqXJ+wvf+RmOt4
QAh/vhFpXTzt23D4Z22cn41Vun30H8O1K1KPGTIRd+hhrccKw5Q4t+35PBVrE6pNA2iSFIX/hyX7
Y9DdTCq1GM5qj+ud78zGGeUheZ82k3lj/10eOvzKKXjx302mCX/yF58msNax3ZVzgMf18j4zl+bY
ewWuzFAdbgx1uTUI2JHogIqJjMyFGLqmFVnf2aN1pzSRHewMBI89dLeob5cftI2yHWkqznCMdzfW
VrEEc4hpAE7VTWQu5RRN1lx/zAeq76+v0OU7AGCFjQGDAOjoRSpb2GaZiFy37hao06GPq/NxWTv/
2EuZHybQuF9eH+9yG+LQDXze2DgTMJrMl2vVs7tLyO7YBATleMZMrPleVQXavWmd5seixIY7BMqq
3yjEXJvRrU+AIiCrR33p5bAVFGEPnQj7DiBndgCpN0alQbO80iz9xp6/NqPUYjY4BdMKBOvlUIpM
rtGxKbtrStHEWT+I57Rx14cVG5X/goWS7Y17cTtEL98csGYETbwGvDwXcssO4rl5ncH+nLBE+wdt
eK+5h+wNIcGqZYUiMh4FzrlsJd58VPpjZZvVj9dX9cr0bv1coiTCCSLd3UuUmFNX1rlCgCvBTXcI
PIwfRWIcfb/4a500eiKcDjYt0eFlY3dZMrpUKbR4JEqzM6Q497AyN8fXP+jKIkKN4VAAUKWWvseN
QgF15Mg1SrTSeLTmHKQ0amc4QBytzxh84Gj6+oC7i4VOLA8b2iXEmCB/KIC83DUeKABFh6mMqaz4
D06CXHVvZ7fyuyujQIHmZQFBAsB4n+2X7YCFaVeW8HWEeocFZXtYK/8WyXN3xrdvMbHOo4xjwvO8
aM55diNEDfQztg01hOUgjCOiFv96o7HWob2gPROmICFuzODuGPweFUAMSR01ZPq4u4h26HsDlkVb
xpOTq08Y5HT3Y4JpK7rDRRWElWg2GvGQgxpHcsd6L3z6af/Lb4AVzd7cOAx76KVm2cvMo1rGqDf7
HxyLgAuXKy9s0qSI3Hxt32pa0ITuUsivpd3Wz69vomsTT65DO49kmnxz+/M/3vi6pPU7Vm0V02ZG
4XKZrG+J5zYh8VkfmZqp3kIO49b761EtKPXIB9CnR4Vnt3XXqZ27YGmqeIVs9pT2unlu3Ln73Omz
/7aoxX85GIyvr495ZSOzv+jYezS5Lqs3RqXKfm1HFQdVYz02ldaEmaaXd6+PcmVLAT/gATap1YC4
39VpUGoCINdoKkZ51//uN0UhjlMzifqOyAa1K2mmqsJeKS3cUFQB8iZ1l7T50+u/Ypu/P+73bWOD
Y6O0T6RPG2vf2pp6PxgMp6zirZjwNbHHH4tanFDLB/PT6yNdm9XfoEMiRC7y/SuZGfWKW6Gs4iZJ
+lNQps5ptWZxfn2Uq9/DHff7qaC0vM36H7s06/KstdtVxV1B6kkLsg0rK/HIVLS/hDv9njqcPSgp
QPTZ3LBfDtU5TlUoTIhiz5vNz5NVwggdNM7uW8SAtwjYrEY3TousqA8UIh3590eD0gyVDPC5HuX6
3Z2ETgxI2ryv43UQ2qEbxiXGk3E4TpUtD+h3E/HMvXUj1rmyioCQPEunir7p+O/mdyqqFFOxsYqn
VLdOVjJUYTBPt+wYr6wirBh6IFsfH/zc7tMshPnJ9RMVZ0ZphyKv63NtmajQadp4fH3D7Hlq2zIy
FgURm6R6W86XyyhKave6xmnvmqydz1abNF2IEY58X0544Z1qgOcPqduOy2FED0c8mDD2tGO7eM2E
S2+gbokFXptitHkwjYceZ17IO84yS4fVWPj4cVY/GnPqIcPjF3ojZ7s6DO8nCCsKbxe6psPcoUiX
cR5F07VP6SS8GANa7fD69O4qM79nl78eROLWB7kg2zd5abZz0KjYGQNhhYpipnuw5FAYpz7Npnt7
yVCaLkatOFcmEpA3VvfKRwY26QD1cChIbNiXixtgNJdq3drGtD6sT5pTTfdGMJg3pvLaHkJ/mYB8
E5+gTLobhk7DRF4i2zjVbP050NrksW5176y1RhfVwtaiGgu/aBzX/oR5YxCZYm4+OZoUN1LIKweH
Hi2EaXqWBunI7k7K56E1+yxtY1Ag6t3oOuoLZaIGFcV0vHHTXptaMCdkqyAJ+M/2U/64aYs6X2ej
cJt4oKd1HBXkOfbQX7ZgN7ASwfimAwXphMhvdxNAd040MmUR655CvbVkp/E1UzByRnk+9ROl+O59
aibTX/oK/x6ZSGfDJkACvgDLl4pQqGggBlKvTD9YPbxv6KnDDSL1xSzyfYCHeEAoxhJX7hYsCdpe
+YYo4JB5Q6igPYZqaW6d9csNug1DtwD2q0WCut+gskxzItQkj9Ox4YwvEhJC6LQyqN+NQk7Js5n1
q34/TWZnnUZ9zAGzS0dpRzoAq/BDBDkKM379atjLtfye4a0tuhFySVD2sV1Sq870sq6IVb1YM++W
Tvi42KmkNzqz4Y66TJa4bqvVCzO/CH5YRL9JCD9ML94kWb41snohQr3FGDScXav7ZiyQk06YyWWf
urYWCkEkkd9iqlwcMiYTFQgw6BBGCTF2a2YPo8rwcRIxKjDzm8JVeTxXJTaZpQxuPLdXhyK4AE2N
hMjF/aUFNIllsIoYNpK4W7vMDOdKeHf5Wj6/vhrXRtqs6El+Aape8G1TWQFhS/uCgybdsLfaPi6T
2UJYodSOrw+1N/X6vfDQXUnjtkIUt+bLq2NEsTjFQEzExJrmz8qmTwZ1zQqeNRhdC5bHpfzesAbf
i0IXxb0L69YPjXTQv0Fya8uoaQfborcttOGtU4/OU1/2jnb0ytyrotn01b96kthGOHaz9bnyMYUN
zVKCNp1Sa7n1NVcn7ndlHnTR5d1vNiD5abgXsTdhUAaGuAgbvW2ikcbKjYjv2mVBCo9YN4RvzvIu
VMFqM1PglovYzjEAXoclfwC6lZ5eX55ro/Bkg3PbPMooGb1cHQC5fVB6XhG7ReAfigzZoypf3MPf
j8LJ520G6HLpXoCJ7koxf8hjRy7OAbs56wTv8C/tWLadxg0O9mMDu26snZffksNXySq8LONJmOn7
2UeV23EH+feXOKMQRwIoB6W/bzIvmjspa0gZRV/aIzwkcUIn3roRZVzZaPRBqIBtou1ErLtrp9WC
iuqf4C5QzeIdvVR0KC/Ovq9Ct8a858Y2uIjcmLqNTbIRW4mh9u+7kBkSjP1axMBDlrth9BUkkhJW
XoBf8ZfZyBAF1wvrH70sbmVW2w57kZRuQ5N4O7+vvQu1tC7z3K2gUsRV0FqH1kobDeaTsVp3M0a6
b41snj4roG6/UC/2fja68/P1vXlt/E2y2SExh+G9PwFu4gil2kDEo5LVciLq81vYw+Xgx24gRIp5
YNM+dcDvhiM3FmYH1uqL6kaAta3nfhYQnwW0gKDgZehcIhFq4b4i4kwf5dmaOy5iG+jWh94o1MdM
FLl539jdrRLzlW1mUaol/SCSZJftthmC6BPqtw62pJNjLVHiq8YJc6rfYG+hMfz9A0cSyUWzlZTI
2/fxneWBxnCUiqtm0s3QwKL7Q+M36c/ZWtxbId2VGX0xmPnyNhB20jhOm5CxD0K+0fwiPaDTr4dd
8awV+tcqcaobh2hX6t3uH+QBaLWghMuVuj9EQ95PTVDbInZQjB5DURbTp06hNowVdq77m5KSnN++
vnv3HObfg9Lcd7ZGP8WBPdK16pDzHHG6j6XfrE/ovKdIj83LHVp3uFm7ajqN+Dcf5sI1sNWsxgj8
Q3skfmz/7RZ1i/5ybdJ5GMGl46IGJGpX52L35HNn+gQWTsEH6+NwPwd+/TCkWXFIyJuAiwtcjl+f
hCuP2HZRElZTskXldveIoeMklKtVIsacfX3qKwBgja75/74+yrXlpRMDhXATSHH30TsSPVi79wQy
a+ZrJ4VF9glFguZjC/rgg8Cv/cajee1sckY4lpwXjvruOXN7wvMu0JhLi3rzuM7V0UkHLGpceUuc
//pQxOXUQXl09k0KfXZnjDOkiN3WdEKnmf+tbWONlsC5ZbBydamgvQASpMN6cQUUXa5pJaD9OBsK
9aB72nSfUFu7UW698pxtiqJE0Rur7EJYOdDbbvAmEi27kOv4qJIuncM5yNfmmKPK3+LCnFrmIUjm
xrtXWZX9en2r7LW9tlOJbgc3AYJIxFb7rGG1O8/rVkJ5oXzEHEGO63ephtZArK2tmL5aRu6VX1RT
YevsU1SfwlxbUJ8P+8Crnpe8cO1DURdtF61OYaujwknTPQV1YNzyHbuyIPzSAHIAb8Al/wmcsbKy
lrPTdWQ1oszlG4obN47OtUHYx7SF6WUyzG4rj4lN9Rd0dZzTvj+T2IjQWZf6Rj3kygHdcks2Mfh1
aqW7xwwFITVusqCxM7XeByNZ8sfOmfN/ltovnxti9Vt2AdcG3LSSqBf87lju3jMPRKOWyTGNtapq
Dn2OlmY/p8tbX1u/WTS/j6/vqt+h5S5IIFKnNwrSdcvwd5WnOsGuY6rGLO5lUz1Z7prZIVS+zDnQ
81YfjSkZq7d+ortwBel43k3DOlLet6fl3l1W0zlZg/CLg9pabv8UhbQkuIAiWw5uL0cr1BeRJlFf
qNmOhtk0wBIbVpYe3SC3BFVt36IOA8dHC5UsDC2q2lQgoLtJ8JxKXVanwCu09r5JfKsP27ksrIMs
vJauNfhL79Qac5X//R1JQZyAgveP/HI/I5WpbB8aKxoyi70cJx8DJcg21iHpu+XGUNcWm64qsTjH
eitQvYwnSv5oorwKP2AOljhRpvrU91X5He6iHuVCM/+X3UUtEyEQNKN42HfbOYFXYcsUU9fJGLxD
WlnvUsMm38SJ7X5dtVvSh9fOKA1Pav1cXpsr1cvvW6XQB8A7eMjqenfILSc91Jjz3LiZr7w04KSR
oto61JfdaR0d8rQJXO3OMHsdaldjvOlk231AEER8fP24XPugP4faFvSPmiUEMdSZfWSUOuzqIlsT
8uxViFH9D6PANKAoAGQCEaWXo7juOmfjxphJy7YNBXXxM128Wx6gVx40moaADpF+25jMuwu0zLO5
xMchjRPPwhBEGNoROnh+glZr3ku3zc6pX+qHtOTOe/37rm374Dcqz4azgTboy+8b9N6Ed8QJG+Yl
jzqO/LkaSyMMBJ87jdKJXh/vSgRJ6RKzyE1LhGB6t+sDaGHkoR6SZfaiPdmd4Z8E5b/TkuIwh4ZK
CXF2uQUIvDroZvZAV4h/7WtUPc3WsnD8LJ4MMzmKaR2joc2cGEka7zBWTn8XUFO9EbVeOQrIO2GG
iR4cHNVg279/7E+vc5tE0zr0bnxlvKuF25PsesNnbQys0+uTenUoeFSgc3nmOeIvh8Kw0R39kvdX
5bl/GtykDKUm03d+M/78H0YixwNCzgPs7AlNhQqkI2sU2XynaYbIyDFQoMFWyW8SW8xb2OM9cHWL
syD4EOBx9niDL/QD5jSre5FlcdcPw4Pta+LkYXdvhb6fuh+7CTW/oyPXVUZ20tnf7cpqHppVylvt
2f/PD9maXxwWWou7bZvWjddUJWrkudFYh8xoxBnjr+E0mTVWpmOgkQM2I1NhVH6Eaha3UjK0x9cn
/8pZ3W4H3ijYcyRh5stlhtWjJmdGj70TA1JqhfdTWmaHpJNwKKy43v+wgS2aflR2AfJT2Xs5XFlN
tplUm5X8Vt87VPOQQ0/ss3978NG3hCmv3ObsJvpcVJEpWO+bGnO14vJS1dpdLqcpgpnX3i9C1+PX
Z/DaQdnAi5s6K7jg/SO4yMYdnBLy71zn3XhwwGvdLQJaVzj2ufXt9cGuLhd5EPo7m9jZvt2VTbpb
VSaMwwz6lhOpvmLlEoMuSFEZh2klL7ixYtdGhIKA4BaFLvvCSKu2vZm3BQ47TAR08n1bDsAYijR5
V2ru0h+cUnr6jQv92sJRGKGFv4FCLyCoTa2RqJVDGhd5wTGUdgBJwL01yrUbnLCMuILKw2UdO4Fb
RGuPULxV2gAQw8U8+NxCWDuhMt+/6elC4DtuZc759TW8smG2VjP6mjD+IDvtosJgoriUKZ1t6RTG
fZZV+VFYkxcmwAZuLN7ex2e77NwNuLC1omA1u9vq/vFgoPq9LkEx5vGYpVI/mzLpm4NUZbJGw2S2
2udkchr3ZElT5nfKdbQmSlQHMsZcE6AxeqH7H3U/o4+aCqu6E4Mcn0vZFe6pcBJHvxE4XJuZP3/t
7kZstaUo+06iLQJw5GAvI+J1U2+GWGr+pbf9/5sY8GImau24Ne0Tv7Ir6N/Ro6b+s46f9HmtokrR
Ora0rnmshto+dH0/3Fj5bWV3ydhGkiKCBFtNtr9L/pBebpuqJWbwVFA89ZOxhK5mZNGAk3bku6V2
QAPD/sby6IdxCOTT6xvvylEGlbMJM1Br3J7Bl5thrDK3n4o0i11TWeqQtiWNU9/ppXlOZ4w5wkX3
hls50JUwlPQAEBSBLlnJPo+XCJIBxMRNIdDM/I0xVN3JmSYRrlppsIkosRpYAAIVzP6SevN7iQnO
iJLouVAk333unNaFMMFgxlqduI+Vp9c0/DIjMovWu7Gw12YW0g2ahxsYj7bIy5n1Fhesntx6IUWy
hfSNZZylK8yzW1O5TPVmvXFSrs0qXAqyIuAHkFJ2AxaDLCwQgkWcpWP6ZepEDeCqKY6tYyzefd4N
QRVyZQYnsndN3hj899++28e4lRJok/MBdt2XqpzBSOhqN8zskBUDxFHNbg4lPI7s3kL0pD2mRTXS
7xzT7GD1pLx0QTLdDFvLV49a1k3PaasBixWp2alHKKetE9Wpkdx71tCLpyTJ+6eg9du3aPLih1rX
fr2eWt+p1I0TceWhgW4KjYkbEhvF/eac26yxkSLN4qYu5kdMRo00HLCgOr1+8K4NE9AzIT+hYXRR
ZYL2JFAgLLNYjdry4A+IKinbuyUCeuX2RDoWyQy2IFrK+3jS7Zx1cCdXxrUD6+VgwUBBF1urQcjZ
lIW/v/5N5pUt6KPBBcCH5ikIqt0zNmLyVIutWZJYnZ+ekq6exxCElvkxl/Y0RG5WqzRkm/bmeTGX
ugjR5wxgWHfzUn6XplOsJ74jLw9LsQw/LTTf1siezba88yqPv2CWGgr0Q+An3bla0/lpgpoxPdp6
lk4fe9dNRWQr/DyioUlS7R5F24YXaxzKN3Y6qCeYTWtzYyGvTDFMPkR0gN5RZNnvF4RQ5OANliRa
VnKNkmaczlZqZ3U8FPzzRhi0p2pvNxgeqYB/YPzAR90Pt5aqH3H3Y4rz0fAjdK5KIxqk3spQOWU6
RJnZy+895on1gw51XD/XqVZMoZt6FJjAlXZ+qI2tMVCft9BlnFZZN4fX98G1KYERB66fmB4hjN0t
q3RDrvMI3l4VPuuv18NJm5cudMryL7Uuf08HpFFgn/DIQHzvhurtKstwdCljhFKNE2Jo/Y9EJioa
zFX9+vuvQj0arsfWXaU/9PJCT7fudo0ETKz3lX9ahOUeenROIleoT6+PdO0Y8T4BkKM8i6Turlgy
JWIQayfLmGrM91Lm/jFAfTLUEU15soNpjLByEYfJqIsbqcSVS+m3+8/mIAsIbh+MJL2T6tJhNquq
r4/WsnhvF8Bff9+/3VRhqMog9IVqyO6WKDu7VF3bsT2wa7tbhVYfsxm/L20wbim7b9Hh7lViKOqR
vExAlPYhXd7riTT0gg/y0+w+k5OKWpeMLB8WgwdIyyIo/tXz68t3ZfsHICDYIcARLvHOSb8ZoIxQ
Z/Kl7QBDdcmbwsCwrfLyGyCSKxtl4xlioESMcamz0+dm0HIbi3iatXGNAxO53vuMy7SOGmuG3bEW
1Ty/G4Gauh/T1DeTW9fRlShn68ZwKfPAXMIe+qWVelrpEHh0O/+RaNTs8ZLOik+GW5ZN2Hmu/IRY
F5VapP8K94O21BBtWiJeNxwcO380ezy8zyOKDG/AeGEsW09paodlAr32+Pq6XNkMJD00JnkRYQbv
i0q5Z49DIeim1YRkZ2nObljpYr2rHGuNSkl8n+TzeIPsfXWJAGmSTVJfosvw8tbw62rSE28U8eCV
1jcjqMrnpVITebmdnYuuFw+S+eV505349c+9VkwiwuAU8xyTMe+Hpnq0KMwgRWx6S4aNt4SKHcJU
WYuoRIq9OfDSlCWCIlWtonEUhoXNnW9B0R4b7cPrP+bamYACsEHHCQ5pVL6chl5Z5M6eU6I+6TZ+
SH5vfs1Tu9msW/R+vrHSV+4xWDKQZKjFbuHP9mv+SHHJsmVW1TxAQP88aA4dQozoyx3+/puId6lG
bPS1Cx2ilHiFwuHAKKXhPQGitcJMX9Qx5V288UHXjhnBKAVtaNhbSfTlB+E+KBqtd2GwOYk4d1J6
eWTNmfdlFlNm0S8Y1PPffhwsXHBE4KkI5ohsXo6IKDCk/aCQsVki3h76Nu6GSC/WvRNWK1bwr492
pShBJEz3k8Kyy3W2J6YomzKglnCP+KOPqvhQFWhJK+mIz5iKk8nYsvObqIcgWD8F1ZSlYZIEwMeX
1tGWs8tDvFAfTsfkqCa3yI5uY0/q2CizT0JsKBr7rxcExWKkmbaoA3LbPrszO3RNFDKfMXTy9pgH
s3OPnAq2yL4pHvugX2+M5zDdLx8yWMJ0J8HoQB26MPMAT1dTd6mKOEE6OCLsaKPCx9ZBWaN3d2Mt
tvd3PxbRBwVSilHQPHbvM8ph+KUZfRlzqSzdIRtGBNndTZY6REVC/1SRtn9Lyq6pzqvX5kO0QNeY
QziqRQpXuqlF2PQyc9+ASp/vyzkNfgJiageEYGcdHkM6TekBqqs7HcZi4jW+8fvNy99PQ+S3viYw
UZqpL7eut6KB6zUAqHLPaN8nlNv+nRLiOqie5upGbeLY/5E4BrCgZMANJDy7+CiFkMuDq0o0kjP4
NPmNoOfyBCNTw/4GGEPh7UKrnPkccJrbnmqjqj8ZueaG1hQEx1GOxnM9zF9en4Qrw22Vey5cYqxL
zflc06epHPMS5hz5SIZq+buhWAE0BS5FHXstbrFmLh9Xji5RMYAA/wpWprC54jXhgP3J+/zDlIHJ
nnV9gbxv+1iDLsMdcufFjfjn8p4H04wgO7ZEBKz01F+uNGyACg6bGONa6M1x9bty05n2bjyk2xG7
3FK0TElqiXLgz+07X67ME30UZRB3aWtlJxcWS/pOLZ5zDIxFy0I5YW4eTdnsfTP6qeqOmTN33gHZ
hHEJpa+NPzFhUeZGS3O/9rOTPtZJmcl3TtPhpdYacmweYJX0XTSpealoM7dZCqTHTLtzsiSInTVp
P4/vu0mVbpiv+IxHs0hK3IcHXbYo3nvBP61eal/txpHvJa9sShnPTL76aZqtoVsSVh2AHWq/VpTN
loNax+qdIdP+n2WZS/kQrPP8wzHGsYAa4YwqsgS8johPycoQxT00AwGMdZ+3I5yFM2VR59T0TrZE
a+At4j1KZeUnXUnx1SvM6qsxr0V7zsyy+5z51LWPRr6ua1i204Qb0JAI8R8SMVkVD9SGtNAPymwK
awdP149TonoMROBGCvs8TS6tk0AblvqfNLeoES5L43zQ9Mr/N5+CxjnmxOHT2cSZTSCjIPr2QWi0
Sh8kdKn0MDhzKd4MUlv0N4DGLevfsQxyLURcaVp/cKMJ1Laa0gSubqwqifJgKd9K09V48dq2Nt6X
Kmk+SkdL0hG2yBzoP9e5CdSdZjaT9bawKnqzWAHPusnV7GmqbGM8tQGm/jT9bHAjcFhqJt61nJ90
FpT7hgR+OYtlbbpo2Lxy7mYqTuNd6Y/lzywxh680jIlUJHCG50FHgvtuLvk/hKAsJ3Uo+sWcQxQW
PYyDwNzXeOFlUxMBIEp/+aq27Ai+Y7GGg5Ll92pJJ8jdMp1oWjS+/wFhY6MEESazL42T1A0Us7b8
1qPoWkam3xGTLzx2ARg3gHtHzEdkE4LmMdZQriVQnbJVAZgrGPM/kxT5tcgwAHsAx0+X9ABOLSgP
lHvnz8mSGe8IY/pvgIh6dczqTrTHsUynNmzxuhtCF7n/MvIDpH6j1lm7X5xx5zACr3haukDlYb70
7oOmBh+onUfjUVaGMCIyEREVSe0O0Rhk+ZPWtcj+OugpDyE0/+GNKPyywmyzaj+njSjfFI6lzpqS
9b+L5crgbIrFqA8dvhllFCBC/JT3lVuEmjLHOWL7iwKbRBRdwnZ1vP+M0Uq+rjjl3VfFnM9HWDV4
gym9tMpDr/POPGRNY0IuEbV9n1GvrkK9nro3Q14sIHe9NHkyVj3/GvCElsiq5+nHSiTFJ91p1u+Z
VnRr5OSZsUSFmaQ/cELKtDA3xzKPBCzLNNSwIVsOifCUf1cb/fzZMhvrfVCX1hDmVSo+z2J1noPU
HqZobRb33SBBlh6y3J9+VLa2mOEwVtQvW9+vMhhcgwX1v6sLBLw9meuHrBqXIQyqddT434fgWPhD
m+A0URWPCLSmBl+We01xGLrKaQ7W0uXLD2h7HOUuyJ3sUNH/K++0vrEfJC2zxzXJgoOEoY6SCaaT
Swjs0F6jfoT+e6ho7slQot0XybKbPmiW23aHpZ/MRzu1Sv7hqPYg69WX0bxOThbJYFBfc9GWv7DN
taANq9pgdZfU69mFSr1vFlztI2fJhy9ZWnZp1MypXEP8TzggYzv3KEM7qvlXOJhehQmXmTx0ONQm
pz5z3c+uXky/OtcvP1tqEPOxd8feiYLOzd47teamZ/DkEIEW1QzpIStbZwCiRSHwQMAfGEQ5adKF
U6qZZ7sTMj1ZFU2kcEy79u0sTF1w08npOTFNil/KJm4OK6+wfuR6nmbHpUUw6iTE4lPaofvyzVpV
kR18SmXYtSIC99xpWTJEMnedL9T32v5YaGlbhfAy118afd6Nxjb7a7ga2vIF423VRkGqybvWJqmO
pkYYiE2gyyoOLnsmCA2tVu/huBVfAViAARu7fpzDIND772maNJgnqUr/B7+I/ksJ1gIJg84U30tn
cZtjiqyfGwZTj+6jlzNWVOT5xrGAbeaERZLXv6YcCNGhddxCHsdx9ryo8fXy0YQO8GTASpijfs6y
HtO1zPoMk5sapJ4Pfv2c9Lrbg0gb1T/rBjDhOBpae1xThXWi6eE0aBuy1w84vfVt5HvZ/LmGpUNo
imWtg9uTwqJaoK2JHgouBka4tibCmRRt0fh11bp6R1+bPDA4ngZ8AZwqIqo2+oFxpSdOcu6qemP8
eXbOpJgzFf/IEcLUIlWbhjwWk2Z+pjxQNYi9TgD0hqqyfnYyCN7CPoJu6C1wXMJGVoPC27Jcnqx5
rB8ckXVeaKct4CaeSPG4mO3ybFdifa7Khr2KUJj7y0+I447VSjjN3SHM+7kQaL6Wbeo3J3vGti4M
6qFfgFUiBxpqhbTLB6sZ7ThPh+yftOJawB0xy0S0FGPz3NlWJk7FCMllpMxf3SPFsza0f+wunuvO
+AfzwQJ7jJq/YUDtPeeaH/T0qFpv+lWPq4WkNsQeqsmy4xrUuyp4C8khSQ/LsHhnw1RdE1mJ46oI
zc/+P0clpROutZ5lp2LpPckpS4NfkLhbLGS5TbRwrXgtIwkMMMPMNccKlB60/DXk7rgSW2QVteiq
tJfQAFbQR0bapmVoTCp4zNIM0RR9ceZoKTG3Cm2rKb6O5ZD9V9XmNB4ST/oLVW3NfUotveL8O5qt
6DiVDgEGqqYAlHhYRcM6h/agusfVN4cuWgiZPyQadLhTx90fD+6cBIdZJgTHNS+RSa1wGXzg1DnK
t1D1eHVdN2m/mHZlroBwUvGpXdagPKoKAGyIm5T/WKM3MB68OWFPVmY/d3cCttp/ltLUe6EpDHUc
acspSn2/FtFUBON8WMR2a9HFWJ7mtMrdu8Is8rdIVWFf0WHXB57Dacf3AgeJ5bxUkPxP3BL6ex9H
+JmgwFiO1SDr4B0pfPGEvQW5b2s3njwoZwHqtmgbXIL3ZuFGXtOyPuq5XvZhneo8Ozi2ZR6COKWe
P2haWldh31ZlHU2QLXgfx7nmiHLb/6fWvniPXBrZv2FneMbiSrKad2uv5p+BMaTnzlVOwHnp50+V
u1RvssXqP+m65BlEcp/+g2q6Jgkrkxs2wk9CTqG0dR5/TQhkUnwP3IHbTu630i84YfraWvdJIf2e
L6D0GSYtl3JklFONf56WjVWYmpX7llwun0MPAdv6YBfWoB9XUZlmNGcN92JrzY5zAKQDjKhEncHk
iAT+IyAgnDm8JEtEqE1Loth+mfbQIUohw7rpRv4wH4PHqqRvxzvj4SqcTME0nceeniH9s5LAq8A1
4L/adIYcZj5BLHBKiVFp2ZnslWQZxE/8b+cEqeTM+ChlnT5rzhB89TqdRz4tudOHApun85RlSXtq
cclEmsg1jZYKda1VuNjMrsaGVxotFFdVX8dAH2sqd2K4w/c1U3flnFufZDuUFvmHkVth3ZpgGoOh
NdRJbzQbQLcDRuNAVwPxQ31SyaPtb5bKmU2nGCySg9QlGVaJWediZtPp/zg6k+U4kS0MPxERzMMW
qCpZk9WyZNnaELZkQTImZEImPP396m560d1hl0qQec4/NlA1mgwyhxhoi71szZ046v6u/ngsN2PY
OM/D4BJSpBCqv3pXgUgRLQSo5W2MfDxHHeHfjINj4e9IgKV6zJr1Rybk7BadTrd35Xr1fUOXzF50
S9DPN+zJXltgqeAmcVh2OsbDIXxcwmqEG0wb79bsjmcuA7I7lfepWV+ISYn41G7UU/S1x+57J9v2
1sSV6YoxIay00LO0bzOiPZ03nooNRcCBtUWzLpvOiYGpJI3jpmtO3sogXmQjm03Jo+qNBVTS8tF0
4UZaUSaSNueWcdwHz0EIcsdykPS5T2waq9TmD8+zEJPKif7xP7CdR4wg2UhYdTLL4WTakYcspKjF
5AR+zE81ksYpJ3mg+husnv55yGGxpWX4GPmerpvAMthhKbe90wDnqe2WvIK0RH0zz+KHao/sO4YF
7v8j3hdzVoxJYd7OWf2h56D6A+3pDUWUzu5WxFUo+WuJEX6c4JE+lzBiwm7c+HkgMHDJR2fpHmvp
QsDuY2T/UChEMnzm4YMuwkkqU+5MXn/DyFvergljztkwj/xyDm/9IrVv6PCQrun1kB52nXdML3+G
fuPH89W+gS7jA3is4GPM2Xd68cGKZr962TcKQqDnEQ0HuXRsE9ts8rYJOYQrG/GBjfEIbenZMQYF
xFQF+gFFQxQW3Sj7D8qjlo+wzrg1+pCAt3xu1CFK3Trhr3BlNytCm5hfLLQcZBxY6CRTjuf7rh5C
Ueye2JqSMU9ev5+BSBF99Pt7ZONZ5tT3sFtG/hG8YxRl8nHEpm3ZRVm/4F/apl+iEuYzWgekHO3A
6pQjTnG+M7FHrK/r3FeXbR48k6+rtvya+2gWJ4rmFeYFdJaaW9HuvwdBCF2uk8V1Ci749raiDIXT
Zun2v46pxd3kW9X+N3pIgSZniH82GMW7szR7hhlhkllwRwC6kGWqhvqSVovuSuZOiYDF2zd5GTbi
GXK77EHNnF1NI7ITf2VzHkKf13qwfeFW8RUwHmqucZpZln+U5qZdbvZDsAOC/fWn66X9fjih1XmM
NKgrOaOrRzsH4iuOddiWkXL65813xVheH+q7iS4VBvc5ducCX4FPpUObALQpjXrOMD3+SPd4XQpl
jHULJCEO15/TrZ9ddeBJy5xjinKWXHszttns5YxWy2ud7qktkpYEitxZFudPz6Xxt7Lx9N4F9UHq
cp+tnP3RFLERx0xdXmi9lONPOlnR9lK97X0SCWp17JKcuff3H607iT/IZOb/yF8a3pf48JKL3bxZ
Fxlh8HWu4l1yYwzjOhXNMSQc/wNy4Hxgw2E57prwz7ou+jEQ/L25oBHk08pu6Nm6D1ORI9AGXDXc
1VHhztY89fy35144mXOJB2//XQ1D9lxtus3KykF4xZswL9zMIQB+/n+LUN4ga/i2tdXRFE6/BsjB
0iPyS2NG8dox+16yIc3ezRGHnOPZ2Eacd8TU51JW2T8yf+YuZxhcllO2VGF/JhchbYsgbThQ98oM
b0yN3r0hP33NQxl5tLEnnlLnyZ3TP7Zq9/fQ+Po28q4ZdVS37p8c1zwrqY74C7NhHTklUQzWuQcE
8Kn3KP2+Jsd8FITHir/MR1mY76kz3mLK0AkoxYriADxgrr418gBHUrN7mEubmRbI3m25PeJjSTIW
2mC4tGzm9mahY8zBFB853qlRvXpAt7LvhdCpmLiYZiCo0an57bfzuvS58see6yzYTXrnSOO+rs2y
fsfyzTB0hENzz9DMurY3fT2iklAbhdSbD2AnDidgLkTp1+eNJH//NER+/Z9Lb8jN6PvTszmUciiz
oHYmr7zUTqWpmkTmR7qZkYCINBVF0+y8HSuWCuCyzd9Padj0f4/Ny95dRy8tvXuZByE7H9mab+nu
17lMAcmLdZXBS+Bu03urM0vJ6ZIaA/ispPuNvXE1TKxmEQXtdq5XNADLdR6lxK7WoWTfiLe5eXSd
rJ8LJrrGOWNMhO3ABxk9t03sjWXvr2TpBgBcex56MYEnbWKnz7jfqOmrt+Tgrs9S9bNrbfVsbFBV
JSSD/0/x0zx2mY+fMPH69D8rtOUzDu3Vjewn7xWSrCHvWpayXFWA2nm4ZPUfTZxjXQzTLLlh6iad
T5Kt/Z8fmLQpiRGfuFb0Fhx5JANsoRPC4scqGLhTZwAadfauDrtbfczbd6dvhwY9oM6eZLysHNCO
ewBsJEugSwe0dTwd0eTwMMB4e7k7HP7ttE5xyAeu4l9kueBmS/tt+M8JveaBehAbg+jZ6S3ZVxUW
bizsi2n9mu+r3uNbZ5mc5Bb5cepBLK21JeS2TuJbesztlySbjdoH9HNfMtyBZerQJc56QI7CvKL7
9VNGZl3yXXf+PZPZvl6Gq9UvzwQYT2FHab8vjLHvYxav5NRAxr9m1MU1LOSqnciDXNN3euv6l41u
Ba4KS0wqOsiUXaw7pu0py6a2YdOefO8UDscQY6lK3B8Qgs7ybdTs1nlW+fFjH1XBLUHDmZ+nW72+
2zoa/jLB+V/BsMMFNPQIU04nA4J8ZJV0DRPb4S2XahTuHR5SuSCsriZbpqaWf0Sw7ikUWlYrQhyy
WJ30US8/N7A2n+G97uSJWQBoMVkPQWD00MxfvTu7Cg6oGj62peb47MFs09Kkk8Obd9jhSXVe84VC
hx3bn9ft5fCU/b6HjfnN8xE8x5TQ/W1AObvcKtShRGNW8/tAXsRDXU+1fzm6rf6zMzGmxdLu8IBZ
wjKWH50/vdVmG38fnef+2kZP/ljICvrlDGqJLwb94Hf8+skfIepKEou4d205g8CN5eF49oIuDVUh
Q6b/70AF/lsRYvSrH+1gC6KOWFyZVP3PYQfnL0mSinnmVl6SNQ06gvNcr3uJw4r4vM6vEJWE3P9u
nhHNnOX70GdLEbnW2ku2gLAwtkz6J8S1/1+bZNOPNWqmO28WSXejB9dtyo5skLAwXCY2103g0oLi
05OY7yasXypn3mt4OL99M1njcGxaQ4XDNC3Rv9FJduBUKJ9fh1hJ3Gx6IUOg7c6VJzgfcytjYxNU
D4n+6dV+M3Oo1UFyGYmQTnOeSyTP/HREDeyre89BxPEmqqmCeZXe9oWUkFPF3Rv6IyGXJufM93Vl
+3jMX3aZWPYFzZbzLZDWRPk+wSPmMutsmjN6bO8zroExx/aSgsW1zLJ5Dysw5rMUIcUmmhMmHxBg
CyiTlQcrqP3+nwJgAM/2XMSYiwrGc4i20CtCTel6uTcLdlxsIhyNs9OzEh+SVJU8Aijcywn0tEZK
0vdPazdTWd2YIZ64c6csK+p2Xm6NT7wbH7Hd2nKgwPyhn4csLihrcn9Wdom/FPTFj7HemDF0x/O5
ovRdwAmjKeR4Uk5GX18/vvmasPLcikS8bmuwBa8UuYTPM1IyOZ5TCen9Bmet/q2z73DGq3SlGfWi
uOuiC30A8qHzs5V9Zh6We0+g57ghgG8bTvs2Ve8rZ8c3JkM7nFuJhqLoYz19hqJqyU2v+nQhvzUG
eqbqLmN1nrb1dVamAWXlzG4uW6LXh0xrvOC0wG9fzWyuGxsL4n/R3smnXXjJSNLBEhiG/3Z4MNLz
n7rNuuI0Y9ASeTqp/asd4uBuapL9JZJe9zbwlEYkHc/mabfB8mdq5/jnCNEOgiZi1s0xaNfXHrn1
dJ/Qm7OwEfWGtXL2GZ63wWuBhLYtYpfgIBXzowRdXbybfkqDrQOEifYoANp390m7qJkSf4gBCxZV
n2AFxoQpp92Z3F2Ewd2pWbyKncsLxK2k/49/PVKjljup9dxy4Xx9bZ0ueEpBThk3kOL8M4QAva2d
cn4tfBYvH8nw3+GFlIc9kW39M9FBCL3CihwUKA7aWw2mJctGySsOyCnzSLBsP+HC8s18ais+DqyG
jW+xRozh2W0wCH32Hm7lPIT81qTOVRuTTMZASSIXGz2HAzI0TYZbFYvqMbKha4ttH7Ifo5ntfOMT
1btftoGU1yu44Mob37DEnSJ/sNupD8b6bXTQyQJfLEA61Cg2ceES+9qWzd4c+s6N67Y62eBIsnIc
41TnQsnElBNSjJSxRI/PODb2FmJ+n5FiJ4YvossW8wMgYlJFm/Vu+tm4fQQrmDaLe6tW74jyhNuz
KZQMGM90WvUdLxNj+gViiDIEtbI4zLGch3IehnkHP8W6cQq80WUBFLVLGle2I/A4UxdrvSfacDak
m9xxb/5epYD/Y3RNdZRhMLineGjtzy1ZdVaaINE4mGOorDxEfHF859c3+4WOYdxKvaXyjkt7+LUt
JrjJ2n7+6LjBmpsNZW53Ts0+tOd4nrPvw6aGruRlAUJo/WRuWDPiLjtNHm7RXKwRA6IAYJfn6/Xo
fauNmJKHlkXho+pDyuvmLfg96Wafyrb3xjG3pLNMRdbjVSF17vC+ojFkssmBw3R88RLp66c9Euvx
C9DDqocDCDw+hYwxTV71pv6Hi6/eLx7U3XA3UHnESrA2yfBzIoPUP3szURgloGA4f0Na3NbnLVma
6THcZWXz2hzJ+M0Apy9soiFN4bwXDMGg0WK/HYJQeb84tthoMokLQeTCLGuc94I7+NG6vYienIzg
kyB3st3qE+bR/oWpqoq/uXaYlu+TfxWIdWm0++XgTsfnJIAC/6xX8+ZF86BpXnkX4q4RrncKOPLa
k6jx+xWbpjKdU3ccvPOc1iu7Kc8PVKpnCHETRAdr/s+pCm9Jo4r1XXYdul/pDUntR9s7q+IN5vDJ
O9ZHvi8llH0ke3XlaJvcdiGrtw+Ch8TaWNyy7Q5dgT2iBUg3piE5tOLGjz+mOJLZBSh/qIs+VfAj
TVRn2wluIvvZ7JmDFnA+/I9gD5V97qtYrafJdF1GR/LGiKpmmNxi8CbhX4zcZ/NAwKzjXZxWQOo5
tKlMZ865+csGzuLSC10R26DhQs/94ZlPWbfgIF21W8PwknlfG3/4dg8EN3fnABBTvyYNZ9BlP0aW
R74f7/vk4j4rJA4FJlxieILCI15E3/vOKG5WuVGwR1zPeu/Rqrh8crGkpoB5Gr0np5rToGhSmTlP
IQOcJKzhWLfHrDIpFCXvv/nPm9bFPIBVJ+Evj0CQ5KSsCmFapt03t+2eGv3AO+Dpgi1TktOpeSHK
cMIln2+bitwPD557KVMBNP8tMH0vvwHrki6A/p5LRONHUJxbXBY3S6RlU0axMOrir8iJcpwru//S
Aw+pfOiMC7jjAqUX8z7Z8WFMFHdBzx6rSrOMCNQt2TVD3pME3ecIJdw719taQCcRLHvhyzDTrEYE
pN5mAG+fh9zhmNGmK31ica2Ccz1XJAHWnBfb/ZjNPEdQ3IctNaPP9KO9mie4qwSxOHa1q1NOVEp3
fMy1arMTmoDYFtWkt3e/O7awyDBGHzkPnI5v6j5p9Vl1R8wWkdFXf/LHbdTFEtJdWyoaCvdTRcKc
XzY6nPe3Lh18F7IyXOOXSEkvuc3gVlkSyTUsAmfkg9N8p1+X2VY4XKipnooNk6ktFN3ORyn6baP8
Vu9a29trrvde2iMU7QlXjc+PFR/4aRpnMdNjZsbomT+cC3Lih/uptFFeeeg1I94CXv+TTUo9EoJU
7zeQfM1bWF2vI5rFU/febaxrzjIzTBaRYd6EsXMY85q4HuRtW2vuxa5xjrhEAXLAfuskkHsBjDoH
t3QYhT9C1lvUd60m4C4HrOxG1oZqPX5OuzsPOcWLaQW9MML8TtlaVWd3c0P5ChGh+MVs7VDfAWSg
AlBCazBm+K341NsGISK6MwWVXffe9hMYvqnPh61IG8UpEc+lpPsHnXeUavs4ronzECGvSL8BJ8Qy
d6QrvLsI7ON13aoIsLRBEAaHqhxOsCUbgebCLqQhKUF5WPR7QDS+8gcJQucNVXPWSR0PeSvYJm/l
EZEJTCug9wwyy4ox9AvZejobQVKHpVLvTehNRzmZQ1TFEB9SUZU3haJsR/Q7v+UwMPkG0FNtngT9
2N8sk1Du96zDQ3ketiF1H1zy7jjBNyADOE14EqYerAFBdGKEINSnr0ysLzyMBzXsi8La07Q9IK+H
8td5DCrk5/9F10SOt043TQMZvMHWnmRbsfeGKK+jHzIW7lauGwHDn62u0hmygHO0Zz4HvwGcdXnQ
Z5cl7BIuQJaPh++1onQQvgYnHZlM34x1qNZzhj6w+bEudmGcwBU3nq1Dkrjst326MbQxvwzkUd8t
VFwvpS/0AauIzqMMGi8a75OgneQ3brkBpaEVQCRCK4jCRQQb7fWBGH6Bd1VxIea0aqiFidav4dCx
ICCgX8Nvsl4IZdqwgnxK6anvBvLrF952+3/cxIUI0HoPzkDFjk/NEPDAC8Vt6U51W5jMpS9bpyJL
iJHYEoIM6YW6IDiPI9GBL2TXIFlP6CL8167KHrcjh6A5OUakqEA48sjBl9A2htfNf0Z/MU1uMXTA
3/+m3vTtBcdpNxQLPHZS+mMSb+c5hKbHVmaddZ7y5Gg76r9dd9vkQ02s+EZcMRDNPZpXsZ3jdprf
9YI2CoxqFSCLmTsSn0G0Z8WJWFPHrvwDg36/Hcsb28SwfV+irLnHVbzUl2bZt+A8ARKDEmwdvK3K
Dm9EZjMGFQV2XUfzuNEp6p54ARRUsxsmeYQrbcitE5gHAWefXYThMCk8BWVYRIP1d8q1Fra51VFi
PY/dLC8asVVdBBRVNfc+pNlQViuO4ZuUgCxUuPvY7SVVy6ssJn/3jlLX0bQWcAzc2FzzIoDXDlen
2KOkfrDUDRGkPpoUZC/rmkeNhBMlUbNG/GDCO06x8HRw2bNx+d2OS/244VpGCyP43B6BwMP5YI/6
2TRz/Ljzucciq9KV7bsW05uxvf+HEITuOYx6+V5X3oDyYjvC4+mqvEkfvGADdEW7pAixAfSW1Pml
05EbEmTfRRfJJg902isgEIdqulrF2XE5rDP+8wQv9rm3lR7P9CBG0YWXUacnv0m2/kxyBCIpPe27
vPhO3NlLjKJAFUrUSXTGEKSql21lWS6XMLxeCKN23/jDvOVeM7B6f+iczaLLNDmeX06NOZqzTGOV
nfeWMpPntdrEa9iGvLpiWqrfXZopEAwbBu/QPei4WmLDfugdwPBkaxO9LzUWknxmwYMrZmjhledg
+qnA3Jqiapb5y1D7O5QCbugRRLBDVhPr5IlogAVxQxpt7Rl23fIm+U3l5m4wCfRG0+qOhAXWMcj4
4I6vzWSz13aP5Req4bB/CHdXIF4ecD7429QPRTI1YGyRKySetplP9kNH89TcIN2i29BuINcva3Il
LZi01/9iM+9/PbQ4A2GTKTtr6kzzJwRdK+4pReTCr+JYhXfBrpX6ZdBLJueKXq7wsjScL7e+A8R7
qQ8VrOWsgg3NjG8GLKgVi00LpGS/rSLRP4jm5RF1nFi+D3jZ/hqU1/85GUnOxVgTMsMbSZv0TWuJ
CyibeaNlRB6VG17VWQGtpWhix0slt+350NvAPr1IQmE0DH1W+ukOd1Q7vQauawRdAVKy3iLmMLu6
Qci0mtLZZvcJixFo2dTMC7mi7LvNeWAd/DdtqYWc2hPI6KXm0fvoRrvUeeDbwwfF3Oz8DdEfXwKD
hMwVFSHDOWi015Sx1eFv9gskA4Bo+/BznbThBl837iSKaGG1c7whE/nI0lfNaQWEbR+6qRU/G9P1
XTlPmeeeumRdpl/JXI0xv7QAFiWgJVffuJ4ODclCg/tXVwbhDmL86EBSZba/SjsHaQqzWPUNSiEq
E5Iook09NbTxlInfRd9d5mHz2dNDHOZrAD1XGFfhIO5Hp5lQeC2xODdhS7ZsRuYe6XyBlD+NT9L1
eTELDbqcSV1w4p89vAkr3Aiv4/E8q3nQBj+qOH55TVuNFxJ+yT5DthfqU8WDCuyL0v617Ws3eZjj
qkarUGuvPtlGg6G7mRPf7s4qAYuaZO7hcJbrhEooZlRQBYdgpMZ4DrhauxWKJAiY8dvYUwlTbmNa
2xLtW9MgM5HAWJusNe25MgUd9KbE+bmPA5sUX9dv10kp1l0lNjKYfejf0m4NNBFaSxcRBCc0RZ81
v+XyWPtkuRGQ638OJYDPErDjjTmu7hg0RDO/bJvItm+2sd6/WDVxdVrAv/9rD4XIiKuywVkhk/hK
Tw7rCVt2jKXENmEJnxi9zMhp4hOWhuofWYRoc64hOk9H7A/tJasGN7nl+Ny6knE78Lki5MxGHB0u
GiL2+eZcMzaml4hf/JfL9zUz3+pEXHqEyv0ftZCUnzNywEnnIhn9G2iB+hZnvLN+w1SadVcdzCGL
eLDs9z4Q5Pw8xaDpuT+mgHyqTT17x7nZmiLKZHpKr96xXMMoeDcRwa3DhcWowe1Xd01/i3K5s4gy
I4UxPQFpO/OEj92Dh8B04A0E5Thh2K9ux2VfHhrNr/98xKv7A/Jse87SIHv3Rx/Wu1Hcji74tMvD
g1DR/RJL5nS5hthsSoggLzh3mYXcAIXvUYRZgPB1FstzYkLXlLTmWCyd6yjTXCOcMwiXlfFPoO4d
pJ8nfPTjYPTirqPTZMEu5+kaIh9c61cyBpNzLwIGgTKboYGL0O2Iq/Mb3zn+Q7MB8qbnKotL07vR
Q48GrHneJ7KNWnqsB7UWqFLEQ6+tN34PDrNA8qm9yS6BI8Q1SV95zy4+TML5HOHb/+ZsqjEPu1L/
s5NuzZ0FA56+M5Ls10yDtGIeHt3JvUC9Mo6EsZ79J5CpSZ8cNmnJ6Zq2b5MyXZgHlR8tLwf4L+NU
V4MNM4Rb582bZ2e733sPdu7AXBI9An/125k2gSh8dab+CEpkXRboOBZBet1SDN4NREtNqRhsRd6Z
Vjt8TTJ7alnQgK8hRt0bBM3Z7wD1d3vWa8hzk2W9RcoYBPvHumU7d2A3Qz3XKGl4qCpdfzlyybZn
pOMQryG06vIUNumOihSwyDwdwbq9I6jtFiStKPfyeTvi4RJqxFCnWmeOItV5V6qYbLI9HWvrbwyy
1fRbMwjV+E8m5/cuHYbFPvJxNWXBsJmXFB+I/ogBhZGSh0ZjjpkOaX8cFIe4TxrACMmEv4bhfCPM
xgVVo4j7z0/2MAQHibK30evdP3O2JD8DlPrrdc+bfw9132Y//KpFPO4fQ5vdG1fW/ZM9gitilYp0
vvjIbtH4BtxWhfQhe/87BMjS/bLMc3bvyQR+IdRb9yPCZxo/Onr12wsTUOWf/A4ihaaibHPAuZxq
YbONa2Hv2wg86mTWePvIuGq3QjVSclSryR0pgp1Z9SvPU2D/5L99b9EkDnks5Ir8YmQTftoBkKaS
rK+xypk0Brpb5dFvObLYhXRMKunA7u01zYC9a2NqkQe9xwvD2LWh7qh0kSz7BBQ2+WtQ1HzvRFet
s5mYLuJUFi4H7nWExTdYTjvcN8A+GsrbilcwK3YBhll085BOzC9yHgtikPmEaSbd5euwbeA3V330
up+WzI/8wgMW/y0605scD2jgn9akScIHtUz8HkNFePMDuRZIqGXmS/XSg9Ee552OkuvTmAHK4cxo
++KI1difQ6QqO1JMtpuWJA80UdzXXIJbHP3yJEBTwaTrDZfOUXK5M1snXrxFDqrYVLs75WpR6cLI
BmiWQ/Dr7wcNHM6ZsvMhOI2yruWt8ea2uQtTuTGpBhsaTb4a5s9RmP1xJDSBiK+5n0hXte3UsnSq
UTF6Z/stfpC2/4XjObkhMXR9noMG+ZCdpfxjoqT/gotMX2inARJf/Qr5PQWoD74bdd97nM9PZpz0
crIwFSg8191/7hmE4byhu5/DjUsITpMIJGYjs+ii6n3kz+6qtrMZVZDdA1N6SbmmjXrnbZi5SoEA
oMY9Q6vDxBT6e0i3DbPEviCH2+so/apt5tenVqjOFgjjlLzJmjn4Ghzkrae4R1TBIknnHtG5cytj
+OjO/l2xALxZxR1x5bRjdQ6PuXO/ezvnfAGN4S/fArFWx6VDsv4blRQmCH8f0heP5uPlu0Skp4Gs
Es+As6TV9H1Ndw5plW7E2G02jf40omuTC1AHbNlUK3EbJHuGqYEE+/6GS10jPU1q95REyTKc0LQi
nlN4MO8OJssdpR0Bg7eDl3n/TVpNN9U4IWjy54ofahemYpCZ3PA2TQZO2WCZ1O9tcHz3nDQt5zt7
O4csH5IlqRN9PP/xuFBebROrpWiIxwlObtQE6c0gGPBPuKFCyZQzRmRDVfWU4HuRKMva2Awftk/X
t3135vXWSVzzrdP1Fj6n+kj3EGJZHJ+uNNh6wtGHCjBkif1eUOdHdwcHV4nAvB1x5co5Ox9rxP4F
dmub4ew51hNYGMz61DjO+EniB/vw7rrL+yT6djoj1UKv3G4b0P40yiliPh/dN6rTVPOCD8e8sqHg
qbPpnpX7wb2JaiJwcdcs3MM7o/pfqg6NLZ1p5SCjIBt5lhukyJ8HVszHFs3lK6EC0G3h3MwfCVo1
naddJu+SYKJFO61WwBx1dOIO6IPnh8Rbq4q08aN3isPbn7tIRZIrCJMmX3ZkHnivxbHlYd8IdFhX
8vA+pXvGnrxKMVcm2kMpjukaKYcJHB8ERe2kf2mSNF7CY6jhLdBJfCQrbudvyWYOfNTuES/nxEco
XlSuDeZLwJhWXXn9TBQbRMZpdhqmLxLspw/Bi9jc6hHbGmCi7/elYwIO2NWZwoWLmZH2fhigNFDy
z2hLUBQioB99FoJTr1JHnWRW20eSk0z89+CbJGeFidG9k0k44JJqV387NyJbg1Nsgr276RMbznxf
EWdEf/Qax8/WWFGy1pBfn1sGSUXnCVwIIL2c3snewvTFryIQJdzoVXAk3eyvK1Fe5SjHe/F4uKqf
T06cou1iIglDvtxw5Gwe561azwtmGXWTOoDuULkHqtlFe2DMCu2rKmkUmTIUNzsSX8H4jXGvpkbs
RKK3j7Sl0Y9dYuRDkmhVl0mj6+Q+Dnbvb2DJLoZZ3Ux4AViy+0WJzMg/nUqUX4gNjfztVS0mS2ox
wECA+NKtjJ0alxejRZreKM+07cMxe9MHy/H+zHnWiQtOGvHgqHiVF2NrEd0hEs9eiKcSH6Ned0LO
UDmHyILHhfqvaRQNKyUR3vmQbFzNqKpGwVaC7LTAbIAdCfq2BmSaWBPPJKZR5zeLgKsZIV50UKq9
6fAJY5UnzpWv23timA99Uoy63aNiwziPa0DuVubMC6clFYhflPiE7S3Cw+1XFlbiMWTTsCVyRP2v
jt3klwywXT2mmVmmm2Nx9X9Jb4PutwsCcbwe9WaGm1TvteYZxUVSjsm8ZYwIXaK+tXXC3cLh571a
j9Tbog97TjmGfY5dbsCVXFG2JkUarTeGF8esoVPiVRifAbDF1+RszodExsdet8ImIh1chz/OMDIh
Jh7dBTdwRrE4RU3fMT61tjnRrHqlvNJAIFBimr1fQBTGcnaR6eJtD7rw1HmJE4HaH8nf0TaQd972
P9LOq1dOJWrTf+hDggKq4LYzvaO307ZvkMMxOWd+/Tx4pBlv3OqWZ3QufGEdVwMVVr3rDSiFqF6q
ZN6NOSrTfaoi+IQ9NmzmSWowSI5xN4svqoNRtTMgZqdHXSr/uxz4qXXndzge0Y97QjUC1aobocUs
bjhwedosn1rPBvs+JHIaKxgPzKUMQVxefw7jXhO0eRYHwtq0h/FYgX1WbAqZ8w0NsfkOeoX4zq7e
y4VLlQQHwMYqfG+EelfC7eeMbt+FyVDQwYFl6u/jbJwGjh87Sk6GCAR1tpy4XEJzz4udBjz+WlSh
1R3NiasWPa2gyB5CQYgK2j6/6J710C6bXV9N/X3SJzl8U8iRXJ1MOoEPCC8KHVpsNNP8z8ySZEmr
jbrxpBnA2xsQVuMkylTq8LxG1D2INpp4hyFQfmfHeWU9kTkR1gepLTBM07vRMz8o/wrPmPezmemT
Ua9NRgikQNJy+d70R5oe3dy30HyxtEcVMxRTc45V4WZ7V4ehlqC3g4uPWblzZI/T+5MWQmCFHOE2
7I6A5R8gqE/Uz3Ylgoeg7vL2cXDnuUMHqWbYCzpyCFoXLZqXpkNqfwTT99ULPyoHv0W6428HXzc/
+gWN3W1pRFx3VRi6PmS8nM3YDaEMTnqH7LyHPnDvC81WhxzRw12SMOnfKR3npBP3dAj63LEg0cnK
0PzXNBk78NC8GH7ZEBFmj2tXPR412rzmGbo8habME/MA1T1lIsVR8tAVxgA7FY78B9RTsL+Yp0X6
QvHp/oDymKAbVkFXbZF0CW6sGISGH2QVBt/gGanpUGLlaXOTIJsPxZalxKHKfl87ccozWXdg7j/E
UNbDBj5t/ABGVEdnkh6yHj+upPk1ihCUGzAI3n+FaSATqMr52hGF+3zQ7a6czwVLOdilVhQ9R0EW
o9BQLOVPnM45WgCYAcFDCFvaOUMsj8xdlyBHhSxJG3fnT211l6Vm7G9B8JzPFaZTyRHtIJVMlyVx
6anaSMKzIaKCdE2CIRDo0GLCPZPoc7BZn773tk6tpvw8FAmrTIgYU0vs0ohBsHO9bfeg3U76BFEX
t305TqhTJlEGT0THFZy6fTruaQJY/j6LByDuUjOdj+SqFzBSqmnwH1hkUCyWy9x7PbCM7pTODpWL
rxy2CGkjVJKIfZ1dYzQc/a5ZFvK+GxWyAwUMwOZrDOphSOT8GtU2fLkGUN7dZqZP181NdO40Iu6n
54xxeCsoFSIWcMlNJBEqj7Y69AF7b5K8MewzE13gPjcsEIoiANfbdDVMq60MhJUcoeMkzkFETmYd
R41mKZ5ceX3UnQh6bdVMZnSypB9Zhz4KzYU/ZsdPbTv4BRy3RJZPc1ZH+TvWbyE939CG0UNIAVyc
Wt1TqFDSbosy7CGM8hKpxbGvEnppdA84BI3O2S3r/DGYELR77oTrCPSXZOYOEU0O7Bc//jWjdK09
2ptcn4Ck3Eh/zjTbKTdYrCUWsy2e013Whnaxq2mjfm8yWvl71WhFva0UGBIl1hy8a9AFjN+q1qRH
FlGxJXsfcog8lj3drlPZ14rKkXiEXyZHJBoPRT7TTpcizo99Z/XDc2sUiUTcl06f1ICPP0PIzEGw
YNZ3TjEG+lFv4b1uujmgPYHlAxt7HqBXBIeqOHmyBCrMZkykwQ/1Y/oegHMpdGVdkz/dUAX1NhBj
GG2deqqMfYaltTe6bJ9b2JbYnNqzkDXn11g3H5s+mCV9KtKVCoomSus66KaPTeI77wJaPAalA5T+
nW61ZHobEJPgOxchsucc+2ZUHandDBvbV9U3WiG07d3cNbnDWiFUQ15OBGZBXZicIJMbyV6Yagaq
kZ0V0QVDVLzHPidQB6MG/PcmqDSAVjn0U0qwRG8AA6HX7So1RNo2ThrONh/nR8sbZwjlJ3vMnJ/0
HBBjAQfFwd4cq9Hcz0U2fWQV005EjDltHGMqjKOZ40WLoUJvfajgHxb3hTtM7Tmo7P4TC3xJ6Ou7
YJ+5RfHTbM3pF3TdCAVZpU1wwhyKZ9nB+OTQcNA/lTF4u+4WLR1vRHXuURubud6Oge/P+9o0uT8x
3Z8LOFK/aKK7OziAixYJZLp+nad+jvlxklp44LqBtKQPqieaVBXl4QjnxaNyHxzq8rp2NoU/s+uZ
LhYPW6Q3ebEnxMOG/1KxG+3GEFv4DUXt9Ll37fa9WRnNlzFT0ynFpig6V+DUdwqntEXEOiC+SQlS
gcer8P8H0/Lj+woO3KsIayentCyMEho2GzdTXlXjHk8rH0STuBV1cgbNSXaTGSINcgecN0IHssOx
hOiHpYNWOTASnCB/Jiis+oLdbfgSTYn2xehyGjuZ4jS5xxsrNfcAlb29hfju3Kt4REhC4o4FEUon
1M9MFASJzBfDaWmC0tqDdA+uDsPuobHG8rtO/PGw70YLIwIMFdCMK6cI5HEkv8MFEYRy9NJO0uWC
x9mz4bLkfmrg4kXoZvxOYjPk2x9s2MwxLRoxflDZXH2WVkLslGkU4beWXW/cp+DP3ysNxtcGknEw
HnGl178xJXAO5Zqicy9Sw/iEwYS1OObNtkWOSJ0k+8btmuaZnJcaUrU5Gz9kNefcRujD5btC4aa9
C2ZVvo9w/zH3VdkFzxEWUj85zJXcaV06CS7ShgmzNk/T7zmduhEKeqW418yDBcvOTGhp1X0BnWg2
KebnEs0q3FgnsU9KcDnbhvDuAY8EHswbWeNPsRVGSEfDGgMXj4oIO6OWBk13TIKi9znmB/lKEvuA
vsXM7KdABdyFjNg1X3tfCXHsCjW+i6M0SO8kxJVfUvXRa6OVrOWMtfUbIp27HY53mdpijRR+UkUR
96cqmtFrqEC5J801xfCIPoycr94dO/iUIjKnsyNhnVI89qAhRUKG6SZpR/llGkZoAmPntv4xoS19
ZyDaiw4l6Sk6pVGzwMYIIq3jrM3TfVe1Q+cJJHjuTiZcWlEcDq66o0vaZCzCil+hdQVANDrNOKEH
iqfEzjbauHzMAx+LC2av/jFht8iPULbIetLMZGpeEtnFz0kzzT8M1A7eaKCqXPrkBNK3fVEFpMZP
9ow4yQGwdn3piq1VUgV4uawsHSqKhuecFYVJcLTxZqApb1tFsBst6ssjiHxofB2bcfhQWL3WHBA1
yoe5DbL6KLGE+BJ13CyAV8vsBUJnPmwGmxfHNMCpYMuJidvG4Mv5pUg7e9oAJEywd2sNH7bAkLBZ
Om3iysNtfwpOARjlXugjHf44ygyLwqWvfrbC4ZLQQi1oN+0gR4vbzuy/y7rM1A4mAoIfepqa0rMG
Yf7XzaWdAa1I/dmfkwzKfeF0r0uENGQRhP+UClbu2ucZoiVR77iGPOV4V0FlppnUnaeyt+cDYvP8
2QEA59TAgfTbgIAe0Nyxm2+uzELN64DX3lfoE+INkujosYVFHNMDKq1nAyicWTaZ9ALEVET+A/rD
CJ1nUrtPjZGm4xFdJiG8YunIwKCp3mtGCzCl58IN93abViwfrW67J3cIxmA/DSlRYg3O78WJ7YmK
y80MAn2ZjinRQaOTpMwnhZdIlMMdCQO6Y+xErWMeS2HZ8Hd+I0TZogwF2+CY2k7ou+/sYuyZcRks
JgqnkE4MHi4d1ECDntX3pA7dp5jjDXcYDpKvEnlXfY5CPxB7bVTgDwASg7lXeIxEO6S36kX4swHl
3SzDjLiKWj23YcUu33QUeVpWoY7FEgfeHsAFDbkN/YTA3M2JX4KviVIddPpScJzy0LS3Hb0X8Edd
L14o0ijkhkI3kLo1bFPH2Tanp9RgD930E220wY6jpYSuwZvnXsYgY0UUbqMRHvCm9wlTujNLPW0W
OQql5HfuNErhCGKLJ94zZ4lt6ySGoaef3ln4cX32i6rBfCE04eHPETvIAdeutj7r3GBegkElyPDt
MoIihKCq3xQxdPQHYAeAsKBorE++k/jPbTD7DzqdGv/OKuSstnhuaMPedQcj28yTIae7MrDwTxtb
PftF+mD5RQs7/9MEeXT2Ehy5ftH8iAg0y6FAbEAVe1zBqxBszPDd7B57aDZd0+rD7/gZheqIqRxh
idOUTpLrD7YInqbK6skPKwMEXnLx2ts1rT4+Q5ijY7Klb56UBokePb6cYTPWVU0PonCMnZVn1TYh
bNA+0RajVQE7JvZ31qwcyGswncneSNIuf0Hz0D1Pcde/M7OiYZuG0N7Axg/Hz7W13E/Qj/RnvBig
jTlJpoY79jhff89sREghJzPvoazZtrEPfMAShKDw1zZcTBfjfb0d7nxnhCtpazZumTTvsq10AkMP
NgkRS/9VdNgXyhpK4w2gff+lMxwY4NxT6pewLaHs44ZzV8CSsvf+RAsO36YAPZpvBtHPoOqMcQdl
HOuXxTNDbGYoH/7BBndpMQww3c+2L8JPWLUX75MxYuFEVt6eJlnoOm2Y0LpDoBOITcykwfqfeife
24mJq8QU6e6xcGPznq5sm5PGDcz9lHcpnByAavtD6zp9syk7s2YhQP/xgRMCTkyL8rF5nP2ocjcB
ZlX2tjHyRcUdUNfstcCIX2UTV/OhotHSPfNTx5eawwljfq1yQVClbbb7GbkBfErOLsnrsulwZtbc
fMLyie5Pmjrlj8btVb0xAulwVKQdyg1IHHBGrLqFCRgs4Qjb2PSz6FjrI0wfTHGI7gANMptHMbvR
B6B+aT8yEVM8Q4Xs/L1R2ZxpgP+0zoMOtjWgpV0Fez0ZcIThf+2rPfbH+BbEasYKDz0jJv+8WzRX
wEcAr1g7qHhX90MbHxosbUMuWGH/KESvLyYCTvgwz6bmvA98a/qQLYsReCLmllsWrvygwwDB3sAu
k7ugdlIThx23ee1peo7HDI39Y8aBQJxaTixsQNup4Gjohq8t1tD/4Zhg3VtaZmFtpBzf2QYWJOoz
SjYdB+eyGD3ciexzXRO5uEHYAitiprJivnLPt78aAKKfDRialE1wjgA0kW+q91KkZrnv617idMOB
vG0QGXkYUfTVkb8Lk00zjIhvUiFLfWeiLMoOjtVNX1M1gGzPfegGO8ENOPsKKOvskfgukI5ZUzdz
vdPME4TC7tybPTiS5lQ2dYmy3W90z0SKCN8Il/MBd2j0EulgfsCJTX8/NiL9oTFPvjTZWDyEVjAt
shGfHdT2p/wHQn19USgbwGUuJnb/hZlGmB39FzluJs6vO5eZPt2lVpY+a0mc2NsZXnC8sRVUg1ec
MQLUbuQQo07DnhncfuamyDlDs3nXjuXwMsbx3L4UtOvQTbl1+ykDk4QaihH9KwyLwTlCHzMrWEA5
OyWhkMreVBUXz9OgF1rzlca4nm/FEFXlPbhGcS6or+ZjDS1G7EM90JA0QOHCpCcbw3fUIeKrEfhU
n/kMbQTOdgsHbtbjqsVOh+SHTUVfqQBWNsv4OM/uhKIsTymeS6m7zLkwtyiT2QDHQ8YVjl2gaIzy
CZpr8oiYpo7vhzK1oQLpGaSrJDBz2MKxFextsOSSErJf+qAVLozvcEFDum4bkZN7sGSkuYWX5X/D
gSuIn8vOruMDURgi39fCHSBlOqJ6JMC5qjZGpPOrEdoIcRYO9G9Y2k56TI0sDc8ApAV1G/FEPays
ZtJfW6fUfnIbz3m7Q6HeTTKzoF5OcS032EZ20fsK6tfBDMap26di5MY/i76BAGv6xQFWXfxs4HSE
VVRRlPNjVFUmsbNIbQiAg30bZI//AzNQam3UDp50+vCMPWepHnoR+e5mVtNo7P5H+GZtQYrNvNnv
ScoysrzMsdyx8nQ/4Ao8HmCh6wX/1AwpoYjL6VTWU672aceJNXV8OIQTyXDD3fOCkaikwMFeE3dX
7ijL3/9hjUvzc6LRU3YehtH61rALE14I/F3BPfOWOfRitLkyEsUkBIxVYkXJfysj0XhxC0XR03kd
Ngk7H9OjfSSF8zhhDrMFIVJfNX/mPuFSB9LThntWUI0jBIzNG+6bl4wilUl0PG0hRSzTyhJUY0oD
l+md16i5PXT4YWKTHfXH66abFzwwpcIczhHmkupgruwotQAYd+Ia4nV+/Z4PGHw2YZgvvUXNAz/g
ElWlCLKvD2pcfMsY4BvwmQkPWmea5EggBx/Q0Rv63niGxuAcLWFoW4uGzIGqC+ci+DX7rJHzrhyS
akO4qbsth+JWKO+lqYVt1//5IYsn6R9TC7elWtWSl9xnGe570Kwcx4jukIv2NyJaL35O6BoEQi3G
7n85vMpRpsqqO0/SPz6ajmk/SmzjbnhWXxxFWYq3ZZoQ21afs4ef0hkwRD1BOivolGWfiqG299e/
38VJ88coK2dssw0kLKyx80pE0R4JFcHeoTv0GSeu/BzXECmp+fob6+HCpyLyRyfE1NAVucKrRyNA
3gVotDpP4Ye4t8upfeySwce8Ddnf9ee78BbhgsKqkdCVcKtfGaB3mC3BB4k7j6A6gX62lc4BqiTN
838dRzAbdJP0GwMr2vVmE+Zs55BYmH1xYz4Ws4AqOo/BjTnxt68uo1BGmpZCI/mX4yxmjfDCbWae
j93iwSkq8dF3R208z1EsPHBAX9yIZl++/9tNlDwqIiXZuxQG8uu5Log6UfgRNR4lQvcptLlmaHGa
7MdcBlgqL17/iSxwf/OFuGF8+zuoYzW2IjTBlXiOk7eqlm/754qm64IQLJq9ttek4SUQfbFesjSX
C3CZi8LrFbxDr+6ox050BWTFNcWwz12HOuGQ6G7FvcpHU0yPHt8WO1VTtkUS4dunHDktJIIMH1A6
rY4bnDNl04UvoXdvUiT52Z44KBiyGZ4nMAXT2fqg6tksb2yff09PXK45GCwYMxbZNav0QcNNiyiK
xOSFTiI/YBQFj2EO9XfXJ+ff620ZZZkv7NCEI63WW51oiUVPY6JVhc1AqA0t4sJQeEM5N8frQ118
IFe6jmthoYgt09tvpiNVnZ1AMRR52fvEApldqIM3VvWlByLkggQ5U1oSoP3tKBhIuXXtWoQMQiba
To2N9cHMpQ7Nwq20wQsLAGRTB1vl1qPoyr0dCm5zjm7RGb2AC1KxSbMBf6huWCyNMDAU4T02q+G3
we2g3YpUm8IbG8vy768WgcPwhqWQrNIXWG1goKlx1lnV6AGXaECIGf3aYoCmB+JwV1V6vJNmcSuE
/ML7dUAAbZLK2GZIbn770KVfRrFq68mLtYhIDzmke1V3w97E9ubfPyVDLTkJFgkeBEm+HSqQMSby
CXMztsZXS4wd6i56vdK0shsjXXyTf4y0mjRtpWEh02WT11KEvsDdko+5W0xIY0TvVbic0JN15OH6
erg4qEs30SRIR6fiePt46OG4QDsIOhrIG99ZMcGPrOTy4uTCeMiMTnyb6Lx+vz7opc9nceZZvFTL
0dd+4cjWApo6yeAFaFzOVYbGSrNQPABR1zde6qWhHCksuHiuIXAkfPt8eE9zRR3K0RssTMEHq0J8
FPX/dePg3jiJLrxJyBO6TduDs4AMqrcjVZNV5L0hBy9u+vYZF1HzMBEe8pHWbnXv+AH0xUj/cf1F
XhyTqCA0Z5yBMDPfjhlNIIrG0h7toQVndH2b9C7FYn4XjRgn4RGgY/8zwSa3TtcH/vugNw2D84A8
Wl0uAR9vB4YLlyf4IlUcenaIfJpme0oGxs8i64r/TExKghvf8e99mwEt3eacJehDrkOzahbeEIqm
wstea7gz4iWXJVFz4xteHoWSluJZsHevZovR5Lg7jm3lZcUIfcSFtv/OjaW48TB/T0oehixah6NV
/P3ZDKBTq/fb2qsH/Mxg7zTzUYInDrsQ9+Jf1z/VhcHkcnqTyoWlr+2sPhXdrUlVUdh6GO5ody3x
g4dw9LPHSS9vBS4tU/ztWWBiwUk1JI0lVGGdzOUOtk1DwW+8smyq9id+zdyiRDeljxgUwpruaT72
Z0Q+/jMJRik3XYOj/vrjXviEmCCx/DjbCYNbX0twgJz9BEjVs/2wu9fbDroLeqNP10e59FKpVlxu
c+QH2etTz4nmgnipovPCTIQHf86+odzN9sqCbXx9pAsrbVnbhH0rLq9i/Tw0F4bQGFXtyXjWj93o
BDEYNmbQ9Jz77ojlavvvkdPcCQny1bkCcfStz4SyIEzBxJrA02ttfOY0wFVIzu6dQJh7uP50vwvI
1ZThAOfcYUkv/NVlh/ujhkbpF8KDwRTJQvuZnZfAupqOOfKcDaoK69zYdfEf0tjhG2EEYs8+qH8Q
2Hzf2M8ufE8mjBBEkJjUbesTCWbzKCqx8Bbg9H7Au5Y2pRM12mnKoNdff+YLX9Q1MRxmOyMViWPw
7SMrlaWyi6LOi2B33WlDaX/0qy5D8NcAFGEDSUbM7l+HtCCQs3VaEFQIElrtATB18jyN4sYjYgIn
B1vu6b02Ox3b820+oFi/Ptzfa5DhCGEkXEWnjahWlcw8AHeFrVN7oRF2HoYXxVHjWW+M8vc3YxTK
3iWwTAerW73HFF6x5Q9+7UWtOz9it+Mc08CFXL1YvVx/oPVQfCldSbA6Th5JatbqXNAqC+f+TqOB
XvfVuSnMBqaqKg6BHf1rwfJ7KBa76eA56P4V2UgDBhZZneoeSSL5iaLlFeHgsKiyghvvb/2V1iMt
8/SPpWdg4JAkbUFARVgOh6Hz5c7SsO+4/urWZ8IyChIanWu6wa1rfT/p48ngpOgMz6AawXHVlp9M
01UeNbva960R73GFdB/ITGn2Ix6HNxbbhYckqctkbRvUKVzF3j5kQlQy2UVYRgpIF+dcc7pTtIgN
rj/keknzkJRDCsILQkcHIOftKJh5SStiZ/HyxEabnqFDjbDxJEcmgtVNHMw/Jvss4/3vGkUwJ5Hh
vB2vmzWqIV/TPRqDer/N5iR+rWuFH93157ow73lz1EEOLBn9r5Ogh+0zabkUqFfIcEU1Hc94LLUA
uWhs8De4MdyFjwXzlBcIHOYiB1sdBnZRwRtHf8C12UaEVMXxPR9Xedcfylzezp9nDm+PjZ5rh9AV
QXjrjUO0MuYyCwuPFd+4n6IiDwE4rKL5UJUaHDCHdLcITCUID7nVTKRfVEJw3M64ZMJf7cVWCyID
wxOnU9EhcPX6xNw2mm3tuDCcqzmcSEFgW0WWTj/vXVHnrbbDUEc+z3B1gG5SzbQOckgi9wvGzBNu
KKXo4V+jJxA0xQg6OY++nnRbHGTycEtKjw53HMbndOP8vfSBHZLaDJ2ehwKweDuRxkDgO4NrqRfq
TuzN6A03sZYWgAmIza6/9gtrBNiU106U+wUoKY4xssBPfsY2K+w/KxJsPORow66zuvK/cepvpC0v
Z8zqI5u0DkwWyoKPrC8MTj10+awzHDF9+ArNQfaLoEnnY0BSxRbzW/GEtwfJzxl5Jdcf9Hfx99fQ
NlcVbizAoOvTNkuDuKkq6FZgu4F9V+ZW9Aofwn3pNcdeslYdPO3CLniaO616FVlXHeD1yw+VX4jP
A04ITz2Q4f76r7rwpX/jvzDUeSl/wfXZaBhBlFjEoCLQPgV125zx/Sg+wqCLb7yAy0PR2qL7Khdc
7+2kcq0ZKwNN8qVbHc/IooatY0f5Q6FBMPl/eKoFpReAQOzvq4M560VFrjqnJUYmaJcwyW53qRaG
LyjO2+frY12YwOZyf5JA3BZB06vHqiZKkLhxZg9+wJx8CqjtPo6QCR66FFOgH0JM2o3D6+KIKBkX
5Mnkj9WIoZZFgZHks2cMpUJjj6UkrDeSXroAHDYNbiVTr+EENkbOSdOmS0DV9tf9rem1UlVJO3lJ
GIjdKFA99iVMKugZGUzR4IfumvIfK+/fYzIn2YipeGg/riZLCI8zC2w24FwVL5BD0HNCAT4WQxr9
fw61HD9/FDxtQf866J3Jm4UTR/uc8IF3WQI3aKOluphuTM2LL9MmWlZJk0zDdU2AVbB0QmggntsM
xt2Awf+xs9L010KePwVzWX7CF7e8MUcvLT2Bisuih01baX20LaS8cuhAK21ER48jBoPHtqwj7JDQ
cF9fDpc2WGB7h8EsR6r1Ko+bGp137o7I9AVNiqCoTsgUDeSSCc5fA9UPsViklELAvYHS3Bp5WTZ/
fkfMT2NtynlImInbKlOwn9wJU9Exd0/WaHQ/+7CBU1DLIr8xtHFp7KWHy2Ij2tZZHyuVXfY04BO+
al/XBSd56/cwGqeo32ETHDtbokbCcZdzLRq2EoqxN6FrjbHg990zPlqOsdERAIRbJ7cCLK5RR+Ou
No2+s6ntqiGsaBYDuugB35/99Q92aW6AAlH80Jew/qrEszDzjQm7M69KnfQwuJraYR2QUj3qzo25
f2njoqDQBXUc+9b6vqT3WDxbwzx7fV1Nh6AImxNxOcVOD6b5PgyL6Xj90S6tNawCaQNS5NtAvW9n
BHRgMwgwf/V613fFwerM7gFuix8892YhHC/zF1cJI2nal+sD/+4Xrc96GCPIDzjqqZRXI8uAc07H
4MIrtFGUeEtE1rfaJQXGa1Xl1EcLHoRzIKkrifZDnYS4G1TIX+BZjvbrgG1C/oTqJBFYy0fImfzC
GpxdOUVYxTvYCySHBu23fiqqPv6Y4YS2eOX4ZYeAI6yDMxz8+WNc9TocpcmWUEhhr1lf2wA59hZN
UvtjbucZvwgHitAO9Uz1YRpiBaPZqUZY+R2Od3e45pjkBl1/MRdmAGgtHmEupwlV9mpbH+O8kWh2
R0r5brExK41Uu4uTcPgK3TZOD03XRdXh38c0FBAZOD+Q/7ruKsmUCPtWA4Ev0NbvqjKfmHbsDHsI
r76BWLUH9Ph/GZMOtGW7JpDuqgCpA9DhsWbMyVI+H8GA0NyyNxxsbRzf97p7Y8ItZ9RqvkG44KjU
TeB3+hpvZzoGhWbvY0LvBRnZDRu/JcZma2PcfYs4c2FJWWDTNlckKakLVh/QxSEW4Vk2ehZuDyEO
E7qh4e2TkVaKV2uCzX84z/dxM8Xfrr/RC9uUZWGxTP3MHzSF3z7hPMSN1G16ewKbceIhZDS5eyJ7
zH7fC1vcaF9emqfMUcO2DOxuwOPejmZlI561CKm8qp07vI1ajECtSBPjTrUzfiUSA/Mb+/CFI4QW
hs0U5fIKyLOaMk4RBq0ZVjOMJFw1H9pkkQfLMJFQHrNvUtMeVK7McZs7rX/jzF5mx3r20C5dyn/D
JhN4NTRuaLnecD312FOqE5t/us9aCHq1Y8UeibLWSRJbtcvrWJs3ZV/VN972pW8rXS7XBBWYYHer
2QsEnFGcG+wKbf7OIUrII/Dg+0wKy/H6JDIujaTwEF+wH5f6a/n7P2qExMBVKw8qvitlkngKYxtQ
FeGBlu9w6aEjsnHnrHwwVYc2mMyX/GvVVPkJkpbzSc9yExYiysbvrIJKniN4K62HtTI40vXfeWE5
c1yRGmIJqijgsbc/E45Kq9xsnD0rRLspuhYn8AYV8o1RlsW6+u7oZVDXgyuCcq+rFk0YJAhiC+kZ
nPrp0e+zrryDdh2cO/KBECr3Q22iqzHiO0UQJ25PQT5/AcctSCcdE6QtEOjzo64iSP8KQfHPRofZ
jZOyMAk5mYVqtziK4eaHXw8SE66YRH352YTcI3bdWH2XWoOpLZbQurjjfphOJ6epCF2WlkoGjEwz
hUtw2U58pCgpMeBv2azv+2mKv49WWL6zoiD4JUqZtTt/MALUuz4BbFvCSgmqwSm/Ppu40gW7TJNT
TkLOIM6m3mT5l+tv8i86IdcVCXpvLDdBepHrS2CKYSxmCYHNNbqLxA+qgnL4r8Ps5zP66rB51q3G
4s4b9XK4q7oRx9CcDxNuAdKmXwqSeHbjALow0UH0WUrgcxSl626CY2BwmVaG5ZkFrPdNYBsfueVb
z2QPju+vP/yFvZI7If0uh/soj75sbH+sKd2t86EobbI1NfYWrNzaCiudWJExHLToRl9oM4T/fqEB
RgGDhEbDkOvNMpgjEWH9b+IGkUl5omxwo8MgyKB5nSxD3eq2LetttVAcWEE2BnrLTX9dQoTNRHNx
NkwvM9Fwm6gWjrUkAgDn9ewz9O3hkOnlu+uv9cJ5wHwCPJYWvQxjTRbi6qj6Ng8tutoK/ilGR4Jo
cScbnuvKpXquemCqYE7ukEAHtwjPFzYgAukhO0LdYUt2V990yGY09+QtwkrFoRupE/ZZWKr/+zbH
QQ4zkE4pQpI1U26IyE5Jplx6SWcPZFMqYrZD41be/YWl4CyMoIWySQt/jYrHre36FgWZN2J/v3Px
8iJqrdX2ZkHn8Po3+6tvyT7AHdDGqsp1Dd7e8l7/WAvw8FHuEtHs1b1CXS4z+95y2mgfafZ8UpOa
QIqz9tXqenMXak68m8k9ufFWL6zHhXHClwO45ZesfoNEg4CnVKw8G9nR5zS2W0zNDf9QOIP9mZzw
4FZj+NJTQyq2FlxPQI51ll/0x1M7TSpLxD5yqXZzAu1t5DJzjkTTtcsdvSRy+ybicZJhxIU1iAbC
GWd1Y8O7+NQOVT4lIj9mvVySSZ/GMNUV1pyudUhQ5W5Jy8GvCkrBrjBVfOvKf2GJuDqgtWDPX/jb
Kw4kwvdUxn6nPDRPsYNBiJvgVGvlu9Yh2kSV1hJ77UQvEB8wjnL0hlh78P7JjutND+S7w3/eOUZ4
0Hy6Pgkv/TBwT4scKYFLjL4qHowCC/pB12zWrmO9KErcjd31wY3nv7Al8qb/7yirHcLGIIkw9Ii4
iwSrV469r+TSi8/jYH3rMQA+N0Nr3ihTfzd6VtswBw0dazq7CGnc1czGmp6S3eGULeus0zal0rr6
UORjSRwKicCblhgXdDoppgFPOX4WaJVKDIYeRIyn8H2it/0XzFqnEyk3fv8lSjWLvAeRY8Az4ZSC
SQhMLSwWkesG23oYkhdfDqQZJaKXW/DRRS2vpeMnejgaCYhB0Nik89mN2kUwVo5h0uLBZhL9i+IQ
G38iY+rY8Hckk9j+i+OP8JIKc8EVA6j4wa4Z8HbAZNe2brVwLy5IE6gPPSoCB90SbxekwhwLH+lG
AoUVk3uIY4q3Y10pPTwZCZmvm6a2XG1jTJE6GbKbMGAQsF8RZIW+PF6fjhe236W1w2xEQgIZe7VO
3KgzltQX6c10GvaxDIhHiwXhXm6m39gDLhyZDAUyvlDNl47h28dO7ASZkSM4tYIo/JmgccK3uCSf
MKinB4Rv46nDh+BMS9++VUrzL69n5sJqAD5jU6D5uho5w/oznmbpNTPmb7kt+q01Rrd6ZZdeJT1Q
bolUWcR+reY/9otTEjnK9oZ5JCwxMDJ2ttj8jFHtx3//aOxsSBoc6FJUkG+fh7QMMmLMjJPZJe85
SaLiG5Rb8yFqoVNcH+rSRgJWTKD0UqzSCHw7lJbjMFiWzI9sVOY5sLXqg8wycR9x6b4XI3brStY3
aqtLL9LldgU+w+JgC3w7ZhBjuhaTRuopM+jUXqMIy7aR3Zf7/8XZeezIbbRr+IoIMIdtsxMnSRMU
rA0hjSzmnOvqz0MtfrjZRBNzbBg2vFB1FSt84Q3oq8QbycH6YOQFoLEJWtXFYdRrp8qw7zG8CDdz
boZi1i9X4jMST/rGAbgeirRVJmCEkEd4rC224RRFRqL3XMqOmor7qp6Qq/YN8VqKcKuWOy/R5Y6f
M2QNUwoKuoQai6HQe0i4VFXDM+DZw47mkc8QPTze3hzm9ZFW5msMjO4MPLsq3jl96IdqF2veEBiV
cxrpWqjPRlcM4T3Gz3mKLZ/T3c/76neOTQXqxTyriIU1yRsWhvKbo4MrdOssrpCtUmKVtjlybRay
r3ip4bXQtEq9j/3W/jpaJtxzJVTzPwJuw2tfgs8/+oWpU6Ecff/dTOEy7iQjDL7AFCuyBxs1NHsX
d9Qed5AsJMW1e998T7vE0E4RIoHvloHWAirZkvEvTr3ae41x3yd8Ve1fLeq6hUsK20/w0tUS48PK
ak6hU3bWG1wzSlyJEFX/0oxpnN8nODQ8i9wYkqPfl+I3Dop1dvYLxPv30wAkCDnNSn0bYMeDQapA
+bogu3LlSE0O5xc9zQdtFyAT8J4mftgfiiluUQohYH5MSsnERC+rWvkOH0Y0ARU5k3edNcupp6bW
mRvP+EqyTOOdJ9yaE0YqHIsDEbWyjGtConlEwTg0InPlBL/kKuQ1xKBa0R/7UhvAUSQxhpah6aTo
carW8JknS/km7NKpNyKmvyHxYjMDnCGNVNjMirVMJ/u2H1CLlGlMZOGrjRszMh8xgmToWY/1oz1Z
7QF/Z6QvYlpXhaQ7+1APYySHNI0ek4R4EFXlt9tbX5mXYfmjKJTDzCKXoAG7uINFViArmRaqp6dT
lyAbYkv5Q5Sjx8Fuc4JvlgDDch7zCEWWBuHz2M0cWUh3cHPa9C4rszE+6lGGR+XGD5tv5OUPo6lM
oA/Im1Ll4ofR/gJnOhXIVYVF0aNK5pfxIZ2GynmcHLn7KSQnmXZ9k9iFi5yjjB8AjSy8VnR8xL6q
WTvKZwmtJ22v4ZRbIgvRtj9pz0+fykjpf9/+tSv3lAqux55R1UQfy2zIwNwTS9Rao1meya8JjqWj
O2kIOW6sinO9KBTgQRYD/WU0c/GM9R1ELDuUNU8ecueftA8wcADE+UkjVEXbBruaDInnAQGisUkR
PaqwUlA2gAHXTymvC6h/xEcoH4IV5Df+Jw+T4H4jE1RxJ/Mfr3xSG7XYTEVuBMX4AGnbyTmnwCI3
UoG1JeYhoKsDOF4B/3w5bFSi4tS0guKX6FUseLP4jsRB3TikK2+bqmvAATDY0uhjLxbYT2Hyw0nR
PboA2MSjmuK8d04ZPOsgpOPjh3cNiQahJAVpuGfLK4qovh9zRLG9oswMb8IQ5Fm0cbBR915ZOJJH
ixovvVfADospVYOdxyjoah5hZXDny0jcQOaqnm7PZf5TFscV5AZoPdWh1EtGcPl5ctFavjZUg5dH
vu/8cQbVTPbwCnTULxsO4GNOz3pjzJWdqMNlgGhMcHDdD8+FOdpWAf1LqbTmxyDP6BTkRnYWMjv7
Eu3Ah6nAye/2RLV5JouZYlRgUPyAf0LBbj6j/9n/jYZtdTRqvdcnWJo8ZmoFVg5pfnonwJnqzywP
TlZYjbazgGxAjxvFL+MQGE1YziLxcHOGMsQ5JMqyWNkHKCoGn0bYxV+GSNDnmoEaj1Za5fgWJGGp
vIUBIc8OMP7suZxw4f7UMFdJ/il5qn5KbagU54QLowHIpUbWcUgThGIzouvgJbX7zNyFxTY5c23t
2VPgMin/yHz5y1WwQkez9KptvTjWplcfQxeMQhAWBM7SqseR+jXWKEo1vNxe/ZVtNrfmQOvTn4N3
O5/f/yx+mFcIuOng1xVIVJ/TAPVzdIEsF8qr/cxl1W5cuPOtsvzY1CjpRZLgziTRy/EogXUE0ADJ
sVU1nodcad4R7gpdVBMQHq1b8Q7QpnJRf8o39tnKsSW35A4ySB1Y6cU2M0q1Kf2aHminN8igITJ2
MgJjPN1eT2VlQRmBUzTfDmiGLSLsStjxUJUmHLWoQ7KkNXy5OZuxonpmOZgBG7ZIxA6zIknap8gQ
iXujYU+8dpiQJjsclf32dx1gEHDkousRN1NrFdxPIQ1fVOyo9Y3fu7LtuC3pq83cpWtCEfYieBfX
MU085B5oD5vl5ylNEd/vWy3pdlHtp14xtqmzv71Oa+NyRYMnAPKsqktQSRlrCMcg8u9JhVWe066N
nvW6wBO4T5RPPJMNgqx19PX2oCvf5m9tnMrfTI9c9vf7fkRRfeYParYoUUiUcXeye/swdsVXH48p
7/ZwKzsOnz+as7yvMl3pxZGu80TWe6wrvabpkP6wegcbBr1Mt+AZa6E5Pdg52oRk4HBRXB4qYVS0
AzGx9Ayw0GI/BFr0M6fCNEv75hO2yGGtewr6vT1QjSR6ldFbV0+9XhkYn6v69PP2vFe+rUVIo/GZ
CN4AH17+nNHPJfRk5caLsNjEzjuNrOeSfXxqO7W4T5AZUw9KGhYfL7TMkSLHQpu/7VW/RySJHNGS
gFHYIwTu+7gnpknQnHvCgsPtKa7EjUgvU/8gt6XQskw9JmciV43KxitEqLhGYCq7qpYdV46j9jhq
pX9SfLk9RpylY4iZ3tvt4VdKhQqbim4Sdyk1iiWgIxZg2yO1bD2kM4S/V60OSaIcm4LPEWLVsNQt
hLBAKrHbD1qU6lRZYyX4Joco/27c6CsRnkUMSQQLXxA0wuJeHcmykXqEuTMm3bQ3weiYO10au3rf
9EW91WNfOcLc4DAYOFdA0ZbPJPku0K22gds1FCD22rA7k2Z1OwcPnT0S+flG2rs2O4sLkmIGX5tI
+XIvhzizlZoTtx5CzZC2q1rDS2jMp+AfPDka9dPt77ryOtKUJT3joWJrLUejoV+ioli3sMm61u0k
BVF+Qym8LlakozWiEDwqlvFcoQa1cR8bKhO5fJgpt8xhM9Oce7SLzwi8JfaLFAIRDL+Eo9oTqmP0
0GViRxlDpgUGdeRJpPbw6sQhRoqFbk/fEP+Whj0YPp8qu2375iEQwrZRgi5lLKNsf0BAb2gbTB5E
NUa7CQ8FZY8aVFkfmiFFvK4JAMuc7KQYZxV1gSJooPnKn8zBewZNx2CydpZfWq9K2UjpTqBl9uR3
ivEnsRQpPBojXQNPo2byVgQ+SsB9nXcAPZru1RkQoDg6EDWQAWwNSePjTZhT9tbg9Kj+mQlgXszI
9gasRNR1Qn/4U4QI3HmQ9lrLxffFyPc1WpO+q5gRTnE7I0N02Q2q0DQ2ttn1h+cog+WkXKaQky0R
LmY8QfRDis1DO7vUX2chBucP9lpdeEIfHTRJmNVwTWLuW39HyKZuQd/WfwBxEWULWbmC+FVBiKWb
JfEem3obv4gGbA0qxU31GBDNnegZxU+AO5pPE4zS77d3/fWZJl6aWx7EH1xqy55c1NBrE4km0Fzm
TZAtdEZljOR2AyIqx2kgLLo93vWZJuAgCGSpSXdQm7k802lihRVuP/AM9CY/RCiYH4xa/rftu8G9
PdL1S3g50nzo/hNdj6qaR7hWyF6LEfqhHZ0OA6YeEXzexKMaYgFkjFN1uj3oddjBoJxiWyGepxS1
iEDbeIKPHjI91aeIOkSafdePSb0R3NAivr4xiKL/1qzp315d/Hk2DS31k7lrHufDV61H7vaHUxWJ
9rO0IFXcy3qoDifYZpipt1GNvriPzjUy8Skaiwe9UZ3KI1RJKEkBXot3pTm1Yo8Zr4rlb5EJY6cp
bVntUozBZgG9sozvYyelKB6YSdmhvwO2ds9F01VeU+pp/5nYQqjo/9v971L3YcaGUdWiPR36QkL+
X8Ees0pGq99XYcPdqjRKi/J36uMxHOBm18OimbTusxRaRKGAusPxDUiQ9MWMYrQxgzTognujtzGV
w2Q++OObVmLt9RK12n3VRXQedTNsdmJAedAVmF/HJ+r+5RMd7Sg9zNUlgWxLZH7S6ZWEyI60+XtB
kHjUDV95tgG/f6758ffq4OBcGoSBjFslJmHNXghKEehxx3H1AKHZoPCM5vtXpVXsxA3xIBuZXqs+
Da0i4u+NwJ5uR2W8pdLuEwvwPGZ1+cOOO7v+1aYFRVEkv5zw3kA5cHoSshR/bacp9PdV1QzFEclT
59Sruda+Y4oTvSIcmiUn00Qd+mxj3FV8lguOzHtOTaBmvlIZYMtoNiC5WqG+ouWPllczdHF6KMey
Kz7HFdQ0Vx4NO/qpNpRH7xq75mmRWBjNVbJaRdXQyHvnjPC/H3kcXtRDBHYbsMjLFvH5pFamOyxi
bdvNQyh4n9IWWBa46BwTCRvPD/8fs4zNu7ZV8fGiOE55X6Pc+10y6qanJK4k41sqStXZ27BftE9+
FOvlAdZDlrgW+s321yEAQPggKlCEX000uIufQZJIyk616vas1eivUe6XrXGnx6iEPkitHwy7ceyI
rgQta/2+FpEen4OsqMmnGpDkO0SBJQUn7MmM8NwWVXNEMJFXL7VregBybGjlt76JrOFbY0iNuksr
Vf0ZVFrY3BdRjvdH0IQIGo3cv/J5wi10xE1kDuecVis+GYbJNQn50pKPWFLICDqaCPSOGSDfPR8i
r/ctlfgIAVpT0eNDW+OTDhpPpHdygfexK0pD/YG1no+qLgZ6oGXTdnrGRgtvPTvAlMpBtlnjP83x
sciSqUJaMw87NwFg8cv3a5PaUJLF5X1uO+Nvp7Ei3qih5LNTqBqxRA8tQ/KsFqrCLsWjNcJllBjn
kOILYe7IILDj42lWU7fp7VbBUNvWftUGOIgDnR86/PiHormUhW2T7QO1lqN9PkpRdlayTsmAq/nI
9UelE38tMC++N/Fzoylu++mzbLSmcbBjsOp38Hr66a50lKg5WsLyPe7gZPhEJhE94jUiF6d0MNva
xbabg2WFE83FMZyy4EFW2kE7p6k8vKYoL71DfsdVV08RIHWFYXbhfhj6APOcUopRfTTrLnH9BpHQ
E34D4nGq7eqeVWPR6WDTyqpoQWW7yZZz5SBiB5NHwChm93WU29r6Dd2jw4K26bD74l3wMauuVd7e
ychn0zwgIdC4eLJ+57h7KO+jKvdfx6jNPyupqnwxoMkEpyhMI28Ym0zZTwXWZuAWq7o+8UdoXm+T
ee2K2qBlg1DQVvD6N0RchJB/e36Ej8DZKSBevnY4XBfIk9imN1R2ILmYUxhPVJ4N3aXa4rwBsYz/
QHIw8JsCC1fuZhhq7Tb1kJtolwO+2FEgscojqnZScTL9flD2WAfHybG3ERPaY1FZ2/vAMcv685C1
ascVOQX5ayABSn2chIBwDmNithMhR0S/GZ7/4NJwsb1e1BNFrTjR3mnPder7h59c+uA8uIBcwOQu
gQRV0YsJZQ/La6s8Pof4k90LOe82YvTrpBMuNYQBIkVoGFfr6zhRXzqSZlHeHoqXbqqTfzAaK0ps
sFtFwyDMCu/yDJXnnVpXxQnnm+rb7XmutNwoR89N6rmE4lxV2O2kNKI4jWzPb6OgImAP7aOeqfpP
HY3A10SftB+lYaSPdanVj1EU2McmUM1hZ9VG+CPo89E/YPqKDQFOEspG2WEljEQVCg0JdB3UazSH
ZEaqPXYSagS+X7ncbOVxdJzxPpfr6V7uc+PjwR0aj9ytNDiAwavz7/lPcNcGeBa2JWsRk/o/11il
jDsClfTsc12Fuzwynbep8Luvt7/BSngHRFih5mBQLr5CXmAjhQpyMlmeg+7InjpE/+DTmj3eHmVl
r4EigV3ArQIMaHmWO0546/jsaCnVnHRH3u/jGB4P2lOu6cnXugrze90o+wdsI4cXUYtq40itBOlo
mJnUtFToP9qyy4JMY6y2NauLP1C7bzSgpmUACnrEAO18e65rG0cDZkr2M5cwlrgSGdaxPHYqc6X+
ufPxZCfr5t3HScB5UmC5bZzj1alRn6I+jMbEVYCuxk2DMwXnWFHDn3pgVncidcyX1BfyxszW9gpH
lW49AKT5drrcoqAg1IQXA3hlEJL/poPyZPTD9HJ7/a6zHBRBaFFhxwpzDvGfy1H8yVSrXhltz2gk
+T6OAwkr2dBiEdvyTNOncAeV3XN70OtFRBHg70MD92Vm31wOagq87ZOemq2KMRaam/h2gBEw4B30
yuH/MxRteXYIbdrlWcCXpfLloaaSOUXhEblPbRfqxnTKYj/cOHbXH4yqImg02t6c7StsNb5tUUjs
bntVCIeignPwSGJTbZSZrjc8o9DtQYEIPCaFtMu1Eyn4qXjQLY+b3JcP4HKDdKcFhoXjl5T1O/RK
EWT/+CI6kCwoiNNw4BW5HFOOG04DLn1o1qpz2MwpUFxiLck122rYKKdc314g000kZFGAQhl02XVu
miZsMUoyvG52pdih+BOE56FKY9DNA4j1/ThqNhbyBO8YKAP03NPUHeuNc/5XzusyINLAp3DS6YBT
UFhCLuQmimsfVT9PG6xc3YM7MfPXISnr7t7OKZG6QKudzE1Jkd567EwbbKNk7KFh7kftPyGassO+
lbCkOkNowy9MRr+1uq/iwdIOkzRgUqTgJ7lFi17ZgyT7BHAm/NuZmXj5pVJhSSUhlk7RQhGHKFYy
nMQw0PjwfphjP0SfqHuxJxZ7cMDx06kjx/Dy2XG5TWgS7MqIeFBUqbqlWzTfc4sPoaHRx5GibDzT
Ci6nFOO/0gYyxAiJnNjtnHH63ovBijFbCafPOhFM5XahJT9EWrspa7GynhozpDEjUy1hSS8H1+Q+
0BITnH1lUbYLJjNx28nYujlWyMtgO5FMgy+L4APo9sth0ERprLrqbA+12vYRPh7TmzBMf25UCU06
8pJJorAmt2pFlk4ICfslIStIckkbIPrLgYK5vSl+QuIC2EblNSCmLGKl2CGw0Gb46Igc+xBq+unB
TuL6rmyBdruYpkaPFb10gMhJV/9j9jxHeEuFdtfvLZ4G+QAZz3m3lRa1LbxxtScnI8sn/VOlwkW/
ByduTeQo3WIa4WyEEWuLb9CNNWAdQahaHsGsz3z+Z2x7dtekB8yrtbMGDOfjlxvij/RAuHWonqqL
F7BwZN8MRkLPCF6+O7ZWgtNAjq9SNW1dbasTArULPOavvseieNmrKVcsrpYED428pwZu7EMiuY3q
3srrOvOm/jfKYkIU9OJK1xOWTY0EqJ0yOwaj37/FGAptDLUSPTAUshozDJtnaRGj+EOUlkkQ2l4n
KwPWyxMGk2Q6uFxSG3pwKpr1UOWtjfBh5QmEwcRxnCHutrokMfmixX5MoXiph5jQGKkYjvKAVyQN
hfFQ46T0+fZ1t/bZaOtY2Iixv65ggZlcj70+DJaXsJZPAndtF/CZvfHura3l3ILjZuVdZx9f3gFO
CmIo6hFkowLp/FNg8O1g2UldBc+zu7IZJA8DqX5LV3xls0Cx02eqHRHL1YNhU+JLa/JuLx2x+ohK
KfAwecMrzgntjVBs5bNxe9OIIwOCfrYMNbndwenlsoPaVJiTkCSG+i5p0vhElyd9hFKZbYDzVjqt
gOSQAAa3z8tB0/dySUfMHQJ8CH2P6m/wiL6W9RugpPaN+pTzNoJ/3OdJy4UoEmefqJn5XMWFPx5v
756VeMYidgIB5JiAJpbvF5FOgSJcEdwVJqV1PN/j4V7E04hOCRoFX0PKDw6eVWESuo6aB0RwSl5G
G5fcytrP6jf4SFHrQO1ysRJWmEGlBoTttYospp0jS9kEClSa/uTC50oNzbDYuL1X3m3yeRXdLwAF
yH4t9rNuICAajo6Eh46IvBH8xucCrzy3j6b6HIXVuMudUOx6ws3T7RVfOa/w2mdUJvQX7eqzD0Fm
lI6geGlYrfV5MPFRc3In3Tivfy+3RWCCUBuCSaQyc5Q4/4z/1BBiiKSBcCoJx4NRVnBaR5GqV3D7
3CUDGIMdcG75X1myks8xvGhMrZwp+iRjNvpTVYQh3rIwif2dSXAYElIbYnwqoqzIdkDMkZYtlcpU
XEfqW5xZAilSjm2rWD5+TbGMf1AXOBQ6MZcXhx4y60MDtxK9ki5VBghOKf5goTnZmKlP0ZA89Cl9
hl0Pbt04l0GgvMFkcIazArqa3kbQay/N0Pjf0OmJXto6T9V9gjV3c6CVEranCR7ss0D/CoOlYXYA
b8lXQapPlY7tbDI7DPeRPr6aCfx9N0GCb8Q2vVM+4ThhYldmZOlLn4eZucc1NX/ridZweLRLIo3W
l3CsMiJgpW49ZjVwzKq1mn3WO2XmttjQmbs2UHCbM+gPvfDM9KD7kVzpdmE3VvRyijF/NooQxya8
GDAPt/N0VD/nMZJDQMY1DFPjxJ7ucjKVP5nRqn+6AIB3ObHGhyHosh+IUibObqSc3bgyjetfcI21
tzqLsl+0NP1/ujqo3+0U74W7uIvFF7hVmOLZTLVGeqOzH6DSQuSKLSk9YhdGhdSneIAtJqJSKdS2
2Na/ZJJlhhtv78rNPUffALBoPM808MvtN3V2oyldJ8E3j75No2rSHagV+6DrebTxAK4NhY40IhnE
4URJi4iiwuCYn0GgIuf5+Iz8SvE5x2XrLsLfdeORWDm7M6RRRRUDcsDVW0uDL/YxkbO9lo7JOcHk
82mKMcy6fUOsXIf2zIYwZpQfdd/F2pkYS2Fcb9kejiXSdz5gdR9GjhzBVNFsUqbCLvr97SHXJgYO
BeQPqCqZ4GXxueImiGnwUc6ekN2QrL5/TFW4q7dHWftSxH6sm0OZmZLH5Sh2OChVBF7cGxpF7JM+
G/d6N7wDJ0s2tt/qfLhh4azPnFxtfvb+c/vpppSaZsh8LOyoz/hPYnBa+lv98PX5/G8UfTEfCSJo
nuYA0aiEpW6C+sWJxlHktnBgz7eXbm1CvFfUhGexG2QOLieEv72dYOZHkUPBpb6hFvK7kaz414dH
4f2d7fBmctpVtwH/YzuV6tDxgqbPDlpXTEelKPKPnyI4hDKPEpg6QsrFssXIP2SY3Dm4AkS2QoY2
+M4ZV+mh3Vi0le9DxkRLZpYsneUoLhetlYWfZU1NQbvsurdkiAEKqBrqaXTRq2AjiFkbTGenga8C
03XFR1D9nvJLS2IDGcPfw7IHhdv04w5XsS1PuJXgxQEKjD8a9WuLTPdyXoGZE7moFOpTyh+Si78n
/XE/sWNtNxVS2QII6O1feYgbnkLe/Xx7k6xcTygk8+lIcQidlndFqKFglQmKsphXZztpknAEHcJS
h2VbTm/omgQbn3FtuqARoeHSL+Dvxd4XKYW4GHCGhyBE8g7uF8PbvvHFnl5Q+iSlYDBhZMhPTV+j
j3d7smtfFZoEDVKEpigHL8dGnSzq5uwKeK+4a83eINQxausR+IeubtyPK4ccepeG1wkZAZpai8Ea
LhBfWIUFKi8wD7XmZE92pqYbo1xPCVUKSupUt+eO4nI5e63DXLFpfM8B7nAG2dDsuiYsPo3Wpv/H
CmcNRWP0xwxYOg5V08WMAJgqdKlD38srCj17svQp3M9lo4gyhmZ/IaWoBxfjWHPYN23WjG6R4Xq+
00s9xxZX14kPD9bYmFsw2+s9Nf8wWqpwMeCsLUVAZBSGzCaP5vhEBMGRumfyC4FR/YgDsVIis9e0
uqtOQR3t0gJb1MPtbbU6/AykomzNZbs8Q6NdYLghK74XdZ2RuRhmTz3yRqA/d1LQFPf9IGvfwEWm
0aEdUDb7cIShy4R5FEbQ7Oa6WlwgRY0pJl4bPsLgsH50yXH2uVz2h9x3tJcsSLb6OCu5Lg8KebWN
egz57jLdquuqou1W+J6s4Z/e6y2MUtQOzNPU4XXaKa18MJQYF5DSHj7jX4y9pD6UL7cXfW3jk3CB
IKFgal01J3Ba6JvGqSUvHAfNnZwR8mza5gc1t4yNM3Z9kucHlJIpd8ZMZV8ssJU0ZlAMheSpIxYV
ekw+bamZ9v/YRTQw0Unj4Zmlyi/fAUu0XZnn9ryq8XSUlRQbxzaPD2OClFSHdco+TQZtH1mION5e
yvlPvswueb9xiZjFNEFMLYtcYQcxzxe676H7a7qVqemPQVflri1L+SeJDsTW67qilq3D/J7PKmNe
twJxftMx+modT4AdmPO2LFF/oBAWVC9GL8zsmGdd/s1qW+1L0+d66lo42ltu7ttRgT91Uf/poe49
a0VDdef2YqzdcuAhAVXPuhYguefT/p9o00hskcp1Sb8+NZLs2A9J8iqbsYpYK+p834ZJVsoj9PH8
hyw5gb5DGj9/1iJLrfdDZ8XCraRSSTa24HVlBwgq4QinzpjrTIsf1SSzGkptWV4cyS9Tlz0UyJCf
Iqcx7qZASQ+EB7/x2Bb7IK3S77dX5LpayDrwFzkMghFXfoBmroaamVEtDBTzscuTfRLWLkCk9Ckt
QmBvqG2eb4+4craBjuB7y7Np0w3RLj9BEPSJpFWV4zl+CADckftDmCry71KZPt76prJLUMlzhqox
L8jlUF05wfcCZ+RFVqa6mlR3eyhf7cbnW50QTJMZl4Pu1jLwSCKNIJUSjAdMDzNTEj8yDKiGr2LQ
SDY+vnoGNHf+GDqFhOWXU0KDStX9kRQ6MAEVgj3N90jiGPg8+1s54LztFjcHYGwuLN49GpjLtolc
wFq3pc7xMsPoonPbQyHb+SPWGDtMp8bClc0IJLra28GrjOXj1mFdubkYnzCLnIB/LdEf1D5sQizu
EdmWxN6GGHAQWlvtC6tPXUhrW/reKy8BQHAmbNGwhc6yuKPhn6rKNCfzXWMMjyRDOqr60VbPc21W
FFsgaRGQ88At3pupl+gDkJh4weSY0Z0RKMVrFmlcw3Jp+d0BsaGPY925hW2auUgSrLTdBywlGzUg
i7MG7V9VbuqHMhP+I5W4dIvauXYW0JdFEYbCC4YmizWcpKxzBvaoN5bygLwresc1NUlXRtx4ozq7
MhTdQVS7wX3MuqCLoWQBPEKbTM0LLVD0BzHQ+aBkZkh/yrBJssPtc7f2clCahWY1X1yoayyGSypF
DALlIg9kZ/VnyDTEwMAdy8kuTsmRT5MoivFFqweB2n5QIxDTO7Cn90mi1lRhG9ish1Eu5XTjfV/Z
tTaoCUpQ7CWqNYs7DgGUKskCKPypLtXfhBx8G41cerk9+5VBnDmtI31DnOqqUyaHvqbg12x6SqkG
rkKl0JMm0P23R7k+GnNBC6gGOHbe52Xo2fiV0ukzqq2zi/JZMjtnwrMrMoGKivhnNAX6xmV6fcMx
4KyhSiHFQPticRYTlC6tRkFvDx6f/9yaenYcI6d8LcCN7MQU9t/hGuWuExvNRtF/darzg08ND2j2
8hpvFL/VYrm3ALmP0wlIUUkzSTNdFcItnUjt46oIqLcbNDl5N2iEX906iWPS4a/AbPr9eCpGXznX
/WB9+GlH7mcuRqkIEhMDLvZipyK0SY3I8iAvw/OSteAhr8UvR+2Lj68fqqUUiuZdT8d98QzqVtcn
6gBcD9Vs9UntHGDRbYPubC0pRyFHxkaV8jpMotMIkQbdPDrGKO5ePru11cehCfMKCAHi57EZ1YcR
pQm3l/zxTor1yUW456Ou5Tq4oZmVbfIa8QwvO34AMxxVNCU91dox91GBPQgbqjzMCvBfbh+96wMO
pA34wtxhc8hTFlVYwD4d44/+eTSj8LlvhtqzS2XYstW6vrPnYXhiUVxjEZes4Elr0biE23cubF0q
XUlRij2URDx4ZTXZagGsDkbdC3zlfMKXGslIJOtcjZl/nmQzPTVdiR+TWfnnUKm2YMB/+54XsRKy
lbT1iUkolhtX9DUFszM7M+vwTppsQHsh8hzWQe4SZJDqSW/fp6wcxn2B8rq5k+sULaLOaPOfuXDi
/BBYRo6C/zhW33KjyP4dcopOx050U0GlIS1+hYwLV6waKt/Vjc5K3VhUgGFHzZasT1rAN1N3QYBf
7S4VsW4hdBR1qVvkBQq7mYo62l50SeDveUynb1rlV/8OUxKDvgfY1aEgBaCDm31C23hmtLrc9RZ2
icnEZss7q+3dcvCrT4YkKHFlIgjxqhRa9k3kAyJZos77PyIO6jO4IkPZh7mj4NQ+dCmED1kkL6Ow
ocF8cMPOCz6b6NCZpdK4zJlgIGa5jwPSnT82wZ5WT+7lKgCH26NcbSEQmJxAziAZF0jCxTUjhxIS
Be0oeQ2YsC+6XGr7VCjdU+jzpt8e6uoE/h3qr1oEI11hWe0QGQjDAJ1h1U100PpavRd5tgUiWB2F
d4B60lwWWMb0Iu06E30PimlD6pxQkZQOOfy1jblcvW7ItSBfMut8gsK/qnqXwqnj3jZ8j+aievCt
NnUVSY2++04X3+n1GG15G6x8J6rc6ObOwDce9MXDQyusMQUexXcYeyNZ28jWyQeLtwvDfisrugZ0
Mjms5ulS0MWcte8vn4JCmdQKWKbkidCvvpBZau1+LqY9KG0s+h3Fjb7fR2mXDlAdxcBRCc32DsvA
4CVW4/FFzUf5dTS0NsSRbpS6XVGosX3g4Oa/aD3XW62vlU/OrYTOynzf8jkWa6MIMx5bqGyeleXx
s1x30Q/IlfKGbJC29gkYgm4HbVDgOYsXUgkSKa1MB2KVLUU04cNgcHiTNVKMqYYrd0760Ra7xo+Q
aJ1wvZLOAU17PMKV1v6ZRY4WPmt5IPUovvfGd5yAYEyFSEVp5yRP6mlH/7G1DoPM5Xnfo9iTuEZo
1OGz4o+JgVhMZsbIyKqtcZKiSGpcIOnJz3zU+8ltegO8IsqYOTccCoPawbC6qjqGmuEXlLplsBbg
jMQfqsAV3DffV7ccote+AqGmyj/kRShNX+4ayYgVA/cC6rixHnLZVtOd5lcQSm/fImtfYSYhoR6E
2PnVLdI36mDkXe57lS7l752hhY+lko76zkTA/sOYL04CALP5aUWL01mmREqPyAfled9L4z6BdijU
naGm2QNIuv5we15Xkfo8FDwJKlXUDK+63gipd77m052YolF3BxPdhyxJ7cMki/6hobB1knKsdKrR
NP+9PfJVcY6RZwE6LhcKuFf14T5ErFKyB8erHCCKu3JKjHOUURZAu7FyJRtJRtVMgddlhjjAWSs2
Is+1jQNagsQdUSiunMXGGRQh85w2jmfkfng3hKZwUQPIjrdnuba+IBhkirZID0Cfutye6GWK3vAl
x9OtGok7/Gj6U2qE6T8z0essScPPerAaF1DehysGrC8dp/k5ostBbHg5slQA3sJp2/eMQWinstbk
0wjKCXRxmX+0YkD8zlnmZNBLo/YyL/V/ir+N3qPwN+9X366Th1yV8/u86qxjXfZbmeXKV2OrggiZ
xYyvy3TTXKJDcyW4Q1G8+Vppwcz4zPoN+b6VrwbnZs5LaC+TKyzWzizgPo46AnRabyd/ArUfTnkP
w/ZQ1oPzQyiZxr1m5OEpS0p/Y8eszXBmcfyF686dosvFtBLJtlu6YHdl0Rkn+PfasJd16Dj72ztz
nsNlZA0EmVoACTo9KWrVl+M4rUhy2gbBnYD6dQBnfhZZf3CidjzjabLlq72yojOPCQ4hpQ5282JF
J22KdDUMortQK6tDmlrOsewmE1MdM/6iVWrlqXZWf28hkGxszqsMcyapwOfk+HHN0fS7nOeYFA4i
lHV0l5pg/EalN05tmiZv0Cm1+1TUf+DH+xsFl7839GJxAXMiwIVJBY2p5Q0+ZSYwQytN76AmlP6B
2rKEhND/cXYey3UbW9u+IlQhhymwAwlSVKBkS56gFHyQGrGRr/57wH/wi9goouTBKass1+kNoHv1
Cm9wq1j6zuj207mTVZFdujSrjLto0uQQFiDagK0NSfy3wM938mdU4n7C5NctfzDTsj7T9sc5RPd6
yxeykp1vDGxTX5pKfNWUyTb81mstlzBmqe+nxNBE2A52V4cyaaPOr5wO0/QU9ctfbjHDJVC89H6o
+1b368pLn8DWxl9tfHe/RrE6/i+NVWy64gasl590nv4TvIX4VmJWEJ9txICSJ8vCj7fLLfMTA9rl
yWHDQtZfVHsO0FpuPr+9X3e/I+ee+hbE6k1/t/FKrR8FmgX0yJl7FYvWaX6he6PlyyKu7es4Y94W
TBBGjYMjuXNVUVSzML6p9Che2CG/xTf0WlKkzIskzJxedFcx5DE4Rhmb1qcql+07Nvz4QwEv/Z60
uNcf0XZlrvX249/2SdnHL3tqzccJTpv7KtUM0Y9GmoZzlnf5R2FxbYNnZGIPkYSw5Pcoqi6Bgnvy
Dxjq04cJvyL1BAFUJoHWOMPzMhiZclCR3I61+VmoG4K7R/oPiswmXNnTGMWyI1RWpZTDmYVkHQxN
DbNlYgip+V6hpdZV04a6C+TcWMK3pG2WvitM7aCq3PtOQIoRlDKY5NwgVcwewATtgDjU4ayf1jHn
Oavn6EkIMFZRYePPqpTlKZ1go+UMjX++/YnWR90eegCLzP3Qe7wtYKJ5qMbWK+KwNNvGd5XZeoxI
qg/OwU4misA4Riag1NiU27n67FIBQrRilZhKE9gTmiischmb5Sh07i+1Dk8Z7YLW3iQvlKHSibyc
KyLXvXPXT+ZHI9PGExoWzUEeur8UzXYeC4Lmtn6u454sJovjMCvGDmcr1TwV5bL4/dAfTYV3tyzl
LI5bWGCuYKPXN0I7iqSssD+8F2VuP6A7U56VyLA+G0opn6a0QiFMLUWgohB66SYNppcRib/e3iu7
xxnEP5XE2om80RtocBZLE41Eptdm5xtjzpQcuGnr91IVGUomWMYW1yk3EzDdOeHtHX4a1XKqYmP8
Vpma4vm6XRpHhtR7QZYdvBpT4LR0A09V82JxiCJxyN02/ECKfQLKLmL1ixN18gFJTfQn9BEjuLff
xkt/cnN0EI2iEiEfx4vcNF5/EjwnByaIShoydUGDvsE45UcFLv17Nc3qt1Lvm0/D7Ijyk54NFcol
jdqrPmy/DH0d0VKUel3nfEIBJ/uyIKMr/MJZlO94Aw5lUC699tmovTnx07JpBl81RsUMULHR+pNr
JzNdBaVuL0Nl6hCCPS7WZqwlbLw+c57xRBBWaMD9w2oqafGtTZZE/sP4ohQPBaaHv7D8Haj8hVOf
cYR7gaojcxOgAJQAW59F9imbm+aXkqXVGFTwAADIo3eCNlKRZMY5L6tIEhnn6rt0tUrzEbBv0GXL
jOIDpaFSfZWuVT0AEJXGc7xM+bkw5SIfGjllP5tEWP+mcTL+Ovggt6Hs1ffYHJE6nt05N9ido5V/
14fUOc+t0wSlmS93f7wSjGwg67A4GXBuY0w/UziN5EHhbAJ6swZ8u8pxcE5lOlkf3l5q/dGbTbbO
NVavTMZDzrZMKWWDALPSpeFQedVDt0Cbt6u2Or29yk4kQ/2TWoi5FwLW2wvRAQSL5cCUhbTE+7/N
KE+fSi9KLyXuOQdp5q02KUBJkkyQLYAJ+NMmQNOdRc/XirNwVLzmuxzV5Z8ZZuFfKsIgz33dje/H
ti6+a82Q1nepmoz4LI1GX59H043+efu5d0IH9y5vlrIe3YXt5CixQBgPDfkJ2Lf2ye0WNIiwZrkw
8XXOVpXpXz1L2AefdKeIcV3aMUQNEKo3ag+tJ5SyqbQkbNDaOkNGgNyBAPJT3LddgIdJ/OU/POQ6
iKNNucMVQ5irX2KeMszSlB7Tqlb+HGulwx9FGn1j+j8tvkkXyjiIkHt710W+khkIoJEbxA2xEGkn
ZrZhQrmb+kbpLthRJ+6nt5/vFmPGjqJeWXHpFuYz23t4xpe8c/Q5CdskgqIMQHD4rJoC0e4uMpE9
q2PxQYGD+bMpo+leDrVAak3iznoei7EJuk7NtEuzDM3Bh947VSs3ESIDm/1mThjrUCXaPiH717X8
aVSc8TpGrveYL/nRLG3nVa+CexSL5CFrd+r1XSSSwS6ruklCPRnUf5xWNy7dAgvy7Te9c1w8BGbh
MRAs8AzbHF1MrBtv8cw4bHQunMlYTmkfBbOazUGUQ7nq0Xv688gEnINrlpYfLfZtqB2nEtXNDivT
0hLiZNqxerU1BvI2Kh8HUX3nXIKtRXgezwVW3DYXEBPLFFWMaVjPUnkYMrd/WtJMmQNB1t9dSqXS
+4MTstNhoChcBYpX9A9D5defrQbRq8UaJ0Q1RPuuIfN+lo47PyArqoZJmvQPli1dhQlfpvTntz/m
zu5cDw3zrPXo3MznB32xnUK1aSPWRnE1nfTb0CjVB71p/n17ob29iasE3BTQ60ABNntzzkEZDevx
rNAafg9c6LsK3OCgjNpbhKQftDJSWHQRN28ywhXRWGhEhJrEZ2dCQTQ5J4bZHtFA944Al8EKgAGF
drNJFEsr06TjYfpueG5oQ1+ZXTsXsxNpC5FRrYO0hVt9sE/2vhW1Kkgx5o63OGy7RLcMpz4iiWJG
H9p6LAJXwxfGruYjE+eXaLnJOFb+O608aFgE1k3NDmPDkLFdixAS7xRd9F422Xtk8vv/taaF8iP0
EeS7pi42Twb9RsdnhtF9qFGbADy7JN+ybEBN0kmj+rsEKvRTjeP+uRQdmotFadWNP3q1c5SM335+
i7nMmk0gVwwsQ399kDhCppyLWYS14WJF1EfaGa3h+qBxsLfKOjdT1w7Z7dzG9XqSXSemQzaW6SlD
F+U8N3n9xweTbWzQteFTQ+S+CQp9MiVd1yDJuNjiwoYX17bV6vu8hW3xp0eTYQ10knUIzNBmO75s
WjfT5ThmoaOApa+FrM9tVRypC92eGbhTdIA4LhrN9u00sJi7voi7LAvVDv1XX++apQvQx3DeRx2T
WV+vJ609D0BOjqAYLzXY683MRIq0YJ0TQZLczoJtiimUJdMiBB9krImI1N1g0Pt2OtXYgiR+pi2m
N1JkxZW80o+1bV9RJ/V7LfT+S4k86HAasx5KJbepzbBpkMXPpug0TKSaGMG7BExA/OhVaQL4FZj4
v7Qhp/cW+ql2ACnCfG96Sfqp0Wz0Uhrda0FSVIUxnZZOE9j+dZ1rn9EqNYCUJ7E+X/le5RykYkG5
3YoGV8BglmYLQ1srusBtV2kWIQszDapaNf9ajAq69OBZhJysmikATdG6iAlZ/Ou398ptDOJVWuTt
9M6QudvOF4DFg6c0dK7HssuuApvvs17VeVA5uXcQzPc2zMq1h/8LVudGIKeO5mRUjCkNJwROfRCr
9g8zb8H5OkP7DCcFh7ZJ/jEWl0uQeSwxli4cStCbEDL0nWY0OWkyyBHtTs4QXtTKwxJu0pUTcM7m
4OzdNv6Aq1DQ2RR3YJpvOjqy7VA6KrNQcytLnNI8MX9mrR1pKxkwRymWG+jizF45nkG8OD/1uEGm
/O1vept/rGYbpDsYpu3JVGZJrshoIP+oszIKhmiOP9OLFg9yHotHu1Obe1Nve2Rl+P0Ha+/tJ8pN
xhy89ltEeQsQa9ZH1i6F8IIV/7hqKJuo4oqjhu9e3F6dzmzqEDrx21edKw0lTsF+ihARPk9uWd9V
XtEdxO3b/BF5bZIpVE/oCKHs9PoOErOxcG7tPNSVIqhEUVwj+u++2iDtAuziIBfXdt4fnkNr0coj
3UphxJnIFasCQxPrvY4ywBzbdxnot89uUsrovEaD6WTFEt6xO9DN8dsmVx6HAlRRm6YiKBWsC+/s
EdmwIIKo/pCp8ZFYygusbhN/6SyvEywgoFycm3cyxUQ8dM24y2KcAa4L8BeQMEwEsGXqkAd/1JCe
U89NX/fv42gyuwCc11Cd074Wn1UsGP+HFXCxPNhqWt1butqtstatiUlxmjlnG4pddlKH1IWAKNS6
uhf0v5QQnxwxBK67+kFFCLFM5yKyZQ42MxvkwTbe2VsAjVAEcdbSE/HC11/dppORzj2fQUMN5LNZ
mJ5voCN9INDnrCpO2xfJeBWzTpgOICY3L3Ix0pp7HKCR57bTHKboxWt+ZTMfA5qnlO0DgE40t/u0
sbSPVl2ZSmDkjC98aa1UNh1YXoGa1zxGQeao5XMULyaiHjDSJ3/q1Y6WrjR7VO8Gt/J1bA+Ki9cD
TgyyuBRtEE+z+456BAjjbNfqEvRqnv7MO7NnFLnYP4p+MT5Z1TwavgZELvVVmaTZOdcn1z7FvWLJ
kxRQus5a39j6aRwY79Jlcaa/qtYozGAY5/iuqqyx84tUU/9p6jT6t6gj+0mzZ1wcHECxn9NRGD+g
0CMo3JVe7T1EJeLNfk3jM7rM+TJ8a5ekUHyCOEoLIlay8Vz0EGofnZjuoF+No9KePKyUv5BhKfll
wWjsfs6F+suNSmf0FbPtfhTNMHN+wW7GaKGgiu7T2Ui1d5nZTH9pLc7rFxcCvEVeMBtH5e5Od4wq
BogWT0GT/eaWne0EJyK0wO9bOSHNTK/0lJltHMRqMb1f+4RPnswqJmZd+a5Quv7UMUMJHKfXD6LZ
S2W93XGgndaCChzXLQA/1o0iH2f3HtESwzx78ZDUpyaTTfu0eFPDydKTNH7IPW/MrkVHdoDCvZKn
dzKbWsvvOm/0rsC0ovliGCMa9IWDtEqOSK7lW7Tm3UfGJnP/r6q1aRcglETbu2C7fFF7SwocYJcE
yfi4hd8zKYNafap7d6gvVZePPwrhYA+A7rlWvXPdxXtnL7NtntrEbj9klpJ9dWsMXiFjmHnBfzZJ
fnlXzHOgSGfMfAU1gW9ptaj5pXDUDrj4nFKYLIlZjJ8glXNgZoTRy3CY+yocZdpjK0yAmU7Cm7X3
qrFgF+d47LODYLKT+FBcrNAejjmJwXrF/Da0HRrEc5ap8u51FZfcRi8az++osU6jxh5QctmcEjLd
g1X3Nh3LIlABt5wB03Y8F1UrYLdV3PsEeQI/s0FvjHlRndK6Z5rVVyJwCxkFnSQdVfV6fEB1q70a
cj6C2O7kI1zPlCP8Fpi+NzgSNNYzRh/8EKhlp7HJlydFn7ozsyjrqevVCVX7wrlY1lEjeOcy1Vdt
C8Qg1VWzexPFHXADnlGvm131ykskMzXIGs+8rFKN17dzrp12JRcVM0M6IXzqm1bFVDJqNfEBuHfz
qfuIsA62v5kLBtuXxsIM2C7y5WOWDkjuO43KJBNCWJ9+7kdl+cfQEU9oEGeE7eTHaaSWf4wwA/dP
FrMyJKmkb5o1E5Yr4yol4iqtOOdpsYTGNBYHq+zt83VyRnyDJHKD8+IvimKGZI+3YaYw3AI4+3nO
vXa9PXovnPrcwZHZStKjTFDbybpXZgOzdgv06w2CDmT+6HRNotzHkZDT2WjjVTSx8CywK/yVCUK/
qxENtob5x2Sl07/Eou4T+4bhapnPGqa9idF5Z1uLrOaObDPXT5FTD3/PAM0Y5jmZcnGnlvl9Rk36
6WDr7P76tZol3QZSvZ3T0E4eNT2Gn14vRCpwpMy0rUxIQAJaYT7OBjYWkD/jS11p6sMUxXrrUxdb
AXww82nEKyWQyqC894xJuSxurz7HsxzvwKIoXw1TTtdEKEeaPjtpMYJ53GjUzsBQt9V/7y2O9BIg
x8QRcZ8tRXIda7P4N5um/HNaKNrBS9o5yhBkViUmuie37cYkb+CUdKwHfUr8FDBMmqAa+vZDzKV/
xDzYXYyGuIMPNooM2/Z0h7I7xnW2cj9PfXaiBYVLC64Gd0ixWZe3P/5OoglXndC4IrRupRwr9N8Q
ieG5GCRPgbbgdlDNlnFQle59rRXjzI7mcfhur28gnpB0KimpEQTQk7pZxNmkRXSNSYROSaUfYez2
XiC3HV1wKGk7/VSoKC32INH9VNj9ySKzOiv4qPuoafx5E5XIvoqAMY3RsOLeNDbNKHImEa+Pls7d
I8xUFellF9MvMaQH8W33qQDq0r5beWI30IBuZMza58q9WQ/pu17xpnu6lvKfQksc/+1tcbTU5oNh
NqMlU5xxvBBluTiqS2sNLvGXOEr/WPaczjrXgs3/mJaCbXi9NxwwgCM03+g+w5In8fvZaAPMXsa7
ySGIvP1YOzcEbRGUENaCmvnZGgl/y4SUttMzMCXwzfM+PktzyZ6SYshOjrX80/TJv6bUxoOLeedN
/r6ku8kBxnKx8slavHvNTqGH4W43PVdopw4kp/IIQrD3fLQLwKy8oJ23KVezQmxUzCDua9cunxQc
ah7yRpoPpS1Rnx3jkUtwcQ76antPuHonrF0X+mpbQCv/culkH7l4rKp5aCc9vddq0S+xNVYH23In
juCFuQprMdxC53azLWf8WzXZkVJWg9KdFmQZT6PRYZxnpmlAqW6f394ve+utoqwrhg1V+e0MGHZw
1A8l6g55P2SXtBuXX6O0vpldp4epPXgH9fjOm6Q6o9PDGJR0dcs3T7W0VES7Yk2SBE1iC0uDAuOd
K9KSR2YUu0vxrV7uz1se7VSl8BZhG4QE3/HRKK35ia6P/aF34Rq9/RJ3AF4WOmgIdqHEwUh9Ow+w
bIHrmR2t6qOedpnmQgnqqTRPE7iMq6I5M4XIArEWgtpTa9TdX8WYl4Gu1cpDHNPxfvvn7D05Y18b
3AJ76WYSZTSsX3k65CpUT88zBLg7cjrlHNOpPUCl7BxH9GfYOeu1x/Wnvw43QztEozPA7cMLbX6s
ZRXfaamiXtolFudWWh8mpcoOwCfrEdgU2KACuIcY19M/fWn5/BbiVFkIhO1n5T6TZXz25jL/yCyi
PdAr3n2Jv62yebJaLSobtyTlfrCzlHocW0s/85rURxca8NLbX2yvkgSfD/eVr7W6eW+uiD4Si9lh
/3YPzcP5jim6dT8iRXEaIhgCpKKe8aHBse2hiybvL63JTSdIFwMoWRP9Mcud6gLCxTqtoMy4qaWN
luI9M0jN6lkVYWc7IvRi78iCaff1InG3ytdA3d9WrIqaOXFW1HEoDWsKXQGIxrWS7snziv8wrOOd
QgkgTVr50pt3O4IozJoGEK07JUAwda+8E0Px/PYX3D0Iq+ob7Qca89srAiECr3UjoNERnlX+7Mx4
Z9k5ToMZMriDSGXQ58mBT9PeO3wJ3MB3uJ62OiGAk7TJQSA3NOdY0hvUK8xheZt5BGn47cfbXWoV
lSC+8Y9tMVIRPgX6ZehHw8AL5jnHbEOqxX2EfNtBvr5+ju3xBtSBSDcEkltgNxO0tlIbajUEWsW1
710VyZU+vyCimp2Kfsy+UYBZX7p4+g8tacCJNsknSJaVzfE6mI0TAjqIRRPFk9q7VkhunZy0nw8G
EHvhiwKLdgnp9Do7e70KCv3aaLkcdYDHaIG0inqf63p+cAdoexuSwnFVIsCKCdbf62WcXmPc6iFZ
prTWEvtIVDWgaLth1nwb/6L2LnIW418GZAxS20Wb6lMr56G9FmKx1r7VNNQ+k4DOOzmeA5x23RuJ
X4ml+KWWSyvPtDf1o1HQ3jZbRZSpa+ikkMK+/tG6viQTbl3KfTmoc7i4rfjplbpxtp1J+w8H1gG6
zxQPUcIbNCE6We2o1oKGRlW4pxVG5ae22l/rrhwueT6XflFV2QHXbO+jvNi+od1Gl97d7DCQjV7S
qsDNlGgc0H7UsMDECOKcW8pH252hK0DJ+g9HdyXD25SnNOm2nSlPh0ej41keOlpsPudVmwYocbc/
Z2f59naQ2Dm53kvTm1WoSrc7u8gWrZYZMDelRCmJcYLZPhhprD1hjOZhL2nFxbPdmfVyBVp6VPjs
HCtqUwI8nUg6PdsI5WSYH+EAG4fWBPjW11oVzCYKuOrB69xdhx4YnbAVZ7LtXJhVZCeNtGDJt3k9
+oM1OpcR2/Yff/4uV3tAsHsq+dX2XSYFShKLOdDERCkpZNiMqNUMGJR5bxQiO98FXgxNEMuPo3J/
7wFpLZLPeuDcblozOsMuW0a0Wdu+GD4x0Gqgm7RHl/JexkM9jH45AjQOZ3ATBiN8UZy5gbKaJKsk
65I20j1BVlg1dut5oY05lrVzLjKviHyoKeNE9zYZGZYsRu8ERlsa9UEyu/fkK5EWDANozZtmduVO
sZVVsO8LU52fJN0HGAHTUXa+++QUeBQLKxiU538d5CyBQGINWeUedoR2N9GZDvHMqk6xDcXDEIoO
HrSIn0DfTL6X9MO92nnNqR/d5qDbsvtL1tk7tglADG9odqPVKwOH1r0XCkompyIBwgAv3EqbU2nP
jn2HBFGPiKPa4DitU6ica0Ra2osB1MD1c8Ues4OftHMBeKDpga6steiNIokFtLKdrTy6z+dUXFpQ
Oo9GNmmXFTz4H742mLRV7QIA/40ucLFUEeJiKfvcUZOz1TXZWZmaIwLSTn2NdCJ6yqQTCBtub7Rp
LiNDNvhS2DkIqqSp47tB1XIgQG10qpfs59thY+/9gXzj1el0628Yeh7FdCWq1ZnXhuKvtkhD1OWA
g8yQiz+/y1YfvxVmtJKLt50D+hMN2lSxgohZGl2lITPFN+22fhzkYhlkoolm+LmVLH+9/Yg7dyhp
NlGR1ASlpS3OskJMvcM9lVIJH4Zr2ytt6Dpz/BBlLtYXSBCEkzSOEhNjB0fgQSghMBDyKbc2N3dS
Q2/HZZL8vlZK85zWiC8FaYIWC/OPknIMImcf9nh6G35mJO3PvnWx6nIaQHJQMSMuejU3lRMkFGe+
66Bq5H4PC7oKmrad+7ObiPHjvHgK2JM2Bymqpf2U+VhxZN9pL05M1oulSC8d8kdfsWbM4wC+b/tN
7WCefJDeMOAyBwjqLqtb1wkGQlh8kFLuXe+ELHRnEbMEgbSJW46S1GlT17SclaRCVH5y8sdmrr1L
42R0notEVveJl3vMf+r0+vZH3wvNQOhd+PmE5xuFVWFBIi+1BhFvXU/PfWN01yKNjlAEe4fVM+iF
gK1al1q33m+dhapgvq6OXH1Kk4k7S21VcKqYPke1hcVJZeQHfcUXdPWm1uGS/f8LbnZVW+MxDPEA
1VOnsumvyyJYBbrfxxMAQf7k+eaMMZIA8ObrETpfTsqk5O1Xu/vQtACJUvQbKV5fPzTO4uiowEsj
ZNTN+0nx2ku6xHqgNIblx151NCm9DVHwdxgmkI+6SAa+TBp/e8lKI7MhQTMG/5IBd+HBRPkHVsLZ
jsRREXQbKl4tpW8ercoAGHnZKtvsOuWPpVjGwENNKWB2ZzxJ5tS84+JIKmjtsL/+pjzUKt3MyG61
sNh804YMm+km33TKdN5n5IGHBIRydtNIDL6wZfUxj+n+eYrEgErYf2yKuzKGQZRqHFHI49vCL5eW
u0x6n4SGUSTvk2kpH92+qZf7DHBrdLCD9z4m5wT5A/Rlb6Ww5CBHXcHJPszjWDwZkexwU4mmD6Lq
soP7em8pqkIUe1/IF9tW42TGs5m1AnCr7dWnLnMxGUKq4Cxz1K/fPhJ7S9H/wqrMhXF2Q29T27JW
4w5mbDqnysOsKeKXNIbu5MzG9PntpW5PHz0weg2kYKvw3bZvJPpCmbl2gFhTeyqS28IyxviSR2N+
okmynN9ebiflY73Vfm01QSP3W3/Pb6evldmcxiOauUglup+Htoz8aYlAIyuFdh76fgaBZhsXHBnm
E0ZX+WONjVUw5Zpx0Aa5vU1otcA8oBMCwBx3lNc/xBZjMtQDPyQau+yDV1leYNjUpsgWOIE5zZaf
NgrY73KwDgw9drr1r5deL5vf3gEiR8Ia+jkPm0VVJUgdWXfWWbXy/N3iotHn1+2SDj6tZwjEhdYa
YY+pQB32IlIvkou54+01xlHg2LkNsKJB8wLxQ47wjaTB1DPEGqjPQ73ENqIspX3tlCW9ZMNEuVeI
+sEYZHbqhsHlo7XJNatG9T9s/VV9EYc8atybGl6aGnYV7JEw7ywniMpW/ab1fRfYuJsdfIe9rU+v
Z7VOpi17AykZ1LihhQSRKq+Xv5FSKNXARY3mpMjaeS7pJBwEkN33SwJDsorsNB6vm+vASEy0Kiwl
CaOsFxc90ehwpXNh+L0W2afKiMyz1RK3Kl1L3lsNPVssiNqD/sHeU5PJrJhe8ldq7NebD516t5Qx
bDmtydx/1Laz3w9zXl6Q1ZAPJhnckcDY7oK8Xww6wQfdUDkcLcsi4RE3NZetZRWq+DQrWfHgjEry
UaANfZCq7V26FDrILaDwQATdRJgq6XOjxug2LHqUKpxxxGWwnDCqK/tsprQdolObmcantwPb7lOC
7ljxny9t/tevNYnJ/LMBzaHWG6ZvU510fqkk2dNoRQxr4/SoS713yzOqeeHGQG3a3rJ60xZqV7pJ
6DQ27nsjUjFaMXyb7chCk79YMA5M8mCmWvZLMf96+2H3djIqTkjKwywhnm97etZQ0ab3sLGMmFPh
LhhriFxqGmpDV6Wzl0uBbVaot7pzwShgfEe7zPhUDljJH5Tra6Tc5Doa/VjYdYiCIf68+dZ2Y02J
mPo4FMyzfYHAwnM9KupBkrG7ClUmMG6DQ7NFb7m8YVe4zIrmtDF+0Zn70iBJ+PfBO925kKjTcc5i
zE8fcbtvDfoeTb9a5Kilslg+bSLaiOmSdu96tcbHeaZDEKpu4nzl5Ioc7CuiqX45gC71RQ/m11eS
aGn92WMz+tiG9nGw2HiO4wbRWN2pL4fVW7LKc+XoUl/vyu1nWFt1BNE94y9Bnu2lhUYpbpuNFyhj
sjxmUyLda9qnpnqXkeNUpJ569zUu1ME6Oe6kPmhRXn+Puz56tCvhFidygeqP7QdW+3OyKATfAZbd
tDFHeBiitBRAZUo8XqamMy4JWPpfuqjUj1O5HAnh7W0VMhcaiugkrLzu12GAreIoAyLPoQ4vPbT0
CPGhHg7th7c3yw4/Dm1+EihQSlSLN/Mw9H6UhC5YHBYiE64PSS75nkS2+UUuesNOKCLUDKEmxd/1
3tGmd8psFHdoFrVDsMB+lU/GXOXOWS/WmgR65/QtcWwQArWrK+6dYwm3RVRomL+C8nd+tEPWqVdt
4sSfbDdrED5YiuK5ciMMRX1mOm53N6Io5p2rvsLvzYKG6voL5hPjZZyQaLibO3de/NmsqgfQfV7s
j4OWP5dzrdvv1CTra9qwfdxedbAS/zj8n+T/6xL46UBr29g5y5oU6QxfpomfD97kztYl/9XxYgQ2
dxPJHH3Jq2XuYOiqsxGC3rafRinLu7dX2bmTmBsSMIlWNMe2cWrw0goBAOYudVapD209Ng92mcpQ
LHnxBPvwi1dF2te319wpIiiLCCXgQhgnbifc3VBLvajY+ugs1MFUmMV9wwz4BIMkPQgAO5cf0AFI
x8zSkQzehi4u/Uw0C6Chual+1p478E3z+RmzD+99FHtlf5Ak7qwHb4eewXoBMvReQ+lvCfQcuTGg
kgKIQGTMEChXyMClEQoNq1gx2imAbqlmX95+n3uLMpRYUyYKzpvZIC69opn7IbrvUkU7L6P+w0kW
6dtzjTRjvRxZQux8PvgbvEuYowTWbZe+cVIJQYn5RN9WI/l2vEZv/mvLDKrUyA6+4E7cAsxJ55Z7
8iU3fP1GY9OoY7VZ8R9Vg0KEiikemEHj4CLdeYVIdoKDRV1kBXNvE2ATEnZtM15tVYYol0anO/Fs
j14CBNprl+pct1Vsn97+bjsv8gUhRK1JuxZsxOtHwzDWkqgJKvfNaDZoHi7KJa8zxoMUuwdvcWcp
5ipAIVYuBAOWzfMJOWcJomUAVpqhujiUr++G2kiKoBGHgUvf+WRrmkvxsoqL3fS/oYDair4YInTQ
XS7PQ6RBx7QX1Rp8yxpa208pI3+2vZP+kxZFX/imNkw5NC1h/pvnWfOOiFsvJ6OFuXyucx2N5ylO
3Is5u9pfcHlcO0i8WvcgXvVwhJSxkz+0QVd/GW5sY5hSZeOzi5vWkTv53nORZOl09mnp3LRazamn
QzApeVinXovY/VyfIqxEDiLy3iovvRW6Hlivbo+XyU1kTTE1uGUu4q4ekbjxjPmoF7a3CqhGWGEk
qKQf673we6CKtTh1jUGEIAG7xxReViCr7shc8WiVTTjsG5YZdSnC1AJKYEx2ctHtRv0Pm3sNRyvv
gBRne58Az4fJDrkkrAtVCUaDfhHzt+piAk49iBPrD36dT4IVIEgghvv/xK1evzZQI5OUS5aHWhSn
bUA10Z4ju3A/DZpdxCdjtJwLyr93hpMnB0X67REmy6dt+tK5xG5lc4Q98kJbncw8XEqzxNgpVX3D
HOYwUfr5oHjZe0pQiwywnBVou8WFJYjPlVTdIjQSSG7XRGayv7TO5MaBKCHQ/9SdAb0CszCisJtm
CLhvB8bd9ZkzQ3omk4S89votp20+MonmLXe1VT6Yyxg/0T9VfVdayV2RTNkTNDb1AqNMHqy8+5IR
tQLTT9Fww+vudKdLwYmz8qJqS4BHvPvDgvEZ+65eH+3b29OBKhDHD4MZlrzJg8qxFr1EyT9MIWPj
MT8njzDz+uvbL/M2w4MxAASJuAW//8Y7JDPKkTlvCWEaSb0S9b7JKk7oEMjKH6KG2NokXfTOpvFy
NDTaaamuZAX0QFCvI7nc7qNWjcteGnkRVkhQfImqdnonRGar5wK1sJ9JZw0fO1k6JxT2+4fcUOI8
yEtRCd92cRX7D5+Wth2sajA0t2T6GER1hqaGoLdZf26SwrlPrEQ/wTpOPv/5GwcssaJE1zxwK/sE
yljvejspQpDpAm1hT/04Q1n3PVHLz63XlxcHFOTB0Hmn84HADspP6yAAGcFtfJBDQ++2iIuwHKr6
MtsxGhOaNX0Y6TSfekf/NTe9d83bDlFGIcszPY+jWfDehuZLs9Pom6x1y+bcKmOEXoGThy0N8mvf
uEaQges9CPe7TwoqASgpSJTbibNiurGmRlYeTl4rPmJ0Oni+qk9e5gutTlaU+Tg/Vl2cnF07LSq/
rO3xy4KD4RE4+TZrXAGtq409gGv3JlpE+ghdHZu7EE+VfPFrwxl/1Dm0T6Qzp/hcavl/OcxMzwjK
GlDoGxpQ26Ml3JMXrBRi3HNcLteHUTL0D/Ixshu/z9MhD1p9aK2D47P3bX9fef373xIG2t/4GslM
hG6lLE/m2Ngh5sXtQed7dxWqXVoUzOlAP79eZaJBGhdNxKeVnlWGkAAjdE7TuPdOb5/R3U8H6ASR
J8B/N6K+iTpSbXhccZGpNxfL+IUS1Q+MvvSg9JBufnuxnRBMNCAO0oNdS0P99VP1nTrFTm5kYT7q
evaZOUn+t45jhv4+t53oihFCda+q/XT39rI7zwi1j5EWcQFe8Lbl05mzyZTaQvNd9iCg/4+z81iO
22jb9hGhCjlsAUwgKEqUTMUNypZfIefcR/9d0P8vRAxqUPSGG7vU0+j0hDuMguzAC1NKYImadY9q
OYwH1Z/b2i/ipQhDomCLduCN4DuwzrFOWmrNZjlRXXenZlKbd7bUS6Bi7Wr8JGR11M5NmeTxrw5F
qv5cTFGvv7x94oBlV+FCyvs3i4uikpoxdBLYAKKfoLRWfq22IzC5KnoXW8ORKNRO34x5A6RHjxq+
+w1XaORCpDWC8oytDZhkxWHtj8miv2tt0V9ay8Q6JM6QXFrUzsMrp/Wwwn3MpEj5Tlg3Hiz73m5b
313QVSt4a/vqItI+6DqFnaCKMyqa+aBLxdnonOUL6lyJPw569+DUSvR26UHwzvClwC+sQKtt7SNC
xS3MCrpWURQWvi7K3G/ts1IA90/Gd2PvPGupVR48ezsXBkEqhjRrbeC2IQ1QCATD6NAqk0PkW+re
eu+I6ogLthMWMgoqgKuEwqqa9/oAx45aOCRKCJ4aUuJBzmjPQllCfynwrL2/d/eGgqi37qIVm7wt
6ZcAWipLIOLkiAn+U9O3uD5lvROi5jziIHl/tL0rAooSBBsK/Cui/fXEGgmWcRdLaVDIM05tCeiW
HgDB1RHJPwJc1dtvXfIzymOAkagObGOUKBWVnrRqGqhd0TzQ5rb9ctK6B1LE7JSGRncQ++59TIpw
azmajP0GEVciIjKoEuONUxcH8RSKU4+qjl8hL3S6/yV3h1qRmXTsdygnuTIvUoJMeiAVBCW1KNVT
NnfK1x4fpoOveLvnIZSpa20dlU9uuc1u7LrIcdJ6zgJU6YkvyTxPag8d8v6EdsIshtGxl+EF2akZ
AcE32fgqwyAw7GEzm13WdOZUO5ENrV+zn5EPay4WkqaupMy6b+pte/By3j4o62+wcPwis0d1bxNR
zmmPlNBCRGkYAxuGW/w6j9LyLmW9val2ZsPlPq9cXL/Q1lnSIy70+u+/zvcZH61B1GnZsTflcbmP
TBQGbeIRtWtT1zTbx8zu2lNEf88bQP64Yy2Wj72VJQcnc3eROZiU0PBuZz++Ppm90g3IrBd8/SLu
TwLZ9EtX6tqbd+3vwjjd0hVoAtvj9SjAScukyRCymmMp9Cr+L29qFcuPulY6uNj2PqWCxCX9UCLX
G3D3yqOXnL5mqLCvrpNl9efemGvXkoUDb2qWz6Aop7PRd8YRR2tHIIVpkmerZGUwfrYZWdfovSJR
xgiasbQ+zpWe/ixGA/Tv2okYL5QmMefIYyl5ovNWN1ent5ITD8Hgm3OXvHQiBmuCuOObSzr8LNou
AI4IrW9wHpE2jqWkGcSFkdksILfS8JNAFrLzpbYFNHz/QO/tKFgFwMfRYYBguNlRc1TnFnbRaRAi
nq256GPZL43dd2+XAGRWHFYAsSvJarunEovGu0iqlKx/aMdziqTjZxtx4BG9Dnt+rPqC3B5ych6h
SKiFBxmEquwcWZSH0JsFsnkrpW/pY173TpEGQogm+6QW/YxmmRaJyFdW5cGvxVyPSDmVSoK22JRO
6uJrINk0V1UQf3MTW69jfBHSsnKlBGSgPxud3V1zIbpv/azWUDKGekTPcQnNc10sc3KV5VELXbHo
sXZwAd4+KyizrZwL0iH27ra2aaB6W1RllgatrBZBkc2z39tGfu2FdrQ/di98sOMcE5R0KIFtLls1
dJSmG8c0iAFTfahGXUOpDJWq04I+2ylpkvnJNibknCC4/c/uYxB5CrZJb9+laBghSQdHjz7T5kZK
+2SIDAMBWXCG/ftZjJJnFYV1cO/tnQViVLzo6MITN26KqUgSx2VvA1sosmZ8MKxWuqIZZh8VCPZW
jzEQwmTx0OPYfFEx2mOF3Bzd1VYx/VhOTK/rYWw6eWQdsLJvIzkKECDj0PkChn6juMWlPUFMmYhy
RN0/KQjEY9lOyXIeldEXmr3499dpd7eAlaRrRp2LKs7mEw7ZjPbi6sSUC03+BzWgZTz1Vjnqj7li
lYrfUgxv3Bx1wdx1yqyynpOhtD/IWQ+F6f5v2fvMaPKuZU4CopvMg5ptJNkLku4xJCHf1tswiFPH
Oqc41B1Me3cocnh6vJyTG9VEHRQJZFBgvRVYwdFXcrlTniZ0vjzMW+j73p/Y3qKSV1I6ZUFvQSIx
1iiyJWWkVL1RejOQpscoBXvgJKH+ExDmEbx3d1HBh8A0It9BknrzRqg1iuqU3HC+CSc1d9E4zB+1
XtfrKzrHIvOmiuoB6lTRy1LGaXOqwza6ZnOtHdVndr4z4spr8R89M53463Vg0vFVJg29LkomYvYK
ReAoA9wqvY7l1Bw8GbtjcbmSH9CKheHweiw1H1hqvGgC4M3q1XTS9uRY8OkyBRLK/QXduXdo9VJv
YhRa6NvvG02tHkMjZvugFXgpiq4+h3J4xEfZewOJdTAWpRrDU/h7mf8o1mnLDG0XAkVgotaquwhS
zj/xlVJ+AGyy32tKWWHVMYVq+ThUY81jiPfg/Dda66lzQq29/tw7izycdOT7r1XbR7I/1emUKa6m
LNiiKjqq1V5K5t26mJtkK4DHtk76UufO2482EBiSYXJvdFG2kRue43SYUS8OJFPDkrexFTcvouya
mblxcLR3DhtDcXXy7IBB3eYaxZhoozoleVChL/6kSENvey10pO/JIM1nTQ8X5eB47208KC6QhgiJ
wXyvu+WPZYp7gVpHQfSNS8XyNHS6fWmkqEc0cXAO0omd6BsXD0CnxL9gMreTq5dKjND66ALZUfIs
lU76INrMrC58fP0JypwV0NdssKOEZ3iwhnubniSGOAaUEbH/+uH/mCZaUkA3CsZO0PE4LYAxT72R
9Acz3PuYqzIWTzrXJe/t61EqbVTCfu2mOU3RmC6wJgONdin9ZQo9Pagr7G0VcKRg28mZbklXaGqm
yNz3OT5tZnpK1Lh+nKXoU62OlV9a9nSgDbQ3HDCKNXSHFMCOeT21CfGhegJOF5RVofsdr82XaIDe
LOljdik046iBtfcpKRkTg6EZRWN9E7YYSWa1ul7kgUCX3s/UKfTZkqVfatLbW0b4BFAOonQIx/8G
A0O+gpYKKK1ADsfwUanH5pRGxVFDeXdCiD3QNAEkdaNyCLx6GHSbMle/RJY3U5t9X9WO7gr0eT/f
v+Fvq69MCCoOBG5q7jelwmysQEfVeRbYbS/OEvciPbDY/gB0trh0XZc95E0ov7kKyqDIWRAvc0/e
IHRLEHxNE2VcJA2hshEpI29Z/e/9me3tQkgp1CWJtGh7rTP/8xgXWKarUGYDDRQvFPTWrZxmOUfL
2PiSUh58x6PRNntQb8qOZwEV7LFKjHd1XvydNln23HP0vLpbstP9ye3tEMBsxOqUedBa3wznqAu8
ijLKgmWEZzAAOfCkGPZpVHEC7g+1OzNAyUD1UIi9CSHx4RUIGrMZdUlyzomm5le1i3ovSRP51Mbz
eL4/3t71y76HzQ7K+JZ2p6nCsUqbwouTKfmZUL4OwlVV+f4oex+Q2AlxC57p2x5XrWPl6wwVInD2
6JwMaLinhUrlNRrU9j+sFR0GMlTaLQSJm7WyKRnnk8l1GKVqcq7CJNZ8aRbzCfHnsTgYbG+1LCR1
aexQJbsptlaRsNpI4y6UYhmSohJPXmIh5CwL+nVW1R0hUPbuD1A3IFMhDQKgW3/PH6cM1AnMk5Jn
bHGK8nNb9J2LgG5yTupO/oy+jDipiXQEW90ZlCCRF4ZMmNXbRlnsw6LN1jo5H6ALqhzVZDfvzd5b
zD7yTKnAzHhou2/3t8zuqNyRqzIUD/dWpUmyVDimlkiDrsTqMCGDvuS0iM55G1uPyPSUZyEq5e37
dBXspDdpKGutfpPh1KMjxjptGXTpsvdDKeJPqZJkfqHO+gFYbOdIkPdTDINfRG6xXUrVinVnDPEl
nK1Ysc+hmTcfogzk5ENlktocpBY7G5X7ZMV+wIpcVTReb5wZN49ci0Py8Sy3fjRxE17GoekuRjJJ
nUuvdTp4dPaWjyYEKdoqr30DO+YjinIcsXiEFid5SYKXiKrH0VWL1fFcAo/3dBkr7Pt7Zj3bm4L8
mg6sbd3fAdFm+dTGHkYTm/agKZX62VLm96Sx5jmx8OW04ia5LFE5X2bMul7uD7y3mIxJeoD03W1d
SinbIQN4QiEOYa/Uw68H6d9igsU0mmb4H9ZyBa1T9ufevilPLSohA+rwSaCZVdx7aOTXnVdrdUwx
rIJS9WyXPPQH79LOO8EDyLuOYjtohW3Uh+dssUa80OHWXovplPmTjQfXwQLujYKOGAkWER93+GYB
U7OBFtVT824Ko/azZS031mN5cGvvQM84b7T8LIg/JFbbyaRRPtVIZwPkUwgivJG875vT1NJzyzFM
vQzVitLtyqasXQUmkB9FuhH7IgFoIltaf1Bh2P85Kzh1JU2vVmivDyfkhKoAwUh4oYH1iMaq8Er8
M94pojS/4hJefyvRKcc7SiquOX03f8ia/imaUY28v433fwmV1VXNbYcyFjtzzslVSKjzzGi9ZdaT
d0YqJWxpM3eCLoz6963S6uelMpYPKDfLT3GLpzwuOv3bea6ANGSH7UD/Gc2jzVfBGtgUZUWtt83i
nzmaM2RtaeciuqpeplRq/sPWI+ri5ufav8UJR3kHBMUwCSmVVHwyrCb7EANVODi7OxeFRuSv4Oqw
iuVtC9iIb5hLhG56APhsOnWa/XPp4v5MqFwfvC87dyGMfy4JjtHK216P2p+hwhjas1XKkPHbqv5b
j6t0fijsLn8vw16o3S4uSjAvDaYXgz2b0uX+TtobncIv8q5oNQFY3wQqkbDrLqdcEUjUXmkAA7dJ
m646K+0cX7NGNy8tvgMnlYvsYB33vjBlSHr6XMS8resv+2PeQxQpy5IXlLrlbDmllmT7sRVmFypV
1cE9stN/BjwAPAIqPlfidoei5MIt3E1RkImuD2S5b7ERKQqv6KL5xULD3y2xS7tYMV6RLk3Wt7ME
ScDXR4AXh4t52+rHNmLCvJslXsbsBENFnEUv4Nn0XeKzsgcfdudF58bkZ0I9oMy7RYPgeV6hwdiG
D2XqoMYkGeM724oXr5Xbxc/o257iSY5e7u+jHcbgyoBE0xn0AGnltljZEXlXUc6LIOMaMp9EZNEV
NoVZFCfRVDi8jKDFUK/WskqBNzyZn1Kjj6HgG2Y4erNVK18VJcK2wLanX/IU542vZlgxeG1TSO+y
OoxyeNYqArUt7lfWZRRz9DFR5l7HTaivH8MqE7KLLEeUnvu2q77pbaUsF3KpLHdpwvd/0y5q4jPN
rvYLFrWJzqKjmOovuZPY19Iwl8QvlKh6LqEHDv6ANGT+k/I4yR1aDuIk+kGPrnNTRcpXVe2XF/xn
uyOkxM5xRDEWagrtXT7mtuuaIZkIwTGJAyMPm0uBU8N5HNDBy6U6/V9a05BZwjKGjJPI1/sLuLNr
oCNQwEGxjshz2zaMQ6Vpy4kml1rHVYCvJOzNOR4+UvVAH2OMWgRRsyPs/M7BJH6HR4+tCGjnbWzd
5FjmDA7syGKI6pMjctnPkMv+2qhajkpPXl/mqBy9zgJ/Ns7V8P3+nHeiGKoFq2khMKYVPPH6Cqqs
Mc2ghRKgIUT+0CVWcpZz0R4ogeyNQqUFEB9xDE4Nmwu+LvDIcpZsbbGNVeTi4zv6VV7OB+XF/WFo
R6zlCBin25CsEzwPMehFYxJl4RZLVPxdxtWRs8VOgoK2ERc2F9rvCPP1N4tWnRp2PnaPsWM81TZ+
REmnqW6HYIJfTeKon707LYJZ9GMg7bBJXo+nTThFOSVBdNlLdZDaff7XnI9HvZb9URz6oA5vMX9e
j4KwvzFEPPXU+1D596NFNrwoyxP17WEFfsfAOnnviMK36A0rhcYOEgnxoknvI3dUKvKtyuqgLU8S
IPe3729GoloErUoGnPJ6VnGlqGnRgJnLS+zP2hpEdtweCg3u3VmwbGABE5aBStmMYvbDUDcgkAI9
0qT3HCfLTxF3eyfsrEPZcrZ8bpTSU5T57SLbv62p4N2oKHHclJCE5MAVy4CNKoIG5lLJ2NIJafgI
a/Db/S+5E6zQIV9RwXAyaGVuduEU29rcFkUSRGY9fq+MsmFmSfcyA5Q+WLS9A7Yq7UMFpql042ye
OqNmJz2ezvh/0odonaBX89wzS/Glj/uv9+e1OxhrRj143fbbWAHCvS1pmY7Z9xD1T46RxG4xyPa5
xp37NPMtDnplO+dsnRbiApTwKXJv9koidDWftAqJmiJdzgQSy4OAS+rfn9XOajEK8SyxG3S7bWiZ
9Pk0L8qMGbeaiA9zhxuOSTfw3dBNRyjOnc1vgrEhsuSE3QZbpox3EAYocUCjxdGDVM7y1DfF0F4r
W3IMvAXN9NKySb84jTAPrvy9eQIdhbRBT4m8dPN+lVqFbww+Q8E85W3mh1Oh/BWmU1r7cqwu5/sf
dS/nBE8AMoUuJ0XN7RmQ8igszcYsgxwNw5OyaKGfyXPuplYvnUdLDa+J4ryQKOKBbJQOpGQl9u0h
OziKO1t2dWPD/4Hnh1bh+t//yBvQmm/CNh2LIFer6KFECcebwaqfjcIhSBvToxhlZ4VXEuF6wa0Y
o+20VbmS9CaxymDSZrlFWiSJv8mzpHa+pYQLkUtifuiyOPEXCIn/3v/mO8cFkB/QEbAqtNe2z0Vj
TzzmoV4EXQHEjwUOjedItvojDaWd4A9wGnEfwH+MS7YcdrUQvSHB0gzyaYxQJh6hxvIen8oOkF+D
pLfXtV1x/Q+To+II5geh05vEN0pr9NBapQz0UO4eC70tHtopbQ7S672pkZPAgqUMB95nXd4/tgs4
VL3OpKUM6AwZP7tRqNdQsbLvTl1psGkipJzQHs6OMOt7K7e2lCmMGICPt7q4wFSAL4ZxSVU8G05Z
ayWIbqrTAVxs5wKg0wPNgI4QEg7b+lhI4RvqUV4FslZXsguMR/vepl01YksZHZqa7ZwECtKcPGrT
CsYrm8u76YnQRinkJISmM1xta+qe6LaM3zpHiUvf0oBOevjsDgr4y2WujMv9DbMHAOYHQISidUnC
sM1R9FDJ2DU2XRwxQ04Rg57JLjix9u8udlKM+BqjFteRayN2rSwq/tVwrf8i4m7+p+lVO6W23EeK
K8G1Dg9e7Z2V4MXmCCmAvHYgV/jHoyFo8tMitFTlyF7OlpbrVzIf+eAz7FyAhCB0wH/fSjeEMAkI
v0kNLCeWa2rfENX4DnPEAWu01XodyvXBJbT72blpuYSAftw6kktGHsEuBvkxOGH/vktN45nYv7HP
uK0u9jmZZUngHzhnst8h+WwGWm62f6G2ioq7NUip/CCKTLuCwUfO8v6W2PvsZDtrORBaGgbbr0+3
VMdTpczsiCo1ip9SssBtl5D4CCdDfzvMmy++PgCrjeBN8VdS7Xwm3kCfQEt+GaHuvLPbYTxrFB8+
v31S9LagoVCCXK2rXk9qhjEUJqqRB9mSVf4iJwnZFQJzhbpYB/nI7xR304mhU76CTUnCb0NoXDaN
JU6aIujzMP0xla342E+5CN0pc7IHZXL0i0kFxnT1tEB7x66M09RTvnnz8XG4WGix2STIt1iVVCkl
J620Img0ZdI9mIVD5oN1W0Fti9oeyYTebhuHYj0RxJrurWS/11+4yobRlmPQ5dZ6bVbZkn9ZTPNv
hF61Nz9yjESHkngUIuxNcXzkVS9DxOcDFQct15BD8dBU+RH+5vaRYxR0mFC1xCH35mKkTD5po53Q
mEB/9zP7RL4SxGU/NfB2livH5nAaZTTmD1bt9iYCDoarExcfuL6bmlHGm5026YwooTDzv1ACVmE0
V917c9Gb6DJqiaKe7x+N22eVEUlmqcnDC7iBK1tVS4Jm6EkwJRFO21Nf+FJtKQc37N7nZFfAslhx
EDdhl1Zx2XW064OuyaNrW1XKaSkG+32Ct9qZVKD/a5XzfPtRpG2PUO7vxI8/m0glTkhUFEE2m6Sl
6mYhR084Q+xRKFz+alG2/TXRLX1QhjY/I0IYuTWc8fJgSfc+MLccQKS1m0NQ+Ppk1LY+8U1o5lBJ
Ly5h7ISPBC9HZZDbuh9NQ3iRVKpMEMrbaxt8x6Jg/ZAGtSQtw2VJdOcq8Xi/RCpafme1H2UZ/nuc
fwKAmwwendT2+e07CYQhlVaVncS983qiyPZFfaHGcAfCMXrQNEnxJ8RyD2p/eyeEowlmk/qVQXz0
epSBjzz0GNQEqh0Jbynm4TlrVfTQo+ifNAfscn9Se/cal7lJDQvg8A1CrkTFBWce6AOywuUmtZqG
K01sP/TIjh1slL0zgoujsiLk1nRss1HGQtXYfhbQ7jiv/cExgJijRQrDxDLjVWW5j66iXIYv92e4
Q9KmKgJ5d+Uo8+xvc95hkepJrki4I6OZQ88GaOPNcyi/i4C8/jKKru09OPPKxYiyxXHJFfXw1Ahh
f8BzS6K9U0b2z/u/ae/MrIu7MnCJircZaYECot0uYxx0U6L9k0V2+ayP/8HQdX2mqUIBsQRCvc0F
JVuCqdHSGrCNPgysCRkWRx2XJ7OVjyTzfzfEXkcFLCwSeFyAtKtu8JzkwkhOOVzsaZbkmLmi5vCu
KaZicYXWdGA0sgibtMhC1uuc8oS+4CZYRP+0URXDHlG7r6NZDx/kvi9avzebUbvYFlueEl0vTFfE
la64SDhq9GBmULFnu3eME445dXeRBrk+1Z2t55QTmuRbrznT4mndSB9AmQXoLUdJKssT4HU1d1ak
bjy4/XeWc5Xsol6KEtWtUCqi08R6EgiKuXJelCE3n3KE2Q/S0p2TyiDsYXw+uAu3N2Ck5Wqf9VoS
QC7qffzC6Qmoonk0xkk+eDN37iDAuWBC1qW8zZrUOKuXZsW86JOsoCkvpg9Tr8ZPlhDq36U8jwc3
w+54a6+Tfboj5DVaJZL5Fm+0lCOSmCTmN3Q48+tI9fIDCr72wbu5t1zocpAXkkvdsiSk2hlRx4jR
qWvlgf6cMp9gqPcHo+ytF/NBi5hK222Ru4mE0lUwL4N5ydNHZTBrv5JUxYMaVh8k9evNuTl8q2Q4
AcAqHc4L9frNqNBjxIUEgEPcGsvPDK1Jb6B/f52HfPBqyU7fWThFPffpoWnVziRRTSSfWrvylPPV
1yMrvUJzUUOczKEMZJzR9czeJ0Xafs9Tqf9x/9Lc2SWAlKgjwPjik25VhsxWW5BWXukE8pKcsXGo
em/Q6RmXWSe1blvq6kECty1gUsIjhyVMRtgEuJu5reQlMwZttJHtwHI/RO6nr+/e//XxqD22iWxu
xlifzT/KTc4y6jUtZzvI3G8/XiL3Xege3BzbdPxmiM3Lu5h10QiHIbrTx29PL8+p/yy877J7NJVt
bngz0DrXP+bS6G2+GAsDPTqu4r/EPpMp/KO49+CLGSsT+I9RoBv9/+mI84cPjnd537pHNLSjITb7
uqGbN4Y5C1+4P2LvpXffq+7RNHauIWyfydnp6kHf3D7PmaaJck7qIhCxVHnmWGqX1dHodP/U7J1Q
yCoUv9a+xo3/lSkZMF5FUgRtp9M/ieIkwAba9IA8HgnB7A1FhA5JgOiVTszmGkJVbXCwsS0CVN7E
3/hVRqFHu9f8lsAA/ff+tHaCSeSGgHQZ9OIJJzdjjTz9empgx1upU/6kzNPSemHRqX8loZqU7qwq
FVq8VX7w0u8PS4kWI0KFDuK6pn9svWHlvtcLKO3WnsvBHXi0aneMc+MUz7pkeC2aeMEiT86RmePe
t6XHB6YYlgI50Ga+C3fw/yOpTfNg+gnulS+lhq9uMcvqp/ufdm+otaRP12blum7jdCkz1DkrLAKN
vjTQM8K+wLVqPT8VkwaY5v5ge08X0QwYb5Bdt5omEwbcS2Hi9iJPhvm1y2cF9WStsx7MvDUeUlFr
VwVu2lNapvoR5XxvojQwIP/xUXVL1V4vpg4ue9F7YlbDhlRVNbo4yU3SnJPEjg5ekr2368+hNvsm
H6Y8qmcFTIJdpOcytbvzRGzyS2gJjlZNHL69kQ++Hs/K36Xllbrzem6a1DV1UuJxMSjTr0Qfw3d5
lxxBAYli+Gc2kccaRrFdKDxS6d3ck8jsJDSxgOSFdWzoLwXJs6hctBgkWN+DKp9zkXSWG4Zq1ntI
NRmDF+MPQTEG2hLGPmVZeJYySMvFbGyz9pbIkD/ioaR9tboislx4W2mLW0UxG76s5535vIis/ZVB
gEtd226dlygzyvLqmIiZXDS7UaJTF5dV50rIvwe5oki97xRZKHtxOU+/TLm08fepbPmbYpaO6kdg
cD+O4xR+ykZTdKepUMvaN9UZewAnjcZ30ux0/blxUu2bXUrz6OvZEDVemWui8HNeRMfvjGYcXCya
JQkbWyHez6pWmw/1NMCkmCQIHZ4Difqn0VG2+BRSx+XOCM1Muah120GuXQRdgBFBQ29Jqiz3+lCy
ZncxegAfAlAsjptLUXbvobPhY93kdl4Tu1bzPwVyluinU7kE91RG85c5mrPP3FKW+NA5Fl1PFyZJ
bvyLlOmM0EinxN+7tEmmh6LWnUsxwkh6kNSpi07kikrqaZls56dQzjPzJBeRjkeJHqka91qiSV6l
pcl7ARol93ES6/7H7TGbj2o+J+opkqQW1N2UluPndCGF9oWtF+WzqJrurzptzCfEG6PCFeY0t8+E
JHHt5q0pvtlG5vycTLGcnRmHNHdIkJG6SorZWpdSbgr0M6dxfD9kpZo9Td00Ti7s5sj2qVpMJI+F
kUW+KEaYyZkz6eIq47wYuZHMq3fCBMLKfWUZ9NarJxPfzJrKZ3fN5FEp3CivG91veyd5LJepG7CV
z5xvKNxNttfPpfG5cYyudC2gYPaTKk1TYNTKlKNbDaPck3lo5usYV0uDqIhd6AnmOV2huL0DLw8a
WT31fg76rnlQstjE2Y3HonHtMer/bXREJN0wl8wGM0TwDF7XLIX8WPfC+DJIYQy80EhLLx9KJDvN
DASEu4ChjJ5HShWdW9hmI30p51Y1vQjyfiDVnfhLS7FQeC4xcRYuGUE6simJLx/mpGk/j0tn9K5e
99rXulGFckbG16x+YXiqFp6KVctRfLNzvQJHRAqG2iB/tzDlOZ07kU8NstmNU32c43nBoDKcyFrb
7Hz/FdkfCukQkO3ceVuQSDqWZeTI8CDDCbpqUUYCdkZtnFUpPHLpWi/O7Y1HuEHnFAGfW4pGEguw
nnZJu7uZmn9Xs7KfykCj8O0TWqWBucJXyaRtUTVKkLaDy0DyqI3sq1bMqePZdmr8varnirc/wihi
AozgFaagvH0s9L7WFqckf8wQKnjnJNp0GemPzxdTm4mrGieZH/SxVE6VrMz/ZZtg/E1VkGY7GJxN
wbNswB5SIUsDo8M5s+j1VnZVxn0opb5/uxgwGCJgEcgSg9y7QROVZiL3saCMrCpIHmQqZ8ju50uH
F8vBN92JFNecEbgZdB6aLJtp1dkcwaaG5GYMhfYMySF8cRrH/llQ9/yr6ZR/27leDsa8OQYruQ15
PcJDQv0bF4ousyergZ2FVdmSeN2KY64TKT0tkvHP/f25yY/WjULwDVSKMgrc/m1iPNMylY3JKgKz
U/Pv9uwUHyOtN8FzOmn/rUb7+DJkXcW7s8xf4EKk9en+D/iNa351DldgLE8lGxZX5Ju8RjUls0Lw
F7hEmqeTv5bjH5fW6f4Remn/z4x13iu5sDPVLdq2fMrMNrafFr3WJL+PJTs/h3OefJfDUgYQMFE2
uf/7bgKj9edh5gfPhc77zQHGEHbRMcMtgjhsS69UNd6RTkyan9fO32NkaSfbnnMvDMsjet5NqMnI
ZApwF1aAMiKwryO/SkniKWqGgjQknE+SVhanvK7Hi5FZ4p2aGMtR9W5n19GRQWIbyDJZw3YvIGzd
hE3MgCWe2UG1yDO3Vv0JwlN+UMj4fY9vFx2ONokJbW4KzptCBp5KC/hviz63KsLRVacIPsCsTkbk
61rf8i6GjV25RCwrZ7cpGwSTl7T9oWZp9VHGIuxFNRJ98cWC3sJ1HJBid8vE6OKr5jTW56LrzAmb
kTr7ARgl/56rIci4ZWZ6p1GtFHGaGk38LGcJKdl6DIHOIOer5Bgztq36hStl6N20E/P4sY2pA5+s
DsoyPVz0G1zCHpOSLRjQ700UGbNLOmAlHv61qeNyGYy9G1V4C73nVcj+ahEZC11lsaev9zfmzfvF
9oCVSkcEfUXYt+rr7VGWsTnHJaYJCXM9mSLsPxuJlD38h1GosdIsh991c8/KVoq3mpwXgZz3Ks9I
Ij21RXOkmbqtz/2+huh+8jyQhNz2HpM0zc0cxHIgrDC55Hk4nYh3ZH9O0oH1V0IvzlX9Q5z0CR6G
hvgRt5b2YQIV4d+f781tz1ddxZqI/KCowrF7/VXNKZSpk4IqSTJ9OWF1xVsqdSAfZG32M1tiT/L2
HByHvTuG4TgKOu62N8RNTpojVlgTNZCo/F9kFONDKkW25ZJfWudQr/QfsA/TpxDJ9yM6596hRy1q
5Q2AbiECfj1htlbNIavLwByW6bGV8xE0Y4jx3ugciUvvDoWENgV7RrvRTkqlmnRvBcYhdW5TPpci
eFBIUcyZsA/iyJ1ltGXa92j+UpSjm/R6VmQRkbagBhUsnVNdFj2rgzqzzJNCI8urm7h6lK2wPBh0
Z34UlNAeApVLf3Ib67VaYxKZiyJAyL3/oeF3eknaoR/cRBXWEW5T2XkeqJchREWzZcdSlcIZGcTI
pmlJG912NJQHs20Lt+pypC+TRXYhg6SnNhvsXxONaL9OQHRmptxdUyhaF6kUxgNVsH7VQhVu2MhH
Wlk7sQVgAqpByIDJIFk3D9iqS6XMM+9JYliA85APLbgskUA8YxxSvWA11X0ToNPPc4YCGVou+XK9
f5p3v9HahOfIrv3MzR3Z2ICpWlLtQKiZ+SgPxjP2J+i+TgU8PPxzDsK2veHoGlIMpil+K5xZm00p
6GcWQW0r0me76pC1MAp0besxPwlr6eeDAbd1+vXeXGnSWJmCgLttiXdjXTp50YOIDs36PSi16FT0
dYyql5Gl33G+ms5509eWp5XO8hL26fgAk646iJH2Nj4NHQQgiCNv3WfVWcrbQgfCVZhd8ljArUMV
emzcXiqSg/t59xPjy0akSiwGNPH1wS5yWTR2NhWBnZv9yYoS54IaT3516sh67EVrfb+/g/amRm1f
B3YJ3ok5vh5Pjed6mswBtnUUdz8YyRAeut76Z2McW/1gOfcmx/bh0NHPRM13c2AGrMwjDNIylLzw
bs+UTFyURm0uFbI33mDN8X+YHHkGfquUNNm16+T/KILnSplZocCHo+akXERYfhqdeT4lGO5+eftn
/HOkdeZ/jARmSYkE4VDQA2HwAR1m1L2ou+FOfFQw3Vsx8gmMt1a6rbE982qHx5CjkHEvXV25FSjR
p7zr8SyDW/n5P8xqRSRTDYU9uQ0WFljVWD2DvUvlsg8Si8PuVzb324TJn3RQSVh32v9xdp69kVrv
339FSPTyFJgZz9heby9+gnaTDb0cOrz6/4e9pVtrQEb+JVIUJUrOcOpVvmUVMi+EAI2uwR81vdUU
ppTKZKpEya2Lws4bbG26jyp7PghF9mZvkW0lNDd28uqhMWO9BWyNCvqsfUnmKD2NrTGfq7k5SnL3
PogEh3SDzGrpPL/cE33mkFEL2sBNmKF5RTn5BjTsCB+5E1uxEQheeQbAUqybINi7m8ko8LKDDozq
rtxErm5PzdXozegU2ZRnY9E3FwLCo6tqbyqJ0CEIgTLdqhXkZgZmhUcN0bckhg0kT3fk4amXjWl5
fn0j7k4lLxwYJOAAG2JMY45YmEVmdiO8hks/tSi29tYRdHb3tSGagk9ITkx/cPWcot4ejY21pByB
052SJpkplMrRp0mbkzPBZZa4qG+1Jy2dqVUMXYMdtlUeMJ/WTfA/b97CeYIcw8O3iViDDrVYkp8M
p/pWDU+JGpgjtfREP/cJQhdAluwczrmEjINbFk7dXcoyRy87TfEDJtvOcxegSncl5j6qKe5tNu4c
fhklqS0VoO7DpAhUmgAFYPz7wRQ0MUxLep/H5a8hGOWfDlKAzz0th4OXY28DcDWQPJCnbcnjamCb
kuZU2W2Ue/PRaof4G0I4R8Jne1E1rzzQMNiQ2MSs1h+rE7VIqzy/WbEV/pN3Y/jdkdrJVUYkFACo
ja4zpuLy+t7eO0Z80qL4tMCN15dsq2PQZLeIhRm5IT/mypRXbuBYre4C+FN/vT7Y3gIu+oL4zthU
/Nb4e7Nu7FnOGYwfA2Fbi4fqghpJQHxcR/oFxano3Sjkwac+1xyk2ssFvrrgFyQ8+SUSClR8VmiI
qMpCJF+5D2ko6R+FIv2bjpnzH0ZvETlw19cHrcydPfNivNVq1lGg9s7SAm8zpc/cQm2nX86sJv7r
U7o7DEx7WEqENJsYnOsf8mykpahDlNKjJGDD08Q9iGT2ribkPRaeLsAifaPEz2rK9C0xyesjte/v
kLGilDRJiembcWYqvmSaseIaRWeqblS3deHi4RRnfo6b3Zvb0cihIQ4MfJz0k4OyeqllK625/IgZ
RZk/a0aKR7XdmR6Y5vLtrzXGORhscCfjObPuzMiBXmtJi4xp1+Xl17a0qVoVJdzTbDL/h8hgWURQ
VEsfaAMP72nua11GIc5GxeRTZaXGU5RUgW+NvXWQtu2Vg5aiIFcNRQlO/io0wGSmkMwGzT6j0TuY
TZPa/ZenVfmrlkX1MCZKcFayRiARgUPfCYJuf1W1olNcnBK1g/27c/+wo/CCBteIxonjvAxTpqau
bEkhSFbNKPzW1ZPiGUNZ37IsnE6vH5XXhwKG93KoEhPtfnYA4UVTEHtl1wkfSbT8naSROL8+1M5V
DisFnUzqMM6Cv3k5VKNhNd0sAXmUKmCWLNgvY5TEV2ds04tAd/9uio6wE9ubAOQSYFT2KwkcL/jL
MUc1Fm1S1JTSxwB/vyA0PpM3ykeK09t7lGHYjBSAlrh8nbJpUWgZs0Mtse/t6RSHsfbYDFLhB1Jh
PsRNcyRTsTeeinAmhHM2LRXZl5+lpqLUZoWyTxxVittUSvCoDlH6TtV6E/wStkyvL93eNMInBqix
QBmJMF+OV5ij0zYCFnQT9NanTlLSd62siINRtnsRCzJsTej4akQ06zQq1snlTSQ3bgOh/z8oMgfn
tIvGR01OD2QIt28uI5GALtoAZDfrPCDVaRdOEfA5CEvVP7ODJ5dntbJxsYORpgCquFfDoPsU29iR
HhyDvblkzIVYRMaD68nLuQTHAZddA1RXYtp1bcZReYjH6ginvLdD/hpFXa2YHkRRPqkFO9Jo5feh
OqXnKpqms6l0PyRg9QcR095wuHcu1hhEhBt8bdIRmKPBgJD2VLVeMUhW4mKPEt7HZtdcGv6bA3W8
vRWk7UzEqwA32wAEzEZTggHO661WxOiakQXEBoUOhCTH4JMEM4CiZJ/86KvGObrH/hhKvoyaqDmB
i2L/LEn/Jr+DLdKRUOW3IZlasCEWEZTb4jWveD39kc+VSBVuURkkihZ0t3TspAc4IdikYTX6jXjO
/ImAb1q79pgnOTJoQX+wv7e8FSjf9Ko5sYSUi8HFy01mq6kx0GyAPgoW5GOYlul5qPvgMwpZ/QOO
5PMdEC8s0jMMa0Ruyy6K4JoX9o39mJVWdHCw/+zp9YwB6OEXkRRzG69+jiGDhorbHi43chGF25l5
UHtJqum3IR/s2u0io4h9rDXz6SwNZVX69oi+rBsrWmZ7wJr03LWD2rQ9oOL4modKG8Xvk6RuLK/t
E9zurHwGexVHNhX+sa1V+eATllO5/gLeZGIQrgRgo8sB+KuaFAk7KmPHzG8Oud9Jp4h07tCvgnFs
149qgHaUkyFDOFVDgcJvfaSUvHO+DOxbcX9YALKbjASLZ2dKIrW42X0tPQ1y354VIzMudTk5HjWh
IzHRneCWw6yh7UliQiV9fUNyuKQiDLEPEokjXydcID1haN/00SmFZ0zzjAlXVQLwQAqgfyeEkX+F
ZTe+ddZB6HLKFgko9FU272pZmNkfy6QrPsXfRa3n7xFXMJe2q3FXV3X+pM01KDB5zhY8lnF9/dXb
BCz0pxYCOoTvxYFg3Vzhw0yMaEbz6kgwjUpwY0/0jvpHWg/jOVcx0KV4ekTt/3N7vNhpyLEvAFoe
KAui6xqhPtrObCdy4lwdHVHLB001oUA1Q6qn97oxOl8RM7eREMu62DVrW7zvu0o23TzvkshPEY17
opYnS3eBM9E5nIM0/FSwed/JJqq7s97M90QP6lH+sdmf/GgkL5DyprKLpNtyXf91PChUj2NWSva1
F9G3BPvCi26F6blBSMJrG10cRK07wxEXm9CZAb9vGWNYTjbBYsd7RQt0/BhYTePRIcZdfgqlX7ao
P791I0B1BpxAUW2RhV1vBNsK5V7HXfhaaoVGQysNugetV79LWaC/z5FEvQMJ2h48qZtoCL8XXI1x
FKZyq1OzfDmlY16JntzIuYLlmq62LmxPn9CuHAakM1//vk1IwlCU6eBw0kykv7O63PquHMOgGdly
JiqRvo12YXingwH59/VxtssGVQES2kI1YkLXeoO9wWmiVmVdxZDZfqJn0tXqQE8Fcxyf20ooB9tk
c2mjfsayIddFT5ly6mpXtupgi1xt7KvRhfUHJy3bOwGg4i40qvKmjE7vSlZZvrNHlPQnLT8qn2/v
D0RgSHZQOqSuvQG3CD1z5LlVrGuuycETwiHZD9qWHaMahfGMbCaPsmOJ0H99lrcbh2ERe+OxIEDa
BOtd3eJJAMfiGlnSfEnBF3uI1zpnlOqTg42zs6DQfwnCKB7R+lhvnDAP0bTUeoljL38BoK1eh1i2
zpi9F35fjdnX179sZ7jFWgYxKODinPxVGIEWZl4uqvvXxKyH3IVM2PwY7DR+N5Y5Ng/D9GY8FOgI
eJksIm39paP78gxODfRMKgHO1R4K+5MkKtlNUBT9Duyc7o5S//f69+1smEXOdEn9udbYNy+H63CT
JFdVnGuwZHQDTO53U9opT5pkCbd2lO46y1p3fn3QTSS9fCMyGHR6Fi2AdagIDQV4ylw71zbXnfAS
4qNXuU6+wD5mUEbpFYlQ6dnICuVnmdftkQ/29u5heOAZi2bgcg2t1hSl324wTa7ymo8+T7aW3gV8
5EHVam8U/u+I//KOcxiXnfXX+2QnmtYFre1cRS30bwKF2lsZh2+uOxpsFho+BqAWlCPW5dQ8bMbQ
kaBmW3FBGV5q1FNXpUfR9M75fjHKasbsWtdD6vxI9k1OcxJOBXIy0GSXqsPRs74zbcCw2ZO8CazO
+sIOS7a9HqLXbLWz8JVuUq9aZwcHF9buKCwNYFeV+vea+zVGlTNIRPT0Z/P5qowpWPlwfrMrJotD
t8qijwOxggfh5RZQQkXJRY2UqJYUX+c2yC55rcSesMzhIGolA+X/9TKGI05fMBkoK3IvriEDai4G
dYwx5G4G23qyShF+71FHeVJmOUrcTksRsIqLWB/docyR8AMXomZfi95AsCHoOxMkZBQBm9aH+A65
GPw8dIqST5GUJf+laggHhCMNmnphkqWPsYk2nR8lnfyPXEZm50LVUD9arQVItKCsh29p0uuPkZ1n
k5vr1J/dlJAWi3AJ9xgLUHPsOW3cq+dMaYX6maA8l10Dhaf+hLi9RaCZ5XLilwIPSg9bYXpdk1Wa
7805LWRyHsnKTtKg87I5nWL/q9upXMFeCHlv0nrU39tTR27UhLMzu9Eg5ukdQa5xbzQ1eqT9aMs/
y9FJ/osizfoAgTwM/EHCzcA18dX5DS+0+JhlCBpeCm7/JxS4gtIfTAv8pdxJqeb1eAp9S6SifG76
Lne8wTBy28/6KhjwV7Wiz6kNs8Zvod+dtMAeurugG81H0Utjeyu7uM58qQm070kLB4NSvbZgdqJU
Og2dNoauicqndE6VWDzk49DE3pBK6XOMHFp8VyAqN7pWo9TOGdf1qPBsRxLgR2OkROC/jIjZdaoh
nnDPU4QfjK1aeXqWC/06N0iGoRaWfCtxHRD4e0ZQXKR47oRrNK1tumYa9ZIPo8zqvKTkD9eWjOoJ
SWwp9UUAFd03CdtkFsmUqEC0PMDvphoMFL2iSbu3cmusHyU1n5oPTajJv4tyVjQvFWh6uL0Qs3iv
Bml6ScwS75aQmpXkgnWp/6lY594b5jRIPNEUcEZ0eyw/zNY4WK6ROKK+k1RV/IfORRZda4ZkKVTI
NK4R24nz3kwqVX7qe5PSDIlJ88Bdi0AHSLgKNJaVWT+x3olSSFJ9nnwM4JWWB0ooe1cKiTKdY2At
9PBWD7cZC0WGXBbfpjYc7hWtCU6GWdQHCeLeTWzzrJDzEGhtcPoTt/CIBw4aOt0Q+7B7ZvrQXeLX
wXBkyLQ3FPkvhYdFEI9278vbCwNIVFrjDOX8WcJriswDkEScXsiCmgNFgJ2hCLGgylOp2anTy2pT
DkYipGuQtJqXiDo/V8IMH7S2d46QMzsRHbwDnBV4W/CFXV+UrWHiuQekGf8QvTuZk5yejNLIfkp5
mD0MeEbWBxHrzsbgKSPiQJx/6bCsQqwM4qta9kVwna1m9HPcPHzBMTuqv+0Os/Q4FreDrdBZC1Y4
w1qXeINIys9E53hOjdO9jZCKaw6q/o/R1+mdOeWan5thed+L6Rf4vswPZ7O4Gyq189q67O9ej/V2
AkyqsKj5ETvTUl+HQXRIsPuZQ/vamBU2D6ETgVMX8qm17PJZn0zjQjx2hBTZ2U8MCsJ5sRje8jwD
LqQ5A1Z87aiZ+gE6K+d+Dmlyd5J1cOy324mS7FLW50lehN5Xb/w020gwGpV6VcIw69woHIP4ay1D
BB6KqIl/lkNwpJ+x/Tq2Ez1mKt80D6lUvTyYYQGzdGx65RqPg+3XaIyeAhX0dlKI3n999babaoEu
Lcxqvm4rIhXYAD11fAeuZCvGjz4M2q+EykejAAJfRy98CgkIfy5TucFcVAhsT7agD5PovS1OeHib
Z1UOA9NrI2Q03GmsrP/SolV4FbM2sV1Zzy37rJVBlXj4K1hfVFpgoU/BLA78cQjhYSJmOfI2lVbp
ppraCD/qMJbHG7hUn2Io6SNO1yVREYLNenqWmsF479RYQF+yYmqfM2DOv5Ukzb8azhSqF4eKtnOV
Q/wdHjQuRt3LaeDyCDmj+q/Z1kZzxtNk+G4h1zjdVeg0WaeA6tmPAjumGK5v1sznVsuy86wMPR20
ujSs68K0rs6Kk0y2b/bIs9xLXcPzHiJ/pPuGnsWOJ0tDh3QIvjzBKSpH4LUKEdVzDtG2xLckF4mr
Arg3/NiWWtWtdaf+1DSQhHmebSAAyC1ailcGHQk5Qv2ahR57X0cuoUgZuJJjTqqrZ2Gq/Bjz0iwB
jjcZ5I5US34ZcR0HHi9n+k9IB0k/F7HjfJcqG96HExbZfaM4QX2piQ5KL9PNJjp3cNR/pbkSZOfO
GNuPSlp1CU4UcTm6BTy5zC21TnsY5nmY77XKicJHJ5Xs3gvAQH03htgk9ossBMFzJ53vI3kaMt9G
YKf1ernGTV7vgvLfFodgDBZLRBt9JQ5SCW6zVj3YTpb2HpI/k+4mY6j9nrM8f07bVrvH7aYcTmoW
jo1rWUko7pK0ke+wQZVbt3NycBNDIf2rmohR2kptPE+DI92lvZr96upGfK8L/DLgC3xEzajsgli/
ywLN+TSl2pScmpCY7rTcubB9zTwp3GhO+t8sunhMtG5W3mO7YJonW+277AN+ZNjK9hAya1+o0vS5
j0cYOnnW9xcpmWLtpAd5i5ZBFTtPCG9JAs72ENN3MOf2lNtqEl2LTgtKD4PP6jnLIBK7elwb7blx
Zjm9s8xA/12OlSN8Mi0JJFjU6KmfdTO8tzE1grOQw6rw1FbvYr9oupAtIEtjPbmDMjYfA6jvixt7
qYkHOSTYdtuiMSx/kAMtdTGAhKg9zlJ7Z/bZ7NxRzkdKc8SS90lIkc5pMIePcxk4j02py5+miH7g
XRW2WezmvZl9oW+VTaymHtYn0dp2eGksrXmGCgIZqoJh2f8M1XlQ/NwRCtF6OhniEsWA6fO4qVN3
bkUZeZFiV4NvV31+N8ZKVftc9erHVomM+Z0jjc2PujSdXxYOEdL9OPdyex9FISG5FMbl/RCZkX0K
22QAIjNqmeJCIGif6lTLoFdCvZYuk4TGGazEwPmCDd44fELgi6lUE3Y455On5KkkUGk/Ic8aNx9m
tWhCr8vIB2+sigoMfW6/BWjHGRe9mKvPVVmL+eB63jw+XJs0xznc4PBpZK9CNBPV7q5YRLbQxoL2
EMpJf7INKpuxKHTXITA+iGU2T89SrpEXKiV9KWobq1hmkCNcwVvoxGECab2VZO0ekczZC+ENHtRP
dr6NWjtlAGgGONWucRRWH0jwy/Aiy0OR34m0SE911rYXUcqVB9X/sAuyyaCXb6OyTwRPsAv47+Wz
Sq/SMNt4SG96G2eTL9Dhk3AV1rIPuZTM9W9VSbk1I00daHKk0fS+GHHo6aNJUdxpShCSMIrRuuus
xVH3jc8wPw3KIs/9YuYC6+blTwv0KO8jHdtXKbMbTIeU4EMTdN3H/2UU8KYsMGXstTqGo9WzZKY2
JYROrXwJTeR33GX9v6+PsreF/uBWKJLDh12XXvpOGF1VoOujG+X8EIjp38yaMG2OtTeb5S5fAg+L
9qlFkXHdQ9GTYW6QKUyRa4bq1Rfk0TAOJBcf7KPm5absvwzFx2AyBm5s0zVs6bzLSMICRijRaAu7
2vrhwAs6ZyjtfStL0/zCJ/fXKg6hSEmABQ6i0C1cePkBwEooAtF2wMbz5Q7pe8soyyrAj7W1xHjJ
i9h0XE3ITnWyqqAIXI1qqvWhxnHtt91WSuq3DjUh7P0CiKRZasO9biPTckNFMt7MvuPHUQGjq8rG
2grhI0niaI1hcrLCRLlVs6lfKJtIlxKTv4OTskk3lqGWQRZlaWBYq3lAf2OiqMBC4L4JAytXsndm
YabuMNCoc6OAWk3ZzEeNs73lB9ZDf3Cpam84YC2K4UguI52NV7JxggzLDTEI86IRAV5aaqdf0L2d
vXSILkp0ZN2yvSgRCMBlgNQPMNjmcrC0Ad+vCji2kIzyC75JkhsiZ+cGuZamLg4a8kG2vjfHYM5A
4NMkJK9dZuOvyjbeZXIgtaBQR8MIvvZRKHm4ZgRu2g75Y1cl8xJpVwcVzu21wVf+/0Epc74cFAol
backxuwdueKLgUbw/SAWvp84VEfeJD3sIayN8RhdqrabVxWkluhs+Fe3flQJv6lZPMlBWh8g/Jed
+KJg+2eUxZkQGXTUzpZl/WsWtaiDzRbwQZQx1Y+YXebnpjcKD4UTXXHLMTcvSTR8l5TGOb1+A+99
H4k9wSHt1y3bq4q45jFgTG94l6fvEiTun63Y+J9Gof7NsnDyeclffl/ep1Jg8Z7cesr3sK3qjhvf
ye5e/5a9vbhgkAH4ANrdVN3sHPcYeOnABEXsjYgknFSl009ZXKPoMzfmqS/fzLpl4RbEGfykRTp2
TUm3ShBFIB8h5+XDcG5jrNuqpo58uhr11Zqt2O/1ZDrY/ntrxsVFM5tKKe/Z6l4rqvKPUQpSAmMT
fO3UVP9ASfhIF3fvkCECCked94qm4GrNekWL5xox3Fs2itwDQqV4CPeIj51eHonQ7m1/Qlcgnoua
IFf1y+1BPYHuOdYeNxLrPnaHrsKAr04hPCDNFLgtXpUgosvsnGpx+P1/2DR/gC5EVbzZq7HLmOZf
0wG8xtDV8pqqtejK6+Mps1qi2jFOJY9UWH5+fdSdyYXxAK4JkAVdmnXsnOcRKl0D97RUxfZDJiG+
ICwpeUaU/wgGsDcUyAoWEItMFnMVyiIY0hKKMrnzrKdeP+H+omh54XfYpB2E6Tsbkx2JsKG9PO4b
oIpmB40+ZhivqYXyFFNhvK+Razoobu5+z4KcXcQaaf6vFsxooRpzElExaqIAV+QgdPHsiD633Xh0
Le8Nhf8xm5KmKsKJq6GCFD+iFPLaLWjV5HEaM+NDkM/D6LbpOMQH6dTO5HGXcEOC8YECsIb4oUOg
OeGAkrlqprI3aFF81pT6iBy480mc5UV3klONr8Dq7pjMdC7poya3MpOe06bI/VHK1Ssa48NBBrET
ByEDBc6GNQIiu7kaBUhKMU3hTaRq/ytE+2fmJasV+voqeF0XzTBHfKgKy/pHmwq5vkcgNzkCBu9N
KswUugmLtfFG3ELpNQF1ughxmDcncJtReNal8oj3uDMKVJQFWERoq2wy4XYuR3JzuiMJCgX3zjBG
hmcllX0U9+yOQ0kU3SBncaJYLR6IjLE10baDLR0rmDVn4VMGI/Dgedm5jQE8YnlFV8Rculgvb2PF
Tk11yCXpqnZ54dGjdTCNV2bqX0J9Z1eJ6kU4FrwPQY4dhEE7m5N73vzDuAGKsU4HVSOS+xjp7Fsc
BkjVGVJwQvff9rtwjg7i1p2ppLzMe4P4CL7Ba9hJqPWDSlqAITPCBe/rwVJ+Qo5LDkbZiUiIR/iJ
DPWHnP1yKudYxJ3UBeGttHErPSkiVH8bqemg9jNmtX2GsFKN1zKkOvP2W/L/sbHoDAKRWmPPsqKv
S1sFpdEOVP6cKK39eJorfyyk6Prmt4xb2CZsRVcW/NAqUBiUJs7AsWFSUMWY6VLxKMAohvEZ9yz1
f/gsUo2lDQnsa9MbSPsUIf3AClEzDDt8e7LIvJvgoNJWjovhSBR6bz/SpqIABAYZ0vuyif4Ky4fa
cGopbuJbKkgbLfSZ/EEEhm/H0lFrbG8/LmU0sHoWtZB1tGWrSmtn6kz1rgjCR0ql00XShv9eX6kt
rNqkU0xPGkrSoqW0ftBKpzYGk3rAjXpOdUq0tP6AYlTuFfWgncakFT5xOh63iWSegngwUOac3gyE
4TcswgjI5SG/o65boFFsdYkcUPMZ5FxcM00oF21Aq1+EzXSwW/YmldO9SB0qPACbnSnFjpwUiKmm
WdTe2WMyXcbUjg9YpbuzCg8Z9BjdP9RbVukoqQE9YxgEN7lSVD8qVetczvnsWtDgvU7uMn9AUMwr
EaFx66nLP4hAfzN5aZlV2CCA7ZFt20Ah42nqs1CuYqi0ZXmOKdkCuCwHF9BLdjCre6eCyiN3J3x4
gNer8x7hsV51TR3eAK5iRtdNlluPY/08NYfNwN2hYHkDmaNqt8mLhaVFugHH/AbpPjmpqKL52hjD
g461N8NWUVcBZMnhoNwJN2UVJi/iYpqTKTkc+67+BHDG+oowCWIJjhmZB6HRMkOrdH9JhRkO1AE6
GqsXVuJ0W3qBpIuUtf1ZluXOnRcKtlon0kUuKvvX6+d+ZxoZj+H+YNA2x16WuiRUZTRzumrOI8SH
1fZBo9D3HrhWcLA7dp48xGOWoRbg+Iag2+vVAGdhoTwCLEh8g1jPRyHBKRBOSHP+gZ4mFwRurU+v
f+NO1AI/hReBWgbE1XXFXjZKrUI8ljRHLedTrVYx95ucPWl9I6NxmzQ02Tr5qcjy4e1RC60X5Csh
rCx5wuo8jHkucUoMJBDaYfSNMIp8nDez05gfuk/vXTXsUUw2F3FG6lKrq6YxJ5S8Mjzr6VbrwrVi
czxVqjKek8I0Ye9rqjh3ZmndVAnglV+OojPvhaN1394820toSJOEFtD2uaokIw4zVcI8I+jqx0hK
G49uAX3rNPidqnhFy/gi+eMIy+z1gXeudAY2IcYsuuebrVymszZVJvW4KFedR6ji+mNbJfHp9VF2
DgxpLDc6Gk88Hfayyf96+IswE7xR9JtUSiyfFbkbzmo4LVoahxqyux/011CruwAn2t4aaaXe2rEy
fUeZM9+Su6OexM7pWHyvdTKyRWH1D6fwrw8C4RpVzVKmTYch/wltN/yiQt+5VMQcVz0p4gQGoVHQ
gza74svrk7lz270Ye3U+VG3qa5mi6U1P8+KELJdFIYnUndtDcWPm9mCLbLn0C1+fwj9l/yW0X1cb
S5E0UyMhKgXwM4wARITZNWlT+xttETwmhw45K7cBJOXLUxDy5U6mPRhhOT+iGpgfAVr29tIiWUAz
EYlnhFJe7qVEn1l9DB9vPP1o9Vt0iB9NcBmVq2tD9/ntcw3FHY67ZgCz+nN//LXOtJhGzQGiga5Q
9VxQLTtHCbrVkBxjP1PGN2OrmGmUSpZ3hat+U4l0UDACnTpRi4md6hbpeuMlli75UWgaB12tvR1M
RkrUSIJtbczb1UgEQ6Th1azVIEWAiwbRh0Eq0UyPOuA7gxXSdK1jMxh9sFnp2/cw0cfSzuNa2MY8
lM+n0UBO8CbHswnsSPyWJ6RuDLXqPiRWkh1s4Z09gyALZkG8odxB6ydFGTR7ykAe3/q6b9+jGqX/
J8JB/Kh6qTu6UXfHWpiltCrNLSjPNuhfdyZCOq1ljA9FYBpXBfDetTOgV76+O/eGgutBQG5Qftq8
lEVAu05TuFajto/ezdIwn80w7z8nklAvrw+1c60S43Jzw2OhF7sO59JiMOUyoEqYjUbyfgQYfAd4
5X9YJ8JSZk6FObWzTgHlY2HLS5dcRD+mphVeC/jose8a7eCD1J0DACSB55Z0BkrM+mhLSMglASoP
t8GeLQnwcmXVp3LgKjmPwIViT6vzpPPgmoEZUwvL/BUUOgK/Sa3Jz+2M7TepSTmBcDWU9HOTj/wn
UTuYmKNIfYOObxby960xGdA5BwJhK89tRK06tMNOozolvedEjhT7eFmx4cMy137jlj4kZ9kIMCCI
WxsU0uuruLNhaNkvsT8kKMyjV3cnyLTOGXOIDMioihOMrunkIDj5FDXD+9dH2ptd7EgBUKKkQSK1
/Pu/Lk7JToOmRi0e/RUVZWMQrBd7NNMLHg0lDoB57mldOOL0iMHi6yPvPI8Aq1lUKvQLB3L1jZ3V
1kGuljjW9Ul+SpgPV6TpcEnasHXzQu4PvnTnZIAJBiCk8yJtu0egcyZMm0CNd6YensoymL+DrHcO
wvG9lfvDF19awzsNDjWKZvCY8S2Y4eclvTp8lAaEyRDePYr894YCE4N/EZhb8vz10lEnNMJQpqBQ
m6Uv4rA+wxHJ3BSy/sFaLXHfKnGDhLt0MOFZ8Zgvc/v3Lpkg3ctqgDuLnkjDxWw18V2VELHynDKI
z/mY5B+gmVbh/3AOFvQTemAEcBs0jhgUaw4Tm3EjQI7wpcYfeTC+6wJLfHx9N+5OJq8OCn5EEJs6
Al0BIMSGEd8sKUxQmgt1D7VR3ZuU8ijI3tv4yxaklk3FYvPItcOfxvoUo/0z5Z4JV/ZnFmSyZzjh
9GAJCiivf9ofU6T16mGdQGAEn5rtsjppeImZ4FRRALKGyPhO00H9JkABf5BB6H4zqjz6PGYCc57Y
qqMeJfZA/a8E7fXJhlgje3JnSZNHvIMDrNWL4ooWQTe5doMb44C9bnvuEqv/2RuNXQGoESM0p9EQ
uV+rpXGvz4V+ZNO402GhdsCHoGfEX9blSd6KXkcxJrkVnd3TUJfyfyvy3l+lldS9p8+6Tf2nVkd/
Bv78RRvsZj54lPbuEmSAlrLTwhxdn4fGsEerFhbM/tkov2kmPeIyDceDtuLeqaN/CWqKlVsUoF+e
OkhCbY/L4OLxOxWALuPmMsb5F8cZxR3A59pzMOO+e32z7J0Diq4Lsp4O1ibRnsk8m0Cn9ddb0i8o
R8pjlSbRnZq13UHBZO8Y2AufmBCM4tM6P5hDChQEXOD5Zll6tiVd+ak1WRqiazaXD0NTHGmN7T11
DgDCP9ABGIKr6Ywc7FBMY/GDj+rqiSMxeU6M11Ql2borV0P7VWuk6ZRl7N3XJ3W7kBrFLIiWkCR2
YJyNBrWnLLmpW2fITvh7DwDA7fFkY1zsjR1uqSI3ooPds/1cBiWPhw6Jktum1T4LIpgkwRFWCtri
TpX0X4OZ6l42hypGR5nx1ASl4asYqx7UhXZweIzMyVzEqulZrE+HPRlaHQ84tuhllX4HypMZ7hDP
MyxEbAVOUJLhOyd1ivhA60gD947hfA2apnwn8HRS3YYQVvWaPouOrt6tQA99L6gVC3dE2wGRon+u
qiSF5DNGYn0FJVjQRUdGPfANpS9+YzBWGjAlpOSpmdriVx7OBER6q2o/UuAfs0vnMM8OHrntZcJv
Qt8Gsi9ZJRW1l8dcKcdSyjqCaTnv2jutR97UrOEkvr4HtwebsgLYAeQJ9sQZrSIBVFUSbjlBbtx6
KbUjr8piSXU73cmPTHv2Nh8pHBhiihGL6tbLb+qUPLY7iSs6jWLpPs8M2XXkbDyRTMqXXNamcxeW
+r2OvM9BqLL7nSRTII0QLt14E0GhgfnY0egH7Qi1oQcDVQueMUlBc+n1Kd37yEVPG3YQeORNvUVo
TZLDpCTWC6P8GkFmib0icCTdtzOpwA1uCuyvImiq+2RGsvVg22zvT1ovhCuo+i1Iz3X8HCahmeis
4E1oU+NNWZx+sEIrcudySC66mkYHb561d4vRVaW6jTjKoszzck0B006xKBcH9F5LHmO1HUo4wFXR
QhqpkX/HljGvWVxYIt5c2pBTMzqWP63UaeyTZXdjeYVuMtUfEXeD/TJrNuzZaIiHd702t/a3Ph6k
9kTNLMkfZ0stuRU78Js++Z0h3dVmOgYXfK3j1G2CSXH8SMf+7jwKp9FOeQ8qHynXoGhcShWdBkGi
F4+D2SctVlyBieqXqgT3edpDmyjt2fxGN9oOXTkSxUL9KfXHoOoi2QPJ31eQ+tvyY2bFqIoOo6SV
J/SX8vhUz3A9XCurqZmFvIs4WuhZv8BbNXTGehp/Eh8dlxCIgMPhaNZN2ohuk9n/MuAJqP5gjBYd
zrrPOOSxPVle0cxYyapGW/8fZ+ex5LaxheEnQhVy2AIgOZwgjUbJ1gY1siTk3I309PeDVhoSRZSu
7Z1tNQF090l/gBnYK9UYLmovYJhMQ277zWINelj0ke0edZkmml80ajlxfhOzuVeycpJHiRh+e0ce
Z3wuq0aVTyXUlSZsp0F9Vpnwp76M7CEJFzFqxsvtI7B12lbVzlXrjCHu5Z6QaDsQuRi3z1lshLR1
cCUkPTy1oxA7QXRzqdW2hPsEyaPL/S4YVrepXTBu95byyAXWBeitRA89zvS3H2rrZK0L4QjIePMq
77Igry9lOjDXROTB8GVnZy8UIfZJTK74brXqHlRtKwLQKmY0tsoBXyVdwlkGMEMttOnSqSxfieIW
R0eFo7RzY209GQxGesQrI/RKL0q1pc0YAdf2Rc26YGQcG0qtFT4duYHkft4TEtv6ZoymAGzS/yXs
XlwZU2SiI+7iomOoS3PCTqkN63zoXySzzcPtj7a5FGJYVFVYRlyJgMQEmkGtkuzeVuXwECMPfq81
Rn+YZ9v8P3YiCTL5vwGzVrs0U6hm8OtFNvEWq8o8KH1u+m2cdIfEhH/090+1NoEYTdpr9X2hFC1s
ezKSBiHluZyQ4VPGKbtDRiyKqL8QOr+92MYFD4EX9TnaI78FqS4ueFObEZxYPQUNNw+MxXOlD1dE
+ig0NCeBgPQ7Svw9XMR1Ncc4DbitAWOBgs5Y//0fvYWmqFEcVUkVyslMvzOxaQ+5qbWu31kT1to0
9iNGFTZ4Ytisnv05VqS3mxdec2+BK/G/IyBMQx/pxrc/wlE7rmRCyz1QaoduTdUq7xRvRIW0Sdri
ER0Wt3yJ4Qd36N4DmwxwuGk+l6paEnpT9Fp2PsXGQQWuuPonrb1P5rtvf8+klfpgpzUC2lONEB7i
i36X1bpvJV1+sEW0R67amB2tjglw1NlktCXUixfgtSNgKodsItEz3RezN921cnH9rEmcMLfa/M52
6uZoxkt8yJclow8ro/vFxS3x9ibcuAt1EkdwrqSN/HPxQ7TBUtPSpUrLikLeOZGVfvBKMzreXmXz
eemwMldhoozQ4MXB6pgEIoqMd0jmrlAEt/SOeDqbmJ+jkNIPbnV2vAYxAEqEoLOQFol7MC4mveed
tGrj3gKbRMeJ4QA/5fJ5kbKrawfhh/tpnuIQpT8uEytfAgy29xpBW5sKcj6Sc/TsSeAuN1WDoZne
8Gpz7F39EmBEMPPd32UkGT/s2Bl24ujGfYJjkbXOIz0d7aSLk11q9SKUNs3ui1rqSmB6jyXy04Uf
qbHxY6jU/qUc3GZn/2x+WSAr7CGmIOvM9+3RKfs0SksA8/dm1BqDr9a9a8Ha1bsf5IjNe7gQ2ec6
ldadlcyPI8r4lHqVfu6Tfk/mf/P5VyEiaEnc4Pbl+9Ztnndp+LRWr8ATTorhgemWfLZlKk8U490X
ug7TXnjaWBbJB9iwxFzYGZftsVgIOnR0VM9aNWFIWC9uogUGKqbHDipAFcDKRz6ob1zkG2+fqo2V
kVFjWrj2xvizLlAajRP39iBy72xawjnqTVWdvdGZTooJ3ThD6wdzmWpPl2vjwgAyu9qurJzDq26g
gUKLk1QsmuLjcAQjUxzsgR7H7UfbOKa4fTGSoTtB7/GSFwr1yWVOiHJ0BnQ1VNosDjvTOPbQwXc2
8Mbz4NJHG5oLl+bYZc4UL0sCVJFbvwF14U9Gpz+LONN3VtlA1CAJzNOsYEQWuqzQsWC1BKYq9rnF
rGwMRtEqL5nm9qSFY5wq/iIb23xS4WStePymRXg26ev4saWxk/197san4xr2EL5g017sG7RlIydS
RXwfUSweaxQYPo+5Y/mJs+xJC24898ofApVMlFuznbWo/yPdILUvwLyB8rYrzFUrL1pmgrmmfe/1
cmmDTPNacWiaJfqYrjoXQZX1w3tPdMaP2xtq+4eQEhN14S1ezTXddkgGSRi6R28iwkyqTgNcb43U
p1EWwbnutWOfNHOgp/oclumk+3pk2j9v/4rrbc3bQHXkN8f82mRtbmurwfpXOUu1Qd+Z34NQlGsj
OmyVOydo84HZaNwQpBlsOf3tm2/q0kyG2FLO+WpUFhhxmxl+Whu4whagJ+6QSNDFqU5UJfOdaLCS
Y2nF3T0ayDCxbz/2RpAA7Mjz0hiFdoIm6tvfwnJeLiwrZnbWJ8C268b+mKHz9q6Mm+G/TDFSHJwW
82Uuuvksa2SuD5iDmoZfLQkaXbd/zXUG/PbHXL4YTSUeLzBG9EqtXhLLQdFr1Gbnsc2aMShmzUWi
CXKy58bPDbpgf38VkO8BbOUEop+IHNTbl9H2jSEHlO/uUfRGTcKkjPmNjP6OeQP5bZE33rt5qKMj
Wn6rwJ3i3fMulGrnFri++FaoOSkfhHVn9Vp7+zMyk80Y2zK+zy1H3JWWPSvBUqS93FnnOg3iz6ZX
seIWGa1cfvtaOF6ijBpsEnOCJuxk4DKtWh4Xy058RNGUD7c/79YZW/1EaC17JlH5Ig1KEBVaTG/i
disbJeynZjp1yyB9ZFO8Hd7F1lIr4xvwDI+HOOzbV1i5Q1y5I3dKZimpHzPUC2N3QaCvQmhkp0TZ
XAtMJkjB1b/ltxjjHxepk1lVWVV5fC+ypIeKBijS6tUJbJm1N27bXGqlB7iU3QxR1p3zx1JVDoBg
Smz0bgs1+YAwjvm5tMfhHWZf3j+3P9bWJlzx0M6K17Fpx79dqo8UzO3tDPaWOYwHs4mUo5MX5U75
4W4ts7JjgJKSTND4ebuMUcZWHY1zdPZSOaVHJzVV8TQjoxE/C0uTX9MuL7SgdBamz0PTitcU5k52
QnyqyoOk9morIEDMKRg+L/tUzlOfHeOBXrHfiln9MXWETr+JprpH6KhLc3xfRGGeOjKLJRyWmc5l
n9jxr9TMusYnFuFCkxjplAV1VzhDKHoF9vziWGkS6HSUflVIg1D/WNb0jD3RFPm0wYrpfRvVbGcV
PUwRjJ5eURhnnePcxa7amsGQJHZFSC2MI+zZskUMUNpdOIhp8g40NvIBLwawRE+qvrifMy2fykds
fAVC1ShiHmYzw2axxyPrrnCqEnyI0yTZ3ZLbxje7wAzAjyoZR4d8Gsrl5BSj0h80UaPY2ahN4T6S
7s93cYxWp7/q2LwzlBpM9Dwq8kvnFmV0Toyu+0EN7yUHRW3yJ70VLYpRY4kIEER7IQ8CDDkaVlGK
OmSHCEvt92off6QqhEmaxHjO+r2O1ZtfVdqMEFbf0RxMFbN+pfefZjuBYuMcgAZah6aqZlFUXeQu
Uco4WEfL55yZY/FAXMfNt4iBfCx0m5Od83093aDgX41hCNUQaL31x/xx6KKuq4246tJ7z47TA/OE
yUcvfAnLRRUHNFHCqixQX3SSvYWvqwiQM7RZ1oahBYHyIg5IvZZG57jJvanm+ZcM54WvozZm6LDr
rjjjKkwsFk1s7zzvRhTGjc2iE7XqsUPVefu8rpFEss1NWtlJ3b93eSl3qM6/H013ecg88z/Gmsqp
mwYa8bVsdy7ujZkpPUt66BCDgBWgZPR2dc9aNLMUMr1HRrTy0AobmhO+TDTfpICD2HfmUN+jp6n3
PtTi8hs4I/ksDY9iErnW3J+0zjiliRzvbt+HG1uOdsw6aHKJX1cAaqeMyyXtVFBTNS6ahE7qx0xO
4cRQbGd3b313XA25dKkCCCsXGy5FSk5fsi5BUyC1oZQuMii88qdqxLWfSc87MDPem8xvPR5XsKnB
SFnhTRcBM8nmshhdiIpowuhHLhDtHCGw9pgp2p7g99ZSSEFQRFKdr2o8b79wLoCfkWCxrTXGrRaz
n3DotAFL7Go+3f5oGxkO9TCT5FV6YrV+ebtUNHou4BSTIJbNkeHXhRc/jrIeBGP3TJxSqGHqzunZ
WJJx5DqPXH0p6Yq/XTLGpQXHPTfGZaxJDngMWJ+YP8VHL0HgLbcmZefAbGyWdcjLhAZC1nX/rs6M
kQ4GEtmppxOi5fSx6or6G7hsO1i4Jn1rnOf/42YCnMybXclS0EwvbqYCOLhjTx61Y9rKoBt0+70y
VxTPU18E6C6LYGqavzZv5CtqNg151ChQircvFrWRY3QHm5xusmpEH2P6rk4QcSCc/+MTrtkIOSo1
KTC4t59Qi/sa1bpFORuYUvtMbZLAyGo3XDXxTnVaKIfbu3QjB6LzD6VnRRLT7L5YL8qjMnPEpJy7
vGu+OW4lAze39jbK+qe8Bb+tTGTGC4wM6YpdHjslHZbMyV3lXPSVfhpnWQX1UrlBX3fW3x87xqDw
c1CC4CpxL074PM2eLDyWMvW4fhoVCB+l4f2TZa17wNtzT4du68j9sdwloTQDw2wzH6Z2T7zUTxJL
O81GJUIrKfQD6LS9mcTWmwSMRnC0mHA4l4ohwkj62Ykm7zyby+gjMVPfo/RqBnJQxA5Wd2uplX0M
2XnVwb9sTs0NNA4NEc9zP+frs9TNndlMvEUJm/z2Lvw9rbvYIOyQFYDGEPu6D9N3nK3cSfCEq/Tq
zkZqXAIqyMazy/D+aVIj8rox77z8gI119qMzZTf6I61ngEpy5kSaxuwud6IyUPMuKJ7tj2rqLeIT
SsemOJj4yKgB0vRRG5b1olrPmKbpJ7fKra+ZKeoxsMDmPCRFZX906sX6irIrubttL4XxjqacEx0J
8/WPpjBKBEIHVzxF1ELxd5fEc/bhfeDslU4Ay4JJ15I0dMCwq/6oRK7nNyYQeR+Zf+F+75dBqAdY
rPG3FLOS2S+sUTXPblepYxCl6vBPrmejPCGxZn2hH0eQokJBJd9IkKExFS3O/cHpZ7AHs5P9Kmmd
Mx67/TE2ck7aEPy91q8EknVf/JFzLrad2WmDBnai5/ZDMeZROGsora9TMIoPimYFkMjPAorvztnd
2HE0XWEOQbBHxOzymug1EigVJ178MKz6OPJfhEXS0++Zrenl9kNuNcJWrAQpLqqgrLfGtj+eUjSK
AGdmKGcF8767mdoWipiSz+TX7EClmBWf4DUGXWKb783KeEVVrf1w+0dcPy9mLuDTGU+YTJ4uhwQl
TojSqoAklqLxAhsYbxB1zvLJEPmyE6qv73lQ42tqwAibUvfy1ZalWTmxzTx+ZPp1R3ar3BV5K3/d
fqCtVVxk/1yW2OiyWAsYnqYifcfUUXus59E8o8ir72G+tOtbF+krNN+YZ9krQPYi0RFTi8odOCvQ
eq78oDE1e82HabEDhC+LIQBiTQsdZQzxnmpWfMZdYDnNKbTYdNHsV8ir6X/Z2HmAldXk04yNwN3I
dv58+2X8hga/vdRoszJyQjeU5Paqv0m7ptDdakzukfzu72t6NbOvyqT8NShufEdZgTSqDjXwca7i
gbq3XD6VSz4emkxxQmtw1OPgSPv9kNjL+fZP29h4TGuQ5mBcw4zDugiSiVzSCV8YpOfdfjjhMNjd
WRH2NpWtFeHfLwVrAMivTr2MatLbc+YqLmOwAlkVoUg1VAuJ50LVRofCyHdFjDa2H3B0mBiEEbCc
l7POirQARBz5aAzp+3WghVr6NW3G/BQZcny1UYxtAknxGvutFcn3YHyGwQfSJF5t2hriUcRIX0xm
P5hAwuj2hNPi6d8bIF64L7uQZXwE1ZbpmMSqoLWn1G3ut4PRf8K9Mf3qduWY+Aaz7LtZn7IizOJI
W1sv9fTNswDjhqol5XOzYrFDw16Qoe8VDX2zspxQwNRiq7EgT6nGq2AGQ/u3qK3OH4ghv6axTlxf
YEVgM5CYszbQ8Q6J6EbX6cc2Wbw9kNLGDlkhlVTYdKMZCa3//o/rUWHilfcJuiqlmw6BPi3VQQe2
/WEy6j180rrZLo7JijTAR4KJA9YgF5tReoVlRB7l31Jl3zRpJKdFsUTglkYX6m6vPnuwIULc6FU/
rcS8sz+vaxj4gDQcGPchxsMA8+2DasAqXFnQGO6MXA3LzhMhNOQ2iD0PY2F4IcAa2z1pnq1HNsjw
V/dWZLcuD0U8OmWuIHV+P6mZe+iYv5yF3a/jeTlGL1UUzSBvojI6JU1NX6GVHRDh2+dy6w5dSUtr
nsy8gR7o2wdHKmecvUiPUPAWOfvOK8ozY6DI+zXjdaH959Fokv7A4OMsQE2md5g7ERQXxujKoatM
/XnMM/eLvlTWL3OsR8S8nIHm/TIqe/CMrdfFMALoPr2hjb5MawJVc7roXNqL2wIPATSH4HZKDtjQ
vLJ9kaa6A3dnmbq7xo4T9bOW9qa788o2rhew1OxUMEHgqtWLlKFKVSqjvCM9Mbw5GHW7eDYr0fw1
JYMCie0IY2Blql5WZCLPnR7teeU8N6k6hpbiJS9TjB5dUM91px/RCm8+3d4LG+GUze9AToJMc90V
iQtyzLwX0dnIcf0MO6WxT305zN4BMJL30WW4//n2ihvXCwgY9v8KMYIWdbH5ei0Cet7H0bnjQmxJ
qg/CoF8wFXm50zv73Y+9uF7I5VEUQ0RvHTZdBCArb6M8nYVyHidbeTITr3B8itFFDdJmmr6z4RZM
EABcgUBuqnI+55mWfh/p3VShUjXdK34DRuvDtvN+RjZKkL6p2NqTlY/WM44q0+j3WptpwaKpE5LK
paL2x25QKut+1hu6Zk5PB/2n1qPnEujxOJEDRE3s4cwwdS9yTPEy1ecpAtuX681nK+1pqlIkJSX2
M5SSh2FoByAIkRTfGbcglaRPivlp0BaGS13jVc8Kk9KzRz+LgkUopvdCVqI+YF6maaE5mHb9xPU9
iQ9MqkBZuzIrlzDSCnDfg9kuH0xSbiVwKy+HhltWSneX5hWa/G7Vakmo6J2JvRquiicPOmrxgdQf
QI9ez2hFdK43WQF+B44IUqmrEvfrRr5vVdGVdE8dhqdJoX6WcEk+SmSdOl9JlOEpLdomRnSGKzlY
JiCcdem5Hw2Dggrg9uC8MwC8fXG1vnYBziAfGaa105rHhKkpOPclm5awWpap9ctuYNiFuWXcBYL3
MvhLjCOT31ZR4oZuYrvcR2VUyBADn0yGsCHUAkGWxYNgMtUFvBM9VlTfyZvqX5gS+DIh1p19ub3Z
r0MMnp9Q3F2Yboh8XtbsQycsl9mfdVZpJh+Eoqf/FOjJH9VyQKt4sqYjVgt7eddGgbM6jbLrqePg
FF/GmERQzFhWZ59n1MVQSTJbE50rs54tZpIA/H3b6OKfRWfgdUZ30uWT6Ek3Fw8QlvJ+5xVcn/e3
P2a9Wv9IJ5Ah4uMoDuz+vIzDCjvCQ223+mFSdx31Nt42jorQtelrMWK+JFo6dsnBGnXzrHFzBsD7
1Xtp1UmJe+XiHRcOypMwUBe7/Y03HhDwLEkMl8w6MFmv2D8eEGaeSGU5GOeBa/MU2WobIm0AN2Pc
04zdWInCHKgAf/GUl8LiqbDxVcgw3ZEA1MNWWNmLUBP1oZVW8s/th7qKC79V9QDqWCuMjfhw8VCj
kjaDHnvnRldeFl7rvTb2n7w+RUNwMeK9oLC1nM5gjYDAE16NfbXKrIElZVic4rdzWBJhBiQTWuBl
kRGY5bJnv3n1JtfJ2lqZkHcC+7yUD8f1JLEidQGjFznl52gQEfgqBYvTplqUPfmJqxxmXYyGHZII
RKOrRisGgbFVICt4tvI0je4qcERWUFR6eWh1u5fBMrf47Q04jcTckknxvpdLtSMWt/WCyfd+syAt
Au/F91x0xhHYmjpnl7H1UzybTnEagNS25PZF9dBwhe5kFr+1fd5EXx6bdMbAFYSK86okM7m9S4A9
3jnJXbu/a7W+WEKDGRrEYLgYA6Aq/E8qLbXgwHmyMkJNDNGPvhr1s3Ak5OXEzePPTZqM4BuaPu+h
1hdir+d1ldrxM2nAMNYFBkyv/+L4Ku5C+FEwgm2BMX7S8QP46QzGX+vfrqsgfQhVDOgnWffb8+Tp
sNVQzMbvtWqnb00522CsZmb8MQpJn2+f3a0nWmliQPpoP1wdptrwxmhhnnFG7WQ6kBPLh7RJ9fD2
KltHCKETD1LRKjN0eYTI7sqSYoVdnY15kOPrc6K/2viRR0/19lJbB4iiHlwI3Bwi6UUeZ489joug
9M+9Vqmx71iD8U9D3P4gZRl9LUAlJFg3xR2pazSB4LMZm8w7FcDWAQKoh/LYSuPnod9+QA2DLky/
Zvc8gw9c7UBpG0AG64eMRm6lqGfMSPeee+ND0krj1FISmKuXxNs1Z+wySM11+0xJ44ZVVbZ3BpLT
59tv9zfk8uKgUmGRp3A5cSFejtXMTnOVTMUeL4ZF1vRhvfRjdyC/yD6WCAqIQ0Yh64Za3/YCGywb
CU/8w4ruGQVTIDRLatVtgJa5Yn3rMHl6lhGS5j4Q8TgOVG0R8zsPWZzkXeQk9T+itoTysEiEsYLZ
c+Ifg2mW5NhKtRyR2/X6QLWwOjMjBcMwieMOxl29ZhTnZqyjL6Jysh+uzPOPuGAbboiyz+ze6Sae
R8HYtcM31ZnBmEzmOP43CrPeg/BvbPpVABnoxyroQM/g7RdRx8F18hETNsftupOmxv2xGgzlWIu8
Ot7+LFfJDP0QRnNEeVQNCYwXS1XFnHS2ggn3TK4dAAbx/N5MshDmy3Ky9JKSCRmxw+1FrxuX66p0
LJl1Mo+/QmHQws0bC9nEMxI9ypG6vKIcYH7zsdY07T4llYyDipne0zS01vulz8snhYbGe2Hn2dke
PIgywtTtbx5yvMlOPbdxHCzeOno10Pj5dRfXAIHLWrKGXoCu2PV/kWItH+Z4av+f9045ARFHpyC+
TJ4zo3dE2rreWanRqMsQCKqDqEjM7tGB0CDPmdLX/7VZjqD47Xe/ccuRiqwBgoJgJU+/3VudXnRN
lw3RGWAyox5PeOEyeVEw21l1GLNavRdT4R2EFk8vGPX+NQqWL0/7geSSDW5e7Td8eecczxaP5NKS
50Z4aaBkRXlXdLJBzUorHjuvlIdejvqxKSx9Z0qx9fQA8pjHeKRksD7fPv2s2VmhtSkZoOt2X1Y5
h/eWUau8ege1Pq2vwlYrep8CcgwmR91FR2/c75hoEs5WURh+wXry/8jied7ZjaoiOpsrexe5vL56
ztwi00IhF/15WnSlokLs2p/ZMiZsvNz5t7US8wFEx6ghmrwY051gkPktikySlMpM4+cJdnSzs022
riAPzvnK6/8tCvT2h85djsH1QOpapV37bdIzB7BANlOHj0Y87gT5jSMH1g1yO1PHtYa9OHJOPE1K
F1MG6KBamZQK65c9qfLf2zt/491TPwEQAKZLs+by3VeJVqiKUhOA8sW+Q3lL+5zMQhzVyFTUQLR/
zXGDvcw8bEV0oLh7lf3nhuiasUu885hX0alHSDw7OKXsyp3K8FrugoXAmBo64C1GE78tR//YVIuO
FEeUkbhUmsCPqdBm26UHIY1vuGMo9UcvmofvvW4ijksgEK96kZp4g3kmvWenSpv7zGnS4e830Jsf
pb/dQHiUOrh2ti7Gn918RCs++qBjsXxo1WjZSdyuOxHrCwCtQCQDDUVy8Xat1qicrm5U9zyZkTyN
CbinFAay79Rec1dy2wQQLQyfI5PisjrRpJJVke9s4o0Tw8Vm0uVfuyIEtrc/osnaJVeangyfcPtk
2gp8tK6O7lHt3fPl2VpqZZsxoUSH+CrNr+TSzVbJzqpNEf/qxSAPWJWLL45df7p9ZjZOJhsXrP7K
kufGvkgPNItOWgp27txbvXkoo7h+WfrE2dGS2TiZrLECIsEuX7eHF5fBpdWR9SJFtXxRE5HdjbiF
PKe86jjIPWl/v/1YG2FgpSCtYgaEQlrSb7+VyErhxGrlnusemLLvjG36rZicbPon0UogV2btJa9L
V8iXqYCHHAxoqO4dkK1duzJ/8YpD7QBdvosfgWiz07fV6JxR/hy/MZuLTl3XYEnnDkaV+RElQOJD
5qsWBhJd9wBGYLmfXUy0ds7PFR6DQmNtLRGP1ynV5fU7LxHaV1K1zl5C+zOWruFr1pgfMg2V47Ip
xIdZLkpgISW0E45/x9uLogC2BGd21TdBIfDi0DiYuTlj3Npn12mc5WBOvXls8Xt1fX3QjeERkcum
8w34pXe1Z0SfEuFEnzLPWd7NfR7tHeGNZBiHrRWRzCWykhvfbouIEispisg662XXY6HH9/FHiA+h
jSzKUWu65uCW3fJ6ezNunDEkEh2UBAEGX7PAudABybelfS6l/a1d2uoBLkKy05nZuDJQlAbzDPEb
M7vLGShlZQGLnUcTKfZkpTq16IbPcv6Ow6bdHm4/0eZigDSYvgDwxmjl4j1m8epJPtOPzsr6XCHd
cr+a3YZeP5p/n63TgQanyUh7nfdcfLJOLe2osCfrTBcHdEbZiOOsWvnOCdncpyStUOYJi4gUXmTN
k1oaYzRn1nkxpzY/uGpVovxTFtlL1GqZCNpFyx5lWmd5gIdt8k42QJv8ahpxd67UEkXmv3/DcNpX
5zCm51cjbc+p+76Yc3aqXicPA42l2h/h3eWhOrim3AltWzsU9grwCgBv161FepXmtLi9fVYY7wWC
WVKAp3GxUxJt7RpItwBuIRYTSi8+pYnL0FDVrMIYH7KeYY1BbrbzEfSN/D9eHyx84tmKi0Lq8u0G
RcqwsZqKpeAD5H7hjdPZyyYvjOJO21lq692xNblBf4OmL7POJO2UpYEgelYdpbwfWA+k47RnBroR
TBCVWZt/zAfwB7tsGXi0Slz44By5tPR+CGzBoyBahBj9xZ6ROtaApv4gR7LROCqXAuPxuspDwxxp
at3emtfBnF+ygvtWGVmy7Yt328dMzN1Us84OIKqnIc8HkJXCjgcMr53yUZ+Fvlc/bC25wp/Wk7D2
ly52jg1iNY1JEc86TLU7eEur7A2Uq2OMueT9ZMi9bu71VqU9ACydj/rbluEidNNEH0rDTZ0zBIIh
zMouPtJPsg5VB6Lw9uvcXIqGBMJxa/P4crpsTKoBQtKyzwVWlrCmVdxAkSw9tn2m7lBE19f0Nhjz
VMx8yKYdcthLtQwyMAbNWHWejaZzDmo0DcdZDK9aOpmHPHNoiSZuhHRWi0HDnO2D7lY63NX61H8r
v9+2QXO/PZVqZigJ8B/nPOFMBAYi7j7imKU9qEOEq1+rjafF6Grp5zgvpb5RJeM7tHn2sApbL5y7
jm4YkJXrMnGAKpdZZuyc1V4rjzrkisA05uJO05nX3/62G32wFVzI1yW2rBzV9bf8WbnVIIzhfNtn
QNcIqCIApv9XZMlM0eIqnwoQDCfFKr2PXTfZ52mqUs2X0DQfl0IdHzrXaE8yHbIXR+bTr9s/zXT0
66/B9kZEBDlBhIcvz7GZuTw6mM9zlMfe8Er61ZgfRqvQlMBQDKc9mouNgpmDaJn+CKtHgJSelXn2
V4U17TglssMBurJaFEDSHDSg/aFplKpvHq3ctPJnMv4+PbQlf7w/dFOd+oOTt7/Asrn1z7myRXxs
NRCsj0KtMv2x9ZjufrJSKgJfYlLv3uv1EAMXmtV6+TcpvL4K7N5EN06xvBk7HduIs1dAP+0YDsYs
jZPiGKV2J1xNGIHXRLYZoO8to18ONlsliIMJMbaASXacPfXD2CFRCj19Cgc04wlHZi1fCzvJ8iOI
fDBcSYkwXRAr6IsElStLEZLfMpPokded3yeZPtC4V7y+8Psua+/lnI6Rn8JJmHxk/BGwQ/NJf3bT
mglK17co7OT5rJWBbqQ9uSfwaBek0TR876x6sINUT2QSqq3k/+zSKHlGOq+V93naatFdHLWqfsDF
Dtx2H3tj/yWXRqnboUNz3Hldxk6Lj5XZO9GhMQB2HyY3nbGGAEO7FF+BZ7jN45SlWvUwZtZcH7uC
kuD7WJeTGgBvt4egmnSzPqSVRAWrRvaz+6AWjVKgM7rM37rWqswQpkfxUaBCr3zHgbN+F9e5oYaw
6itrPPdLrzXCl3asmk/FjFdN0JrG9Lhyo0BTDML67kjdip41u6fbjcJd+9Wy2yEPkRcGPKaJBBQW
zGpd9ZGDQ/UX3RF1wPAq0r9A609+aob0yLj0aXosW8iaJ7th+7xAwC1fGXE4rU+3Pk985GG0f+ZI
V/r3kLUmze+0ShiPzHmMd9ZgLyOSWGb2QyJf2nxJ4qKYT/Sbx0fEseryeSEkJIc0tvTMz4Z87n1h
2dM9JjlDdByXeviCFIzuhbOujC9aZFkPqporX7yZv9EsnmdicOqUgZyT6N+ass7y1S7Kh3AU84Ii
gqdVjufL1EmWAJpJ/Voyy40D02yM544mx/Bgo+iDoOHMM/pGKY05aIwW662E++WzM1biVfSu1EOv
zJhcqOB15EMedaVxypXUkHfpIKufUK2aMaxElX8vPZm3fu5ZneE3lKPHRdjpa4psyLfSwSHdt9UC
nbBYGb3PaZ+oGnOvXJN+PMjpg9Io5IJZ1qS971kM53zZ2ql2NAF2ekdkDvF8USjDwymKmLEmg6NR
46VldRYZneC73CibiB9ppk8ZXuI/xOhqbahpzfRZxrOdhDj0uM82InnVENrdZDgfJi0qzcBII2kd
ma5DV+jMJhFUZ1JTvxqYIxMqCzuuHzoYEZESdLZw5tCANg2wL7FAWlXNikfsTIf6euwTL0ISY7TI
/KRhKC+O2ZTOA/028bkUzPle3TkvMPTsZZQ8aV2m2V+mbM7vSFaB06d10oPUbYtpFA9THhvRe0dP
0+4psxqnDlCY9B6YlIvsECve/NR46vR9yBZ6YBAHMB3ItNb80CS5UJ8XtKg8rkK0YbhJC/M/jRFI
HsBX9aZ7w+3N4cQgsn+caATYfoGTVuzX6L6gIgmUWzyn2QSSMhpaHBEXSCJ+ZGgDyLMuq76OeDVC
eDDlMkIvpzf3LJu+eKeg6x7dDVGTDwdJRylm05WzhcZdWr80daWBO555Y621tB/7Nq/HL1oio+IQ
c728X6TIHOguivrNbtz2PYK6mBobfa9qcLtrAauVttTso269OL4rhPPsoP5mwvdBfu1Ra1DZ+ACD
T/yzdArnw4jd7qmz2dvHhHgAWLTL3UC14ekEqIG3c2AbuG+FFdqN81fsr/L5GBvA2R7qRUvxgYmn
tP6aKL3QTiYM9f+Rdl49ciPZnv8qg37nXHqzuHMfSGZmZXl580JUlyR6MmiC7tPvj+reHSUrUbma
HaAHEEqqIIMRJ06c8zfvEjlXzp5v63r3HPazDHA7Gx5EVMdTACZwHO/E7ABFQxXG6UMjbZccqQhk
Dv0inbvSNxs1KQKnLoZmX+S6He9FRTrNEafJYmfoCOKTkGj13ipxNwvSeAD9NeS69SzNqdf8SuoF
AvDc4nwKeSzeGdsw35mL+u0E8uVPTZHpd8dpjceiRDsGOmOVfUu7dvym5o6dhWKIO8cfYRao4Shn
8x2V8gxkqraokGRYf584kLsy9GQ9f/G0Jno32FN3U0/V/GNy7YmucTHLDwP3buJENfW9j/th82nU
lwJ35kJZ2n1RatUHx+jEFxFp6TtqyQmGN3khdsh7ahhipIP71cqpGWNwW6V5WCHd88N26QtcR2oy
1EdNVnUSjkOiPtSukjdH9J3T+0W6ox3kIMrxuB7wmQsQlEo+ILwtHC4lrOogU51SHHvgn1lI39ue
b/vatj4lQIIizCGko/qIeE8/RpeODUpaGEe5kAnvWgSQTd9qLVSGC9uKb82iErkPqyVBp33u2zAa
OuKZlTsLpeC+7/hkwAPflPRb6HL28bQESpWlz4uIFnPHpQIvIbM3u69DXGvi0zS55Ud6i6MCFalG
lKeyEiItzkqKc5SzSI4uThM1ccPwvo7DLJ5NXGzMHaGoVL/Mw9RY+6iNNLwaklk1d30jqnvdKdsv
BhKDHPKj3t9JpdU/U0/ol8AyOjn5xsD9xa91ft9B1HNqh003AXvx+2IR7rUDV9qAG9YNrZ+3RYos
BNp2iJrbdfVmXOLJovRdFjKIOjU6kko6n20ue3lAiS1671YI2Qbu3HTtIymkzvlSpALWrpd5dTgr
yvJcOYNq+bXEZCVsgShwd3Ts2bieet3NQrj6s7ablGJSD/pgtVed1jtWqNTZkNwWurO8bYe6MQ+r
mXyM+tsyfWwL8JSB7HVHBonr5QVfpOHCnbdAc4EiWZjlkS+Ie4zclvnKQiKVO38cLR/6OOEtPXC1
b8s6HbXAtEcEIqfZKJUETm602N+qvmvaT6+nvWTeZ9Je/FcpRCDCAF5nc30tyTCWwdV11M0S5Umg
rRYhG5+iIG4vrVEEbSvVPOirYRgCu3TVxc+7rrttIkMFElJhQLabYxh/GCjgS3skRLpPeof9ip9R
Xs18M1aHJmxVtjOr1KhxQWlU72k22gVpqFUdJyycPMZL09T7T2Y8KNOnsWr0PBBmZX0e1NxkjpQ0
B1O5CBth3IjzQkXQOMP8uQTMv7S9IGQP6FmQh4hU2eW610fX/JZouRHmushIKrQ2TARF4RyR0dF9
iGh5z2+7xnHTnTKUwj1MTZE8tkKdza+tZkwGHjo6Es2cZVocCGoNiFEk7K04LISnlL4KNyY62HE7
kpdFWvfW87p61e9djXrus1KT0xVdXh1tgbSaqPA2pWIHqtpHMjRTAy0/N1MV7UAFa8rDQYkte596
k1aFxN9KohFhN/VVMzmc9rGuZ+J+sDU0BABSN9kHB4krxXfRsExvoEw2YucIU6B3gkMxrkAGyPMP
JreHh2UC3htkdm/IQMhsWYLYQLzatztaq1w3Z/VxKt2huANJar1bLC+rg8SDMLcbklgrd5oX1zgN
ozkNnpW6pHklhnp5mqZF+xghKkIUKIWIbxXN6Sqf0jrL3izrEkmHtEzbAxCi5lF6K2oEMYTSI0Tr
0/oXEYHb6bhwQC+jzpb4c6QsLg2IWCi7fmjTPnBQq+GaJK2sCyrhdW8Uwy0dP2YL9Xulb5iDIK9n
430l7ELGfunZY4+duyya+zJKm/ZHtrTVJ1tNbTIXy5zdm1Rz41sUDHGsI43LZQBoILpu2hyHSa9S
XMTv1KLubstR76yrWbHJmWCJlh+9qmhsEOS6xT6g//hpGKV9LcSke4du1jJ4nWU8X/eF1da+SK1o
OGD/ri1hb7vFZ5lCOEIDbTATHwt64520hPeFDCt7N3mNfhPTA1ECmVhlcStcAHp+W1eKdwU5V94V
5gzTa8wXJ7tCqbuLgi6nRrnvi4yYVYKDrEPs/qTw2aoqUi+N7t7nCXIq4CErZIy6Jq5EYA9l/WSa
GHWxBQvv2YzLZGTfLMLcEedVWiFxDDIeSrS2BDoYfAvBtnp4K9XKzG/VAnY4FKo5+mSW5VIiAO6m
nzmenCKwC2t571GR+zEsjbrsmriY3ufLJORBgenaI/tsrL8zm9J8n7eD/TZe+hUsrjo9d9DKqu7F
UDQ1PRfL+Eb2sSh38+jJd2OFqKQ/wK5Ud4WbNjkMgtlxDpErU26aJar4+5o28XelsMUMuB6Mkj8Y
pVGiZ27Nb1Hbaqogobyh+wYK6uXRE1V7SLvS84IexeM6UGcvVgOyh7K6mVIwMkj+qCkfS/ZwHhdP
GrWfKEa0S3MReb6q2E2+J5k0SCwxsuWjKtbeGBNJYVWLphupDzILqHlOJWREQTfNqfvx/ZC2Lt0V
T+/eZ23t6CEdTdsONIvEj6J3gWksfjWf4y429YPVxFMYZYNA+YgCchL0cace89aYhl3ZtooM8hlg
xXHSY4TQtSHKHkn37a+lLpP2QsfhTH1orVKjAbB2ndETOa3Z1F41adayGEcrqvudNlbcvEcuYx7S
KRfqQ2eGYiTwF5jd4Pe2LYjRbbbTqOgMND6tiBrEKIsDnFp73uUSOtWFwu3LSjW6EACETaSq8E/Z
VlFRn8QuQ3H14zKAOiLDsu+W3rQutPzOnK9kF/SgaLBp6MBsztcM66KmaGIV8rea3rUW2zHVS/vW
miFdDKoqgtkotN9usa0NRiRSaJif0cRFbSdyzFRVj9iolDed2eTH2pOXpDXOvRoNEDq5mFOu7a/T
leECNtRNvHWOQC3dB51iMKWIvnvELt583zSeGvlzQj//Qofh3LC02mhjsEIc1J1Ph+3jsk+XVKpH
zRDqGyXNoPUWVrofKBWYgZYD4vJrLxuaC+O+bBuDy117iei+r4L9my85DNwczCTXjqVTmsdcyeQY
9moO8cOYKRf7sRrFNx32GbeZdLTmQrH63N4AIqvRZFjR/NuGB8o6asHtXzt6hbcWtOL0EeWU0hd2
dknH7cxQED3oi+MmA3JoWxfn8loWSs+9FZOPMYypOQVOFHVXcy9+Wx2RF8I8iAaYqdGJ31b7a0ON
62RsrGPVGdYuwodmH3OOvnk9yz3TL1nFZ2ly63T0SHRPV0zdl1KV9Wgd4VspJI+WFB8n7m/vjGhs
9zbKzc+vD3huBte4sqL+CDLbnTGYbV2OhQd5hRrcTht6/XasHFRPi/yS0PyZVbma38B9xeYJx8/N
u00DogpYNJtc02qt2S34b+wiMUfVVR8p3QHlYhdPyH6sqCMILbnkWvZyalcox7oiOR3QudrEgDLv
uCrUNeSZPjb3jppGN3oBD8n0BjVEeHi+cBq9DNqoWyIywfYH0/jiUxYacgsoFBnHZa0lgonoQn2I
vQsH0Zn+N8OAXOSNaEK90ETSnIrbeZOZRyDiMvNHq+sevCqrWrLLsfoOvKR6mLvKOuQJKru+Z2fC
XsnUOhqiRvbl9dX08hNzEqHqq6J9SdzZLl93wWndoRh4xOurvvUiCjWKrstrCuDOG2rdGYKinvRd
s8wPr4987uuCHf0JvTrTou6LptOdjgO5a3X3zSQnjcv2XO5N6Vb3oxYpvx1iedPVDB28InK6231j
Jsh8jqIxjus+Joj3deg2Rrovovpr5JX2Z2oFJUX7dti//qIvNyxGCezWlXEB52wbXZVsgJ1r2PrR
LuIFLThLhpOeu5R31fnCUC+PL4aijosSIFkVvp2nwYgaX55lVmwcwf0sYVF28V1Pav2AFH+2zw16
/4Pt2L+d64Bsxfp8TXVWIti6xH5pvA323NVyydRjbzbN0ZPRszWrl8xKzqwW+FhMH36k2JBtAQ1i
SOoUOw31OGm93QSuHMs/8Zvu73B28Jpd56bWBWr3mc/GaoHDxn+A6bbJVWpL7A5iYznOOfm8aiUp
emJVupeKW17I4142i1cHcyBLHkGOrsfms+FBqg+1JbUjTkDLbmlt/c9VY+8AudO8bpEmCTi8W1Q4
JOUudIQvRKQzc4temo0MDPInZD+b4dMkL5yCvuVxQA5x1w5g2XM7iyiSLFkgR/M/2BAAtNai0E/l
mS1QrcxpCZe9uhwHvVUDseQ1eqjpcLSsobiAhnypEkkSyeJcMWhMMGH9dHG2lj1WlrTVYxnV7GxV
cbqn1ayi8bUxaZ+9AtMoFOKMSvhZ5ilZwHk+9VCmW+1e9k0O59dRB/zCJ6/67cyBRyNlQEFzxZps
p8EknbUllQA0elPrbWsY85/aMGV5OLrCfBYaFcQLO/VMeCDSAxBEARA/o22LvCmgu9pODjsJ2NFx
ULspnBcDZ1JLyOvVBTSQ8Ldfj35n0DSQUrgqEJAQJyNGnH4BjlvdHOAxHSlfOysFpqUzW7Tu8glF
fTA1zdhaUdhx8u5FOiELpvVlGeZV51zyrDmzo00Lcg79+dWLfrvNlB7+iVY2HLzzku8jCtpHXe2s
ndZ0lzBEZ4ZCqITMcw2IL3d05fR9Wq7tGbMR91Hq9ve51qNYUin67vX5PZO0rDvJBoGFeSA76nR6
oZt1dYdby1GnL9CESmTRD7PqUrsQo86Ng/QgNB5ei2v0JhnTp6RIS9xrjtaU1bdg/atwHnT1wmo5
k44QAyFCQmoDwbp9G/LzSrGEqR7tifUPmwZ6zX6as0zfu1kjhsDqZfbnTFZIK7mr8kvXzp9wylPc
DM4rGKatBzX7crtGIGeYMrZnjcOM1NrvkEuGvZJXFN7oPBaCstI8qj6QdP0tAha0yeGJms9oxHmf
PVsYz2o+jZ8jbNHxH6LXei8bSvbBlKxy4iPdy6+5MerDk65Jirot7XtflcBojwYCBw8GeeBTnrjW
F6GnSRNitK50gdM58mtrZcuN0eW9gnYdHI9QzJRNL+RIZ04CQLtrKWYVMn7h8WNlbt3lgP2OBsYG
FLwnxMmVmL4v9a4Anpm8kHFvtwmUMHe99Kp89BX+tf78l9ShKw29cm3IeXJIWhpndOpNpRCBUibi
+Po+sXR+169f9ie/FmgwAEJQ6gSd07EQFCtdOgMTcSij49dRVb8vFGfS75ccIH3gtVN/g+ICZgVK
nCZfQE+O8hruGGp6PS1vPcjGuq0/Z2Y0O/cNEOCgBYv8NEWYwX9rrcK7Vce+UyffbRLbplo7WggY
DpaWhwhXWMlDl0wWXfJWyDqYVuOwIC7sKIZe7qhfltlbcC9ENbTfT4WKMqoumnYKlc4uukBZ2VY+
JmpQqtWlbeIrOanTJ0vRE1Cypc0L9aXrxmGSjaJ6HMex21tTP8z3ZlRSPeyQdvWuzNFLjcdGjzMK
RfGQo3HCWSyO1NXT+FBTlLSvwOXMWBK69Fo+vP4FtqcPH4BzQKO+gDvtS3okkiqFwj6Qx9QVLoIP
qKsdjCiSxc1At324otSvf/bqZIovMYFfnEEMvSLRV2o7tT/AYaffHrMU3VQUezgabhvngZsIrKKS
sY6/qnXuDEGCY4hybfcoSh+1XtE+sjtRNC+LBXT8b88CJUi2lkp5AijrugV/WfKOzEDB0/I6dl00
hDUSCn6mZfazZ4JgsEUpAtPp4gvB+8WdkwmgRAEyDowc2O4tchajAKrtopbHEVzcwE3E9h60kmI4
Im8jomaZOdGCSeaoVu/KKYY40cRNb4dKJjowOlqcXZIF3G59Bz2h9TyhRkN5j/8/nYekSrMUtcr5
aFa19xBLJTu66miES9PlF6La9uhiKGZ7XQAkPvoLPG8Ba5Qcf1woY8jsyuzL4loAtzu8/mHPjYJe
DLB29LmQ/95cg8rcWyJFH9TjUsgyTJYctnFbXOKXnFnKBtf1n148TN4LkL6FyNPo5oToFAP0VVlc
RRfQ7XZOI7VQz1dreug1ddrceEpj32tVNV4I2i/3MU9AqYAiCfoYVC1Pv1w9duB0zFk9yrGIrkDY
pVcNBNx96kTOMTfaOajteLmQGLxI5NePyPWSHYzaKVnzJs8xBgTuihFxRbw6wePokYMtrQKnOdnL
alKPg8gbk0YhPRZNnzuk+Ey1uQFfl/So/NEQTZxYccBFopNy4dle0PF/PhvKCpAaOFteHGNF7KHV
kfTLsdAK/abORnvt4LrNn86CSw0glqGcUIejWxp2a6cQDJC3VEd1aM0kAGIdVwEoUCShZjFWqQ+X
qdSv2p7sIlB6/EB9G5GvNjB6Ku5BlIz2J8Po7MlvBdIzodSb7tHmLjEFKqCNL3gKdwJd7Waga0k7
7Wlk9z9MZZK1frSmL37bN2Xlq7E6/sDGIqXk0ztZ6ls9PTq/AFf/aKJi/0WVvbhkXLVN8NapgieA
Ygyf6aUYqGmLKPX6bjm2lhbdq1bl3JZZjIuGueTetwoU3g88jGW7d+rWfv/6Dj0TBam2cfVEDoCK
04tcGQaZ3rF/liNg3bTeObNu/chjtCl8My+daQVXRQ9NJrMi6AiOVbgmDZ+KfsK7QTN7ioKvP9D2
3s9k6ChUUJJaEyDKjqc7SYFIYHp9rx5FWdfpvkHNYUAOCz82zUA42u+TnIasBsKrDGfTSEHrsoie
Xn+IM4EY/XkSboIX5cjt0TCZShVHczseRd1mlOXVeacqefSOxE9cCJFnIgeKn+Rf1DBJjre0TrOL
IpL7ZTouNEYfmj4H31E2IhhjoV5XRP6wzLPir0n+r+fpf8Xf68e/Urzuf/6bPz/XYm5Tdtrmj/9z
lz4Dg6l/9P+9/rP/+9dO/9H/PAzf21623/9x9yS6fxA2vj31aV1t/83Jr2Ckv58kfOqfTv6wq/q0
n9/I7+389nsni/7ncDzz+jf/X3/4j+8/f8v7WXz/1x/Ptaz69bfFPNYff//o+O1ff6yWd//166//
+2f3TyX/bPcsn77V7fYffH/q+n/9AdL7nzR+PLhsJgLidEr0P/4xfv/5I0//J6n5KvNJh3bdsfyo
qts++dcf2j8x8mXZkFWYUAw8PjVVvvUnivVPlbUE/5GO5Hrd/z/PdfKp/v3p/lHJ8rGmft3xW0/D
xbpFifT0hSmT4738Im9RJvTLc31RdhSJ9tLJ3xs9Ks/ljwqoSDFB2q0Osniqqo+Fc+s6w06zqaJj
m44HL5gb/ZDo7U6d5gt3idNr0vpU9LBWRsNaS4BquDnqi3qKXDD03k6qLvQtrofB2PXerksMuYPe
eLF0/WIauHPB5MJRhE4xn2KTv4KrywbuazaSyEWn+I1dWeU9zgOYVQ7YRxh+bJhti6s85a2Ay0CG
LVdeKe8o+4J21KJuqPwJBbJ7oGFp65cxKizcO62O9oPaKW+0Juk/NdjFtzvkW1zgf2gMgCWfTP2z
mBZSw3hIlk9J1ltfsfeZ4kPkzbMIB9cds3dVB2VqV+rWAjCLzCPar29i77pCdhrCu6C/DvaotoUv
vDZ1r8FY8zWLrMrR8130/m20FjBQzCyWvZg03OHTxY0Pig1JMCwUifN7AWR/n5Sxavu1MMAp1UU1
HtLGaix/klX2KbZKwwBDlGj0orIqw+YHEM2Xhos65IOOLEGAeQDkq+lFB1gLeneY5uYqfWhNHkbJ
XtT3gReT9frwlhGczIa66kFfQ/MJuPItz27UTIlPi6TxrnOYWSJISwrVPvojNUjOeJwfOsOVYofu
JNNrrsKI/qIUte2jQVP2uxgUdeRjpWglgVQUy/ZVtbA+yKUhZ5pqFzA0iBIwIsWo9VcxTpL3Ghnl
JUWc01OH1Uulniq9QT+CvJe0eHPqyCwtpnI2dgDFuiOQdO/eLhpV+LWimQryHRM4UiXz0OYvpC4C
eENo3/8SgP7e6L9u7JcLmuIvxiBoQ5HKks6dPkOnx8ItwE3s6tYBi1ykPX4gK1Ywu16cCpSXUMbS
8qNJbZDTpFHf7V9/gE0+iVECeDKqHD81Fwli1uYJoHcorVxydTemo/Ee3H73iCvbGM6ybG8lwH6a
4XG1B8brBQsVvFucxEcYOmVFRyzhoj30zoXy7OkNgkdape11ngj69trp2F4NFVuks4p+SaJFxZ1n
tvKB1nN74Rp+dhSqkuQc+JAhK3469fEU61kmUy4LxlTdzGlV7IpoMXYX5veUgLa+DDR4lhmXq1WV
2tncEqixoJ8R8TKizt1Hb3Ctt7Ltze+aGYfYZJv3sDg+E5rNUJhxh2RIfkkla7PGXjzB5kVdrVZR
H821cJy0H45ZibDuQIRlXP2Rs3TIOqLZR7a1utBz2OyvF+NubrZQm2uTpFoLB8ylrhdhK9dZY35t
kgYYIXBSsRdZPH+DloVfTKnW8+PrU785nX6OT1qJEDiqmlg1bWZeqbi0x8iwhCzqeB+ZZRRgdSLh
C3TFtUMn8s/Xx9uk1X996jWr9uC3rdZ2mzQ2rZUy0hdbDXUPr3XFxf+8U4X+ISlsfDycKTtaRe69
wTR1uF80a/o+26XzzipiGi2vP8rLtY1GGRCatdBESrNVBqxVgvMMjgF82xz57DH9Lazn/ELj5jSN
/fm+7FDqw+tlhkvwugB+KeGMbq0ZtRi0EABW9h4ZouVY5ZPz3kLa3QcpQaU3ToroQj/y5btxUaBN
hOMKJVpSr9NRJZQXiAQsZ0sgbZ+BCdwtA3Lvr8/g6W1gfTdAY8wQ3bJVpMTcpDZ1HVszn1MNqUIl
+6mcmkM9EBFLLSu+vD7Uy3XKlYdm9XoQqWs54fSFMNkmx6JaFS7JMN5V3lh/VKYKSqpQzF0t4ks6
7udeDS4ugLn1BEQg5XQ8ZaJ9Ww2uGtZp3RysQSnIKscsxGMguVRv27wbYZmgp6+Xup+Jtbk5XRLH
BuydxzZshW5YdrFW2dK3hFX/acxRM1Ah0fPW17CRhK4GmPaKRlRNRyVuxHxbOgJYax830+MYg+je
5aKH6jelXFhRn1Q4k1//EpuZ4WnJrLmQAbNbq7PGJiOQcW/Ch8v0XVog9Wn0cx3mfTbtVQOo/utD
6Ztz4a+xXMdYhS65ImzRAtoiF1nls76TtlS/jtREoLRHVvehraTXBjjLu7qPGi8YWPocBpI1sWte
a042zgFsZxX7SFTXJ2REFu+pzDhc9mYeUS4vJ8N8j5KDWvl2jUJTiBcnQM9Imwvt+PpLnJkv0iYT
UXSL6eIucLqS8hwkPVAAY6fNhnurF4Z7vejtfOMMuXz7+lCbWLNOF9GM3P5n8Qsm+elQVZN0eWtz
PJt9oh2wPFzeWEvUkVhmLd6dlRq9t6hYXIhw+vrF/90soYLFsAb9Lw5uAMIkYqfD1tJVWYqlsSur
tHubNU1UBTng4L3WRkAU+lYbkgBsz3Ts80kb6ZqD6Q6yKEEBKDe6yr7ql1ZDUhJyyXVqZ0t9kDJN
D1YLrDoYOi+tkCfWC+tminEqPeCy0WQhZhyYNuda5o7h69O4CZ4/3wcmCrIRxE/0tTcrvHL7sRtV
bil6G/d3nhRe6EzLJYzxGkG2s4aZCVVKCqMEtM2uj0Q5lmJytR2at8WtPUj7W40/U7xLe8w5jahs
9rk14qEuTe+95GC6cEScGZ/eioXPjokOEtW1069Wcuh2ONcQPePqtm2NG6Gb1D2be4ik30tpSr9y
nY+mIZ5fn92X0Y67KYA7it7IB+POfjpuQ1c7rUbV2pVQonf50nZH7GRHWAFNuusVx7nwNV++p0uw
QlmINhKtgy1KF9UE28PPRcfHVra3Xm0U7xBkq45r6xKiYZoYO0/RlYMJ2TjAKRiji9dfeJvysJ64
+rM36F2SaqE9efrGFE3hvzgNb5yM0TvHKd02mGFf0sHzekyGa7rXVCHoOhR+jftuFqh1Kj3fNobq
A7Ra9Fhef6KXC5zajcOSowrA5LzQ7knIwpXWMHf81ArcpvoBO+4Sqv3na/17gaNzqTEAmBXa4+oq
ab55bcdS+g6yjLpT8yxafD22rWcaRNoUosTomPuS4P6YVprF3bF3XB0rYjoJh1GtElQIRfGFnlhd
+I6cltV9AdtPv1ad7ibBv6TbG1kKAUCzawAiJr3OT12eL+VVnLsUp6HAq4mfQqNW9q9P3VY5Yn0r
m1IVejyAnDywQqcf04uxZK5SU9+Bwt53MaAGPbNHX5Ol/bzgxgAPAweGr+k8OZgiDI089DUKN76G
MdOug6MemGllvTHha354/dFODxrmG9IcWHv0O3g4tK43AcVT+Nhz3joh0hZNCNzWmHydEs4bN9as
j785Frgg2mDYpaxFN0BTp7Mg5dh0yMo5ocPJjFtEXIayX5pgcmhp/+5QXBbQ9uMSTj+eX3o6lJeY
MPRn6YbUk5ALmEZnR+VmONDcch5fH2pzz2cK14sJFUzq/QA6nLVS+muyXkCEVhfBWHC87xeeioAk
h0CWmvOMClq7Q/kDouawyL0qPf06gZLve00O8l5mYt/AN7hwP3zxUdf0nUOdk3W9NbmbFFvv28rQ
OuSZM8Wc9zA/LQp6I/pJ7XxJF+/SUGsg/eWm4mAXolcFQ6VJ3e5mqhqASQoCZY8g9usTfZqorPNM
gRJFYWSKVtrLzx7ZL0PBai29SLp2uKAl8Tio7fyxpuP2dplm983QxVqYF5Vx4cB7uXXXUTlxWbkq
EsjbE6+dK3ANA8z5GZumd7maKb43mdnRWzr9CqscN0A5AAJOMtc7G8mFW2J6/ZjYaftt0Frd8gfP
Gt4uoMp//yNzrVnV6SkTm6gpnc78Ug0ZSti9A5hv8vai6ZdwauW4R29E3b0+82c+MqV4Jt7AFggM
5yYog2KozbG0UQ9YavUKhxD7DoxTfr8CLj68PtTpKfPzIzPUWu9fzxmi5uatNNGgsbIO1cHXswoi
shrPl8LDaeHm71EoHpFHrd4Z21FQ+2yFaUROmExOke31TLO+IE0AhQ7w9OIPuicf4GkvNy5iRheW
8eZk/2twZHqYzFV+FGzC6St2CNqaSSydcLENeU0lXe5jOssPdhkJENWJd4ihZnykrFHsS6cpjmT+
6VPsjM0lTtBplvP3k6BLSnfaoZq2bcyptOWEN1UOdeq5uOuWKH/u7Ga6Lye3uzIqwONOrYsPzqjK
96KTl/wnzmxoDHDYU8T8n0f+6UTk6CRAwlJQHbGU6QanJOPjhGrAPpP9ezJ/ubdyecnD5OwrYz5o
gwf9ido9HdNGEEJxp9IJsftZECvVqdlx+T2KxFX+5Hidbxa8wD+O3TwdstK+ZIBxbidROkIcjOvW
uvxOh5e5lmfe1DhhhHTKPnENCX05j+56GBHfXt9J2nrGnaRSYGF/HWsTmlVRj60LvigcrLL1uYJb
mE52xgGnyeYGuZb2yskdJAqKZXhjITpwr0KW+lIZtX0n8zn5D2IIdRH2Nr0BDNA3icZszrFMoRGF
CIbAPGuIo7CnfpAMTf+fI20DoxJXVa4wUgXXLIgotK2GIhrtGlx4Lszx+rtezvG/32qTZxSqFg1F
0TmhJuzxYbHLeIdqiP6AJIsv7CbbuW3tBUXjRDT8U2O4a8dxj+DNpXvh2XW13hioTVLX19ef/3I2
SgqVJseBg3LO3IbLitDVx97YT1rqXnjnc0MBtCY4w3GlErpZVgkUGkTXCV9GMpmHou0tZNcmIywo
71y9Pr2nt76/4hPrZUU5o99H3+L0rbxCuIo9kZyOFe1FM7Grr57ayhsgACUi1U5/gaW4Rt7t1+Ts
ISCCUoDgslk58Sy5IKCBFSJf5+ChDYm/1vXfNLhcDzcgqbwStSTUULeVD+iXpd5ojLIsWnfdjIty
j84keb+KCEqLJmLg9alxV5pGdW8As7yQGp+Lur8Ov1myE14GTjusQd+ibl90iYtYjl0ektFSg5x8
GVa3nh1e/5JnZxYiLX1+l5rrtqBtDbFaK2wDvqSZhYVZFZBeqksAubNL0zK5buELo1PxPV0vSlqU
wnR4tQx4K3beaKyosfQdJ7qEqzkbXNlTFAiollPc3AyVt+QnOfccFFkQhAiUhjqInfYTNsoSQ7MU
kiuMm/1iov8vxefGcpYnmulAXwT13Aspxdl9AqJofWneerv7hdniRYsYSJgN3DFVTE/uTFzu77rM
aEI59vL4H3zNX8bb3HjUZK4mmv28fOKJoIE76euMd2GhnlszlAaBUrtwDzjwT79mVA4KDFtia1co
5Vu0vOJQGRP1P3iXX0fZRM6+GkstXQR7HrGMAzaUzr4TyyViyBqptpGFRB1aMtUzrsGbd+kmqpeV
wp7Hq6K9np04VXxQ4uOXYaZ95tdG2lC9487sO22jaYcCGYbd6x/tzOZYee64l/DlCN2b1KPwMuxc
y8oNpzGWNxLT532EvA9yiJr58fWhzoQYjxyL8hm9Hrp1m7PeVqNWnfBuCFF4qL4MRTvhD2cFXVeL
ry1H2L6oI3X/+phnVgtjWivZiWsad/7T1YJymYJLO2PGKdrVSZZp15A1LzWvzo6isxzpkAFm255I
ONoiodgWbii7qgpdvf5hNMbfeLITONmv0IWz0weamv8BoOCMPX0VJCTkbGt8qdQowegpqpvvDCLe
lwXVxQfqy/mbMdOM399ulC/Wti4hGvbWZgLJxA07GRi1oTZxR73VvMmTi53c9XTZbARUWgGxUptZ
paM3oaPT0T4oEdsJ83HKD7l02k89OnB7NymXW6H0/ftsMZZDU6ltoKijfsiFPh87qOeWrzTNpZLU
2amGXA/6TF1jzGaqB0xGahxMuG4mlTf7I1JHqKHozaEQc0/oLsc7YJEAfF5frGfCAbPw72HXWfol
XUvSxFFImrB1n8dup4sh+r4owtnlWGuFZYyUq+8YreePLqyYHv3PC+OfqVkhr0F5CINKGqTs1NMH
SLsp7os6dsO2mvKPHHDwPrXW6g2/cDvnyR2s8dvS2UCL417V3td6ZT4pBW1USCBLWe/EYiE7I9Hh
u3Q1/ylc8mKFUNmgxKORIm0Ps97uE2OCtI/IpgFwBGZljhJNodxzW3bv00LRPk/SPGRdXwSZHiHX
Y8nZb6U9v19G0/zetdEXxykinIpgxzVenO3V1M0eMFFGjglN5OFCiehcTKBFR1+C0LVCFE7nckaV
wS1RvA9BuxiBHTvJUY2iSxzocysVSWnQ8KwckOCbL9YkVUPHM+OLAZ9GomlUJt9zonH/v7k7ryW5
kWzLfhHaoMUrgNCpNfMFlkwmoYU7pOPrZ0VVz0wxSSOt7L7dl7IuYzURiHA4/Jy9z9qGlS67oFFm
GqWt9m9TMTmtwgWHp4GFikYiJ+Mf765p0qLwAqoI3yDtJ8Pcs5FeVm2LoUvj3z8VP3dluBTDWnAu
XCqMz7/8XHTaGGB4i/W5qW/6eQSPVswTI2IZHpR6A6EWbP8AhvDVKydQlb+//OfJvL9uFTMRq50b
xWdyfmr/8VTO3ajq2k+TuMQfbkfQesuPUhs5Q+E2tK+KygzSEHQL+JuiWdaNO8z3GjkNWdhbfZeH
dpOtENv1sfZjW67FHJra2fTdu5iKo8QZinSni8l+y2FLTdGyJsmw5Q1pXvlERxWh6RFhvkk9Xd5x
NDdvz43Jtx6m3BpB/m3bbd30Eq5jLZbrBiRr+4cTws8LGds8zSCMW+eAhp+0AFRmsykot0onnzd9
6xV3ki7nv+5bnkfj2HZ4VnhpfT6HdKOTM8pY0nuTI6pOQwqvs04fpVkvf/BI/Go9wS9kf3PPuuzn
1q2PzTDoR66EZ7U7eIVlPurjam2tTjprqC2j+A7ffjNrjvUnTeCXX6VPS415d1b0X13lfywlcygZ
i3DoGlPUGYQ9LF2/4b2a7yxdeS8JISo7z+26MPW9fjvlvAolWvWJTc3YFDWmMfzxt2TMzLe/X+O/
qFvO5S1Vwtm5xf/4dAoceod3XDXRgFK9YyE79ea9ix30AR3IvlqcLq3xRhjVu0ot8rPl4GOeXH0e
woiR0FREtTuqP6Sd/Ly18ZkYmaYUpmGFtvzjc5cnbha4gfJiVmV7VRVDEo7jtH4z7LaNF7ESgCDq
9E8Omp/PwyxCzKmImghgHHx+vKpk6qWbSHphBKOeo9R0mi111DdjMfw/lGfG+QZ+eKVBgmM2jKXA
oRhX6KcbBC3aBzAJtVjofnX08SuHnbWkd2w340Xu5wV42Gw2X6uhr7cj+I5dS147vWBR3Jlr3b37
ws6+dYup37gaOQ1hBTr9D5vvT0eS82dkYWCH4llhdO7HryNJUy3rMNDFwqmWm9GR2jtM1OStL931
PKWcZ/oOcvfyfeSjvShz7Xe/X5o/PTKfPsCno5icGz9z7EaLx7HCbp4Fj+uU/akL+dOWcL4IBRgH
a4P0MeO8FP/xXBYwUIuB90wMsf8CKe9YVlYTLZp1IZ3pNNjOndPLP5wPfvnr44I9I+EQkz6LDbOA
eO1quRYD6cuacE6JPCcxVVLNih38Ie3l91/k5wE+9htu0icWlzFrg+r500/paDgYgVImsaePZ1p2
6sRFHyxVqApbfl+mWnxlItLB3AdIX5EhcekCtvz9h/jp6Tp/Bg4MZ78Go1Cfa5iFdZZBdtTiHJcs
g7CpQAHVHaJ2xu7+95f65cL5x6U+nb/QOFMMMyycplls0vGyu7U2qv3vL/KrH5FZUiBfkC3ORLwf
F44C5rmkWqHFplllyaZZu9VnDNvXd0nd68+Asq3vv78i0vEvtg189GTr+Jj9fjLNzUatMLFP6Saz
Bv+Unn0/Ubq067ghEUfXqY94P7Re51wXqbGQNOAMC2b6fK50PprJOHfqaxL8sCNcZwdhM7cYJdCr
Z/bD7BmJ6qZNLNBLHe1xe5P1GeNnWWmR7hokrUB4azWVb5K8tV+ycQyy3TnuA+m67eUNwYCWHTaa
Md/azqRfj5Ys87DQawndkQKvDYNeI7VP9P7khggLOErH2sK20TG2rIe1nKxvHt3d7w3+5ItgLftg
U3qyeF4GB1BVgw5GJ3JZ7XurU+2TxCTA/XRKPDnwUi6TyQPDCgi0CUJhOfyzAdOjIhDi5xAnLMHv
67DAZXXcgURtJiXcnFGA1l6Onj7BXRgSqTKCduZuoV2YD/ugroQTeRCfqRLcboQJ65gKo68uxVeg
j2kau2IFXEC9AXK6GYvN0Fm5Fbud32a3GsjVqPaL0n8oLQI5J4DcQjYR1bYPfNjxtb0u0gCVuhkl
YNVuraVnPhp00zk6etxfLWIfQZUsU4Kxksc8tWgC577ePhhZ6vvGbvSGqkY6IagwbAghy5gaAdS2
MbIysCI9gbsSO+5oSBizGb1kTeje27Bk5SvMUrsA4B2IKrIq4qEYM/AdziVjCXK2JqAj5yiQl31k
kHDyMTmWftsh2X1kc+kNoQ6bkPQILU372MfjvT71fp3OWxdGcbnvXVtMgET1oQuXhdZ53BmaCx55
9HmxCdVP90S1UuwaFeV+3PXwCkKzFEBNKwts98Zjimc9crrwB3q1dpURdaFMQhEyK9U2eWrglxjW
RfuuBGtgcSaDAtRO5Q21qKStVHpJHzIRm2nbokoGljowhSsf7KcdVaMuzShrnSqUHV3utnIJ+egy
TX2jYeoVsbK89E5YHOhDA+7kzYThi5wI4OmCM5KFM4VMl/JFNSkb6EQg7zUvYP92gFl8j2zbgVoV
REMwI9sYN6oTjMD25iKhzljOPEGahvKwnT1AsqGB3DqFvQ4BI+SXc7NN4Cz6F5OH7ZFaeJo3jknN
G62pKw+5BBUXFk5ry5g3yPIVSW56s4Kevwi9hCksMpZXi2Glab0nWUG/RxoyXx06J9k57KJVITmA
8qGpemfZ0GaabHyTievG5pifU1k6BRyYgjL/GKxEHSFOwvruqzy7SWxzGY4WWe7Hc0Zms+vZF/2w
dbJFxnqmzTirZlEgJKbYZAU6SnpB4MFyp0nNe12n0rlxem/I9m6RMeJVJaUT14lvliHBeemlrRXr
EhLy4b3PY5BarL+ZoXboCeYa4p4q6thXjHOQXZS5K53DzG5hA1v9GKvGsj+Y6lyrm0mz0jxKs0Kb
94QQGIQAcOq1wnOOaX7IZNl8EaSOfDGS1HrqNZAToS4kKCYP6NarX6QQjZWZdBR3HbzfqK7nhO5G
XjZDRC8mncN2cHhrSSvbzYU1P7hLae57MOMMugXWGnbrcYSz/3WBYN+EBqkTL5mj54o0mFKyATuO
/ArduHtIMRMb0eC7wwt8F9fYk6amvPPGMELcH8vsUU9d99EsxrLf2n6x9DFE/nr5Ql/BItFmIX9n
o/LMvF3yZFp2PBQJnzq39PEdrH9lRrXCcxrWRd57pzxV2nBIbLin20pSu4dGvyAHAl4e2tBUiadF
nYaFA/B5VcIdzca2ivRh0Y+A2whEcGkwanTmSv21s8t13Cu7rY1wOkM1aQJwDgwLd9JV7DGiX8XL
2LWkjOQmPvOGLD839LvBe52WPn2yHTKRQiJIE1Bf08gQjlp0rY/LwoWz1gI2Bk0OOsHZMxw9AyNz
Cz/CMF+Oe6NyrSdTm8YEuL4r60PvTSCidQwhUIwt/cwynonL2Y56UsMQdxdtl2W9/t0kFULf2Ite
jheVU8+SIGTOHNHY23PyCNymb24sk07xDk7/QOosFkP+lCk8EnaIm1ExASrzywg6qAmVk5dBZFii
N/aE3PBTgTMe629DWcxz3PlL3oS123cnYyTDJiV48lEXwfpiLynebXZQG2y4leTPriWZeSxmzONX
5cBwx6a0m6b4Cr+nAhRmMnCKZhsgHeljRTfLAmwelms3BpHnQbaftD6oqVQp3uKqLKC2rGaWv+KI
Wq7WupjLO5b23MZZ2hn7wsi1d2nb43iwxqR90+kmlxGzmGsTDuBg2DuCIVitYz5WvARAdRN+wWlu
trczFghng00NvRU39gCLXbnqOa8H4wmKNPExaV6yT2icQ97IeSDMIS8liQvQ1yES2IP9kBIA8yLI
P6GosRZOTFo/WRMMaEKxo0KW2bPVeDDp27JvHmuMFmYs2sn4rolp+JitVX1honTmwRN2cfISSZR1
BzV7CoMVICcwa707wfZfmm2TwNLZVV5eHRynd1W4NI19Q6lZvZpeZl5Jh4ChWKm2HR4tWeSXQ0Mk
WQwBT1z1/FdJiHzVuRsdxM3XzDII18uLpnYipaaVgU2/mD5MA85SDBzXvSg6vXsdWzlqIMaMcthM
amBE028X5zQQmzkc8nwVw87uSs2PjKoxUeJHHJ2RPWXsn8G6OnLLaIJ9a2fNcp80vpI7wpx92Pir
PfuxO9Mo4hg3EmrLWAYHEUzyreBNivEXLhSBp7FiqCaJXG1Sb+VAnhpHmxqC08T3cql5LaZRr2Wq
lmHcqp0iUSzHxJQzOeD1hzVlSx51wtYuK4tsrHilse3MLvOfOUuItw1V9rTLhrY8VX4n/K0ezMUX
YjLHIZpGrcrjRnbjGlWDrb34vcFD6AxZ/yaVWpxoosZxNoAk/GPTnqMSpKYzf2ZgMHojQWBHNB6Q
9onPG9a1ae6KVur913oh23eT15WZR7ZfJ3R2l+A8s0eXzolq0SckZwDJOVrAkfS4AAB/AiGeXeGu
IRNRHzz7riJHjEYMOHTXsblrZvw5HtuCxJd4NruKmamp5fVN+EI74BLUZhJGFkJONxbZMie/8PVk
V2hIqxvybYlLYucn1OAcsLkRdSsGkmhy8c2ul/G7rwtORE3q1pcBwwhOmJ7zLcJKFa7O4Iiv1dGU
B9KKpLnKhAMRI6rnLOu2DQ3hpCMZRFoJf8pl4wwD5E0mgB2n6TeQGQicYNbL/FNf7+dajDlYcBQU
Etg1KPF/rF28JZjltFRBbJsVifB6Md7xUHBubJQ4/L5o+bm+/vFSn1qoGrEGoi1EEPeNlu3BTff3
WloZ24bT7q5SeJ7XTjwQ1FM8//7CPxeBXNhnLAK8ZMCcwKfC3q1tOSNhBRyApbmpylJsNKbm/9Ah
/eU3iTMRURMjEyDLH7/JVW9Kv4LiGDPsUT/X8L3Jf2YYZUcB/UfD/a8vRt1HMe8xxvypaxTw6rFl
LvnZiqWNZYvewRHpLlAc8H//5f1caPLlgef+v1f69OW1tSTSyuNXo7e97DMvaff+GfC+Oh4mvLSb
yXYos4ffX/TnivoMs0EI/AuUiGvhx+/SGeck68jrBhApDUhwXhnn+lXWXRhJ8qdpip+bW1yLaQI6
sobLPOCnG5RAnofeq4mMFab9MQe9M8eWM9j37QIzsZry5iFrrOrFHFdjt7SO+fT7e/3FF8wMOigL
PgVg5s+daA04GhNVfMENJPKT4VfqEuRedVtxTqDyAgfDE+LU8f/sqp8WUJkM6VQpFtAUBIReMSz0
3RRpShhpMMXsF92FpvrkD63vXzyImBwsZjtJXmbe4dPPKsp1dZfMTFi1uXey9ca9MIy0+vf7DCWH
9XcwAUb3T7c20yr0V3NK4iowVBhkbLnkZOC+zmcYd2yidbqrSZngFE9x/4de0M/qqUM33HcZo8cH
B1Tn04YKPL9ZqhamqArM4qo/S6bR1AziwbX6C4JyDIJGRHdQfebde6IM3pBb9a2LL59EeHjUtoBq
/vvf+hcbL4rKGULLZD/b06eNl8iWXDZSJHEhA5+dvS33i2e5T4k0hiSyyWW8BPsz13FjcrT5/bX/
EuZ+7G8zisabhX+e2/if/eG1xE9dqUyLmQrLGNLj6l2YyLY7Kfq4YeISS2UR84FWCSfK94b5xll9
ES9VntznbqsdtN5b98GYenf1GjhIQ5DYGzk5oTNNFtzAathBKjajuSG3CeoH4yPr7IdF2a/k1YjH
39/QLzqoTHiDFWDCTQcP8xlgIdZpnZNBT+Lz5MzOcEcwq8ZqRF1nO5duQEIKYSnFFQ2czI4Whiev
+tHN/q0bEWUCZu9ZMCDpF63mxw1ydhOKSpO+sWXO3pOoGGv0iHf7W477LzLo5u+f6ROt6NO//q+H
F4Ej/scCOMORfqAX3bzJt3R8U//EF/31f/kvv8ix/8MWcyYR0UJhROqs7/yXX+Sa/4E1hoyEaY9/
IDX+P36RZgT/gfLK04jg8/cf/n+Cken95y8cPn8prRcmG/1/AzH6dFJAMT/PIGEB+iuGAl/JjytF
la1vzm6KSyit7hvDHJkCrK2oo9T7wyvl11dCTtVRiHBnfHqR2lPpGhpOY1q1Sl11o+7czMBNN+3S
/0t84183dRYqTQDp/MtnNZqnYhzMgZsiAvYmq/o8Ar13J2TyBz36/Kr4x+b193VwWZmc6VxGks8v
tH9IQhg6BHSdoGDU0wQR0y+FQzBtZpw6n9O9U6Tl8z8W138fuN/Yu/6+IMIwUhDOZlABP16QJDKw
zUVOad3I6jpo/deCTIBLmj32FkOlFpKy88ehE/8vu+QP98mcH8ctPKm8HgD7fVokyBSCgGMr27Db
eDfUj9VHQ9IGwVBNtreyzL+flm6+UqXyNtbQd/ucc8oRjdS7SrzRiYmcrSBDlPVzYDBKWaRyPk6c
W2/IBfUju5bORaZGeQh0rdsbqevdFxNZd62xsGMzNZ9Eax1gw6/bbjiRl+Uf3aUtv5BSV2/YRwlI
KkXT9hFhZkMMuDCpQ1UtxkuyTkMkrdL7MtHq2WWWNthhP/faNS1N/z3RE/vV5qejib7KDmGhXICg
jIO6AKUzvBEH+i0rJ8ZjLe9q6r3ilJsBhXFXBka8WkS9QjX1wiV3jEjUFtWglNXep/8UlkOuPROa
4185npg3Rj0NW5cozDxaem95ajyn3+Xg4q7LGaJAhcJwsGUw7GEovumtMPeJmMEbCGbTnoh9NN4k
8x/33YAuFuooImNYK/WuI5BVNLP8ars6M5FjduKnYVXTT9PcEZxvkHd8wRX9wWun0MUQumKpvg4c
B6JkcMVFRhOniHrS02KUF/kyVX15Z9ho+h6RgQf/zLgytdVFIGrMr7ysNAg1MAz6hiZVDHlIu8Cn
6cdaDlNKzv74njIkEyZZYjxoVke7w28TJ4/UUBcXbivL/VRXyQHOlr4xV5HGiQz6Y0Yu33VRyfSG
3I3kYACbnOh4W+V+rMkJjIq6qihilLMt88J2w8RfkijH53rspn64VzUiFX2BZiYDN6u941A42ZcU
s4ARrn7Sgm6q3GjNSvx5q24dKSqaNzPtCf5uh8J8nxJjBOxR9+N+htWAhDNIYndN6e+NPC+KUIDb
3Ywj+gvxftOOYelr2qVrH4l1/AZDoz3WSzAKtI65p6liSeNu0Af5Mep6fyqS1D24Ol/uiv18m/cr
4otezvjhGjH3NDGLChVpEC/CndID2GyLnKwp24yBBqvGws1AldE0pGjma2ypad6fAQ9Pwzy1NyaD
IpssbQgPbrvk2R/IRDCYD37R7Fo/+nVWPjn6hNwoRPXK9BI9CUS/XbH6HwPw1e3Q5N6L0bpwW9xB
PeRBnd41k+OCB7CDx6QuidlLXX/Xp3p6DIasudR5+pZIJYb+aK3ZWbzrkiuDURH6DyudqQyIZ0x8
cPIth4V4DdWEkBbllacAp8qt5vT9i2913nBrAxuqNrQPm/5dy9C5N6Yiyno/NOS8b5naoLo6E0rp
s6oMrsOdLHtL7NLJFGLvL+5S3066WWSxGBGrvjVBNVdbazp3fYE1+s0ucfw8Jd3MatvLTO+TPeiH
oHgsS4Yiw1RV+rd+Ihpsq2gGq02aGySSCb8tURkchMyQnFVCiRM12K+r0NwBR/LqeVvaleMAyZ50
Tlz7nUeeZOrf6EO99wrdcLBf2zTUZdDZc4yqqBX7xuHDvvmeGh/yqbUBbiNZehvHNu1L318JtamU
Xc/HzJmT9oiXdHpuCPSaODxay1s9YXkLhd07IhJmv7yPzJGuO+LhrSdC7QPvWHrZ8L3uenVvqDqz
HgqqNydqape0PK821+wgNa20Y9K7uuWUFZYxcDi1qjuZpj6xt+iFCTxgnZZ9iBcByFo/XDg6xd8Z
ZR9K0uTjcZDJdppIKJeB19F1nY+pn21FwnmWXlDyZBHzN0L8Lb7bmVqjqcvwDIigqyKW08J/2Pke
eZLtsEsd6ygbP0G/CPSTNrrsF3wfB23SPgrHQ/eyte5m6HIj0isSMCNq6n177rux+O9Lllc76PCx
jHKvc72dsXisvSx46Mf+WrruPmlqv+Navr6lB7jrUvfIQCQKaTM2SL22cW3a6mk8f0fY9nkDbXwh
T1QWJzfTDnXnnaqleppn8eK02K6WRL07wnizyFUrBhtu8nRhuN2jTyTyI++hnVDuXnepU12JCl4J
chsZnKgJ+pxhLaUjHMh2t5KoGmIBfyrRzujqIQl3zHVUubxoy/KSt+RuCOT3vjV2rWVfkwMf11V3
34rqtgG8T7vP3s0u2BkvG19R1LWwZpwqtj334E1rHhJJYV9NTfI9s+eHXA7XnsEiIRakM8erzoM0
SVD7szzjeYJEoV/RI96mfX/rd6yjad17AImzSuwSBQFoLbL3RQ8ibI1hGnwg+KHGOgHg6Oqp7boh
rGgJhOhWQ1gSR5kkVmSI5sJxli+56+2xmYBRIXm7Zd8tIY7Qt7WH4U1OfOLVuMhKdU3X7SizXoTQ
4zlvdiv/hdj2uBi9wrse+rmma+1epa3Je98aLx1YDfeQgDb0SHZiWh5QkUuatrK9FH6yr2XNOjLr
vTMaW9UFqHmV+pI4Gqn1bnWc5wGioF+FJqIem6VGPTgRhzy3mr0bkWVJe9PcUBFkHxmzpMFMZiV2
IBWCDYtav9KwWJo7rA0opEreaFkhng0fpbEDbnk95t6NNdm0ZROMDhfVOgKBFna1ncb8aOdTEBdA
LEMSYh9yh6OhXjaXrtTSHWPn23HND/rqn5w+e6vaEs6wLu4QuDbKy1Rom+YRSgtPFM4mjMj3Qe2f
lEit64JeQuTPhKVyAW6+aDZeouJOWvrWG4hJ1Rb/WSXqw0ZmiwTyfjS2KXGz2YhQ3M9T6A6Gd2t6
BOzmOv3uCnYo1Ed51XX1gFKpjbcI88EhaJ2XXiv4ynp1Crwi2Z41OLHW+i7thuFukkzetq2Yt7WW
7Imkn99MYPqXwlu946jmmyRv9kpPxsims31Zas5B+Fq7p+FykCk5L4unvRIfpO+NcZlCAtIvp9W9
bZa53EszRbS2i+JLqftk/HZXVRb0LxmBYdEscauMvblTyXzX1H0ZD2P+MgRuv5VL9qJcrjhzATJO
l9t+yp9aY76rffsUzKRSB2YLiDRAJJxN88rwtMvZC0SUYc3lXJDdL0q/Miyo/HV3G1jqOOb9BWP5
yxJiwFpwGMD4RM6/xF+7bny9fiXs8uTact8u83Ur8ASq0bywneWhU8b3Mp/3niXuRJY8McR5ZznW
VVrKC4/o5TIYpy2MB4hNpJhXRG5E4DzeSe9FgdI2dukfgoEY7rnYrWeMOI9raPtqixngss1SbI9l
sfX9/Aot7Ku11EhH+W4iIyHMFVuQofmvhi3uUgW6hNbbdVFWGyb1t2ZpXMu+KiNs0TGRsNqFqzcP
w6p/bYh0CfF6xpm25KQyt0zccmQ59paqOQqiVxLyHaoFI7VbYbnJcIPgn3El76X1QizGxVrwrPdS
she2WhHmuWPdeWK4MvhDAttGgwkJbYgW6Qdh1wGFHzpiOgPAfFpvHJrW7za6XL2w1id1QF40I0LU
v5HE9ESDKA8DzV5IvNTeu8rW6TOTSIzQjjco6x+r1r5vslEDrkMGiYkhHFuFE2RIozK/daQgggYH
d5iaZKOXLfiW0Z/eyYNPombqLkd31o545DcrjzZLJXgBSvG6yCb2+mK9J6zWx4KJTF9iCIx6KCTb
bg6M7TBVz84wKf7K+YuqjUsS2pvQcw2+2w5lUDNRgu21b+Nh6Ytv5uR9ZTZhp3rtpGT7dpb0GPxL
rtmmNgyAEqqbkrbRMSoYgupZCZh30630O4Ac6XRPki4vl849cP/cittcFXn3US39CUEq402zqEgn
QS7Ke6Q2My2z0xLYnN8KBEKnhtM7wJo9ETJvb9th0c7BAAB3E6Nt8F6Uza5d3UJHU+4KzqypYK7V
GkOrVR/1OnYIYVOGkWjM2TLJxiT5UOyAwTkNFpGiwzegL09rpZZjn2rOO96l8qEM5FXfFwylKFnf
k0iMhbjTmnjOEvOiLqHWYCVwxycdiRcfGOdj/PHz14YAvjQy6wyIr9X69znTODQLqfnOzyKrjuzm
iB5L+2Es2Xqh0c58Ihg6+O6dBclhthh2cOuiixUxxoRrMCez8WECRzS4s7sM+99bqVcEltvW5Wol
2XZmZuqqIlryoxhXb4jxzbivGtxklH6wuJHBsRpJOimxtorggPV0MUPsA+qQjwYG22Ix/d3aNBRN
qVGbF1myFEcmYdAoZyHiJh/Wm8R3p607O8uVLNvhnmx159ryyvpSlsGXdsVXmgPV+0gqw0jCJIfc
VLupG6Ula/QcDngh2QV3hM+XF50s3XtQI8VGt0bnami0MmzNamFCT4q40/Bgw1OermEIuU9qgtQA
vmikiFJdf+nOk3fqc6Mfw8Lvk9suAKxTGq0W4TzgcZrE+JyrzDzh1jNuaQ50BR1zq7zEWpw/4OHh
+JvoSO5R6STllhXrvduGhseKF+jzwir87nmj3EzFbH7F+lJd6DgTIgZuulNWS7RX6RScLQLothnr
esZM6vDsH8t5TndmOnl7YSfDpZMMzPPk+seI82qb6sEQ20nmPxRA+K5FYIj7eTW1WPUzx7PaOGRg
6MJy8r9N0khAG/Me6iHylfqCsJ7pXatOTrqOdxIwM10Nr4Ak2RemaGJEHSM/5naqYRHBSsypybyp
dNatutBrkBT+96YHrNdufIflcINZQKnxUrdFbsyxcNeyiMEpw04eQuX6s7WBpFbIqJoTt94sZNm1
dLw047InWMy+cUvfeB7sWtkh0VXYIie7Te9qW10gkrC5YnI46Fk6daGZt+VuMIX/3Cjc98Oap3j4
5pq8bxd8DJ+eg2hm4WyQ5tYwKkGcupnBlfHPxrtJ37RKjBsH/WhjiDrZwY9ytozQzvuJjPWCvvVG
WkpE/B0xzsZmW9aNRwumsCPUlCGmT+hfnLM3QjgbN2LmtGQsQY8tKFh2LS/+lVx5E8y3x89VdhPm
imo5QtjqdpT892oCUMwP7B8SlcOcHsSmGOb0suiXL7a/frj5UoRKw2s3WYO2mbTMOmZdsmMY5s4v
KXLw+hxTGHZR0KbTBTE8Q1ythrNdFpltpm4cj0OZy8tu8Geo62t1ypRdHfNCGJwwLeslCdz3hed5
l2LTjW09b7YY+iCiJ6PatI39ACV27ymn3455AXN7MNMh6pYAkuCQuKeBLKjIcTQwDBAwtwlh6oeh
dYC3MW7DuxKP4dVYb9zZN7bLgHnZ61QZOs76NZAZKw9XERZPy90qQ/BgKZOpuTpzbx3bPkmMMpCe
1gs+jxM5KENIFGUhyAFliqHzSW3JW++CR5lJCgl3Q0McxwaZ2dey666YgQwOmasP29RegqMIZnQt
mljFc9/WDHz1ONIOo6y+dvgJY7fCmQM+f9r0PtmGixL2xu5TJ0p1q47zuX8jgK6BL9K0UZv72jZL
UkxxaC7Xoh3vijR1Y0+mT5OOE9BTpPxKoV6XQTCYoE/JpjbbYM/z7u3Thfxyk/ypMJj0bUs+G3n2
hvWi6kZsEzK1wIqDHJ9964pWp7oSdGpjqso6psQYT065rBGZYhpHIsdRW8SOsOXEEdUGCzPVST9E
tKJ1h6ftRKH2ppvld+k2p8xna57XuroqwDtd5kFy7TsV5YQ0py8WMYqHQGVnS8dkfYf0kohQGGPz
6EzsghURzPBM8wtfa9jUVivYTnqR7X3k2S8GG/OhK3UZD43wLtnii8gR8G4oY6oNLwJsS75XRUuR
mxslPeeg9864qUxjeVlpr256gGkX9MHr62KZFYVO0XzVEpzYAOAcopYCp/jiDE256XwjOSTc/KaH
cL8R5mDPIS385DDWWX00mQTa6nLQ74LOIQ9ESU1EKRScRx+Mc2RqFjD+uhnvm0azTtTiHf5lTzzj
upwjg1nYy2JugoOW4JgMydGksYnRjeKoCKDCd7WfXGEyMaJeiCc1lqSMJsQ3TwT/RI4lO4zsZg3r
tXozc4P3MF5vDNriabWtKyPt9Guse6AOvYBTmSeaYiEBYMYBVKrAezILrWJuxkx3SyC1oxW41ZlD
X9OEaB9LrDvWGhtt0mZelMCq5rCoadGMrzRWi+WHhrO+sByKfS9XezPMhQlBvw2M0Jw4guIy5XQz
sVJsDsq98Vpjntlbg0HT2dIE/vP2xl2mnlnO2t/+H/bOY0luJMuivzIf0GiDFlsgBCK1IpnJDSyp
IBwO7VBfPyc43UNWDCPTutazarOyroqEcvf33r3nKkG/vkACHQV+496NzMlu7M666RqUr+HqLTpS
Sd09aHX+YSiND4af97Q+Mwr52uH8t7RA4KuOVYJXwu8Q61ijIAjH/dhqVh9WNqJDue5WqsRJgGxX
FeLC5sUr/LhIrDtr8T/LefzCUcrhiFuM+3byB/gv8ze7We1dYfdym9geZUfff8lS0DeiWQ5trlHk
tfpwMLrJueOb667XWgxXHVt8LAuj3zR5ucRZm85bt7HELs09Tb8jY0tcoA69dvLlk9Uur1rRKiq2
aXmsVr1/sCcaHAAZUoj3nXS35mDeNth009CemZcSGjhBr5wulQkprEI2/wmcCylvVkMdZfnada04
PJe5HXoN7OzUR8eNXvzRHf2PeOwua0aSu1IKRIgOO1yXumE3ty9QldqNmUz7ZkRf72Uxh4YNDd2r
hbC0z+3CPioyHWtRFY+eepw6oJ2zTxbL+uA2pPHRgd85Ba2QXK+v/XU0OftWKDRQDFZdnt9PXb+h
Ab7p+Jdqh3exUO2BIKODNzs3Xk4wYqdfFpMTNba5X9PiIm3t2F/l02zr4E1yiStCxapmvQzy+15T
T2PWHHnAUVf7MT3VXTbLraIdEsjxIu3zTZmh2k6M7wMDArIjNovb31W4az8zNt50k7EpDTbbtSHA
u9WgoXb4JZf1U+HJeEU76WRORBYqsA+PjAPtsmv5eqvgEj3BTibjFNF12M3aHPFm3IE73QWO/NhI
wAV59wJpjvBASuNjabOmFwzVI+k0O2HoO1tbhpdRurtOYNxr+7DpTOwNuhlcLIH7IWlUBHdqW9qK
t2jdBKLdLQKRepElWMq1yDXZ3zzQ9LTfw1R+k1bT3swy6OPJJK9iWS8mc2qeJ8u6kE63h5t9sDN2
9TyZD2lqbbIa1ocNrYbm7tVAOAqFKe9qYl1Vw3SgYUAQJWpE/lKR1i9N0W3QfUbsHySTNndMQ589
jWXQT9m0MdJKp3qoehpIgT7QWoHNjYAf6pjBVIBgckbehedezV6/z1xC9FR5Z1mNFaVFFpUZc6PB
32mBqK64ldeBkzwNSCyE+dWazKs+z3dzLu7syb6EXyzAiPRPblLeLX5Gd3nmP0L3mWInMMedStOr
NKgZNOXyMdHb63Kh+8WObg3mZm3luJldvQmrybpPM9VGa/B5kRpgJ9htbB70R7WYZE8wDasZue58
Jbr+uvcb1gv/WlPNZdmTtYkQ39XqQ5VQ9iu+sWBm8Bc2k8IzUMv7pkyvrLH4PPXqbkmJ6crN4cIs
1ihDifhAY33hGFBu6kQNW9eB0qVs3AnasYHZtWFVj/M9IXzHgFb8BetQ3LHh35fucN1xpFx1QQPB
pLXG1Ytx5rAfDJdjlT20eaPCzhsvm7LfZopGbDnp+zwDKmgbEPFAOvZTUEW0ne5IhbmyLVlic58e
Rmd5hEK/8QrzElv0GFVWP22VRQzLELCaJlpThVltqd2Q63GeJdSevFfUtlu3sD9bfuLTkVAvta0+
duTP7LUS0ZlAxG6buEHTsvumE5CJRenHnM0HBH4Huw42c5W/jJl3z8ToA65NhP+L+lxa4+Uq/ODA
LOLJZtVqmA0y47weguzLMi4X2RjsksK9W4IiTv2E5ZJhD9Eb2aZLgp1ndA+EaR6pWUEeGfl82drG
wRGSGBrng79qt2DN+xB/fRr2qf2o8qqPkm6I7LS8nkb5vait8BgH1MzabeBmr0E/aoTH5SjxKfyO
pVzNpU9afUttsrF0cemU2WUSzA/CbR8U5KQoc/qLqulv2P8+13lgR9hlP5RpNu+lOXB+8vxtylQw
kmt163XiqjOV2Cfa+okJdjhJCHpQC8usWqkrEv3KX/X80UipwzVVoBJfmcoRLJBy0hhN9bjm8kkU
0xxlCW0SQRYXhhEqrUNmJ8bBC9DtGLpYriYDG0oZrDdNh0nK7/ku+D7KQ7+03j6dbf+mZA2Jh9Yz
PizHuaCeYnKsDJ9EF88cgkM5221kqoqGj99VmCk4zj5rxUKATucF62UOCPLadJwhEkS0tLu61bKt
0XXHI5Dv7hgkM0RuSxGLocwe5ZoUX4RlFncE29L1EQH5ttZEnADwb/NhXHLnzvIynYtBnR7LROjf
R/RvSNaNSbEQJXkRpckKd1XPvpQZgURxkoPsQiiWqhd8LWjG7Kme7oxWIXycA1+xWZl4P/hvf1Fl
YkYktHT3LdPDuBam92jlwfoJpKR/28jRv9EC4F4RfaNuG+SkFPajrW+zDlMtrUPrJdEy/fNEJzmu
pzIgEa5Mmp2LnS4qGMOV2J2OCBBvkLvEy6cHMLHaduF4s02ankOVyR5W9Wn+GrSeRcdiVRt3HrCv
1I3FeXxh9SmG+dJRs7VjnGBysEuCBycpS2bMPXVjyeECRbVmWjuDLgkLO9EI9mjm1/7iuDyjypw+
llUyRwmV+wUgEP81kwH7s0kXNBXKDn1fkSlglzN2+oF8Jyv9DkG539TLkrfhMLEBgBho4t6s1IWv
qImmvP9WZNlnb3CG25zuwdaYRPukpK2r0K778SqYRX1YViUeO4fGajPlNGXoq24QhxqRVzvQ4Rml
6JLOT8JCyVCSBipUrS8AC+sJJX8wHWatL/cNYJCQ7Hdv5/ltc9nWXcUHxNLWpmRO1MZNTc99N9N2
ewj0VVzmGMYQJtwzGrIeoNBwDm47/u86qp7N7FfVduS0/WnuZ9IXLSTFZj9UPeJw9n8nxX0z5cu4
HWihkndDq2lEonfX5ol/ndSedrPUGfFM3jjXJDvnGKiymgx6c5kYmVV2eml388TeMSXH3QTFRTg1
qbrJe8vCsWEUlwnGlHtAq5/bzmx39H96aKFuibpxDSKi1zAJ6DUbO3zH4UYfvTrnDegZNonAERfK
EcEj1vMA35mq+2+rgZ0xSlUnd603qVu/0SXlmouxQK2m2o9TsHLo5/hGie/Z+9Xuu4FjQcEwvcPQ
y7dG++Q66XDa9n46XNiiKYGRtyv2Cxfn07iT81zEigEoTou0SDj7m539BDwE1KYzW2vExJAOwJCu
wS3+dw17x6ItnBiH5WYWiqmWkeKU6g0ZizHPgINOGR2dwbnOGdTx39TcmyYBC+ZoBV1KZ5ErFp/a
DP+xAuF3GmXQSgjMJeNdTnUzYb1OKCXqMjHIzy7c7BkZNMaHOWOyhQx21q3DP4YM32LLKHKbjgSL
Md6Af81sbGj1G5J8+mH/D4GroHctGhVNETDPynJ+K1p4x+eoaJbsY5pY1MQ/tUL/r877LVrwKN49
Hy24675XX7P/2qv8tXr9XaF3/Nf+LdAjKxDRku4FNmdXDzXc/wr00O65OpxVRiHo4pDIIXv6V8Cg
809mfx61qQuPNCBLEDFb/z8Jg+Y/DWSsR0YvSlodpa/xn8jzzJ+5Wr+0V+SQQpbCNx4Y/AjGv/8j
ih4M/K7VdOz6J6M4KI1MumihrVbgyxM4Mxez0/vI5IRYsp600wvvma320yBqwPcYTKJ6puzbMKio
9aipdXmsx9N0T8/FsHfQdMQuL4ZBbgdnneJ6YHC5RfHCYCYXrjYxBE7d1+y4kYQDHzIjIwriHZxt
LI7M/1AZJGbDTNsyoFJu1LJqB/Cx/Y/A7+XHsZE5JUTSDE68eglTm7HDFrPl8030vc30o9l3NNpF
1KMamh8V/KaLqT9Oj7n53QspltkQEbrh3rf1bN0jVRxlLJe6+Ca0pX0QeiBeAiMdp2MKYPucmoNH
fvo8FtqNV01zPOlWe0wkaplcmLVubiqc0l9VbWbPg1r9B8cq5bKRtbcyrEsMjdnbWtEkr3vH/oBJ
nIreRrWNB2vS5DfDpI37UU8H1/+ImdnA6KuR4LCln2Y9jZXEy5SyROB7Xh2mP4AIS/yb7nzUBCwa
+Y+EQLv5nS7TVLDMAgkLF6bbPMVsnC0WI8Qs1wIVk+Rek1XBPK3LA3ruaXthm377Dfqankf6YhXt
rvMWn0TJAg5FKGj7HmvGtb6R6ujyNoq+5wCsW9TiqilXeZEbwGNCl8PrBIqLU8fxgCpuK0RUPE7T
leg6ZEV5tGbV8C0L6JVfKUF37QChsXtedM1/ZYe3v7lZhWgFy+fy0S609FOp47sMhV/Jdms2tqtC
2oEC7Q2nSg+b5tQT+dug17y2vdb+nlZtJW8FPj9jl+VoYZkzyLn4MPRWbzMcqxzcKtLC6Gsq7i3j
1lxcG6DvqzAPPDRUfdko98HzGjR7uubqB6SSR3P8jHV/42LAZ5TttWn2RGwQRrwwN5ZpDtuG74xq
C6RmV+nSxn2Vzl8YAvsJp9c57zegN7tnCEns3W0HnYwuiH9fZ7iudtZI2O69AbgKFkFQT9rBLu3p
RzckQX5R9hxQXoduGXw+gsTyLuE6oC6TCwL6DV0zBmtrWbnJrpKSLlTXkwfNWXyuXExwJU53o8yG
IBy9KhmilmZiA001TRn3pnX+jA8i+97ieQa46HoNrS7Q4OhyLGuSPCurjmcnre6HtbNRuOEe4G0S
vO+b3KOUI+IOvMi2mSvf2uDVG7ONNgb2D42USAZ1xXCEaBe+2aP5yqpXzyCOMpxsq3sUk2VrYWZ1
aEZsrfTXiBAku71WGQPDrQlowNhoqZ5J2mGmupi64zlFMqjaGWaj5/GsVXKPJLbh4FLq4/1at8lz
k6WdFnXl4N9IRFmYwgNjeKLhRNuXNG/xlAJ4EuFozt6nVOrBQzOU5p1OHuJ1Ya1WVKauqjf8OZna
eHZQt5sO+7UbtXiRFR9ty6xuNfNPxDjPr4mz+P7BxxxQRqzUrQytOSfOMhFJdYtfFZWdO5l8m2lV
THdL2UBGlIZKbGzRQhBC3RH0gqXbCYgylbT2wTYK9mysnrS3V1fgKV20fr4oE4QLGx89Fm/96DOs
6vLR+xdl7P939N93dDbZN3b011KQmPvtvw798X/6v2zq/Jv/3tS9f2IqsXQ2ZsovNu5fm7pr/BNe
lI50HscLovsjQ/Bfm7rmGIQDA1j1iefjRMAO/r+7OryOf5JKaQDVPNJ4eOzmf7KtG39VjmsQ5OEs
8BMnAu4O2zQkVVHGYnZumVe3YcPYKsKCA3B76KzPOgOPD55Vzs+MqwUTmBVVTWO4SC4ZfYApDfYk
huRbBM3GR9GN72LJuf7fNO2//rITeX6mFfrY+7aI8ffKSxRyDdknHY4cUo6uzUokEYpAh0rI00OD
7sjjYK0fGNMZO5M0LsR+iTOSk16mG2af5i4xyYSx6t7Ye7U/b0vsWA+/Pfk/aOFPnDa//tLjvf1N
da/X+GUGFolYJfC2rI4WWKk1kHA9kX3VSztDhTPX2xHFbxkyZOXog0b3HUDc2V8/2hx++3WLMXnA
7ArxYWs6O9bjCfVz6qAhZHfpMnSgoGrLKJumZtMY03jpMqR6hwr2V8fWrys/8RvUlZWvUKVFvIJW
rMLGHfP7lGHLAV0to5kp0B9yK1+CcPBo2799u/9q3/j1m9ZfrxeRnG5qaIrjRii5myTSgdqvymsw
vN/e/oWTPO1fP4ER5vdb6tuuJvUVsddopNnl2rTZFv9t/STBbsbFmmTbwhYj+ceLHnmNrGKJrn/n
p+uNKKefCRAbpC10cUX/pWpdBC25qZhzGck7D/0nBfzXYfzXX3gCGAMPXFe9OxWxKYo5qvq8YIRa
97sSR3GMqLy6mEgRvUiDQEYeTLonyNTUg0YbbGulp3y8aR8C//X2lpizC30yzJsGg/+l1TLR0fsA
8hGlYighgty8fVfPPbcTCxjSmXwofaYmazLLiNEinrmZRmnVeO9AtH7Gd/3fu4KF6a/PDWNvWtpY
6+Ny1Eui3Kw2zCpgRU6JzhhUGAe4Lq/38CdqgneWjiF0Ky9GaSDtmZVx73ewzrMuc25rwd6sZaP4
NFSpHadNppBTL6ADYF9HyZq2ewtW6nae0d87mQEaoFfGVpRL1NqkQMgkMXcjAvRL2BHtYW44CDYO
l9zBvLm0U7sNe1E3G5ViziIc89pMlb+b0s56xxH057uNU+avt6JYnLUA+V7HoKT0qG7y49hn7UK9
YVL79gM9s/JQef71N9rOw5+8zNxur+h30MB1GkaZjIYKhW8qP01J90IQI4oqy2tDX1rLOw/aOH6I
f3rQJytuoyXKszu7jkXuKuRUDi6MaMIMRCWUjd9pXXoVtUvpuWSBLcKOVGME+z4gJRTt2uzo8ToY
IGTeuRHn/pyTJRiYWVOvtcPNbqR1hYlsLEGG5TJeFgfJSmVfVH5aAve1CF1X9bTVDCEixihzPNoo
W9/5M44f/5/uyslqPFYOn7tu1DHytjyuTILoBREaUZcmH1pr4rR9LIgWfeAQPbX+dsVeu0fwr97Z
Df58lqBD8df3wdF1W6PMxXGEiisyKM82aV22lxWkSA6qJDu+faHn3u3jY/htx0sWny+L7EtUHbPc
94uLTjqh06wb7dPbv3B8g/90J0+W164MgpU4oWOfXhWbBIP4phBawBM01AHAFmBTcGqf3v6xc9+R
d7IyqgrWrmzXNJ7xUDDidMV9KTyNjYdVRxguc1nfyg6a3fxgTNbRJC+qd76kn4TQP1zpqZPOo2Jf
lnbQ9nmeVRd9Q7tBr/31ZfEc67oxjGrLPB1xopYxQU0axM/cZtD79E5d54s+HKd1Azc+3VhTHtzg
vEiYKTuLinNnkjvNrtLYkrnRRMBDmi9opuUzkZPNPlA6fRTNlBzV2qqlmZzbC243C27MbTu4wbB/
+/ZaZ1eLk/tLKa8q8BZV7Lv68s0DzImRjSu/ALOiBbve4b6HondLL0SVVF6Wqe4XSLeTGZ6gHcAZ
8emYbIXbdGgv0DiTd8jLlyPDYjDui+u57FxB6broX6GeJa/I2QwFXcxCJL706iXTxxQq+wC4AAR4
F7HFCGh+DntVOA1e1SJazQKxdxNk+7qvOjwmQUJELEGHI9qs2bzu1bjcWElpqi3CWCZRS+9zvMsN
bWUMknhMHysB/s/lBLx3McYbEPctdYe/gm7TRJDIber4TF2tKUNdEyjaQLMrK/yhval9WuxO0B/T
5LwdAq+WV0s7py8OxzamocXs34xBZWwdd7atqHBkikaaMjwIVTEVbhRkXutus6ZKd9Zcp8PeZE7w
RCJgfZTj1usPLSm0r1ORB1sz0XwnJkbeum99ugkkgGr2VVe4wdPSE4qwNewkb/jRpQL3OUqUM2Wt
umcq3om0uozLC1G5rt0W8Ro2zYVoPlyU/EMaJ7GyyotSR70TVnNu0LKi3z1iQFPFa0Hj6cnKpbgV
dDsObYUN30lNOmND5/DkIZE36MHKBouD6dpTHvdLj2G9wm8xcaNHZ7+Kynh2IS5aDDaEL6LJcMWt
C1Jcu8gGp/9eu075YyqaAI2ExyAaSUW15QxWb7Foj1Du8MFgmqqGZAShraQ4Sob9J4lKhBpGTCWm
gQp1uANtq4ZDJvHNobRDlNrb4kjhC2AReKMhnyeZV3SJ1tw2tjCaQCdlZqpJnHiZ9Vws7hhbvug+
FFVRvBrCdb9KSHU9wVn1QqLqoLtfSfJbtZ1nM3EjasWc03s3p+cfGY1WZ3R7fM7zTArrB+DP8mNq
1lUaraUp9Fi0qm0iTFv6LilFBZd+7M2D0Mji2uVTt9JK7V1YYrDrrnrEg1ZoaSMqi7zJgVwgQeXO
zJmu7m1Ua5gXlA4mEiWT+Yie2Uw3+WDaDGyXqtxMjeNuZJABZeuC4BJvjdrQdUm2yJCngRmspANS
UJziXyrWl2BxWgwTwepWkZnMw2PbEGKOTg3X205XDcAg3872yIeQPdhZMNynBu91pHCpvjjlkP5w
sqoZQtuZjn1To3C2Hf47J/TU2sZaYMjd3LdNcTsNhvs4ZLN67nAID1vNrXkPeXXS41iIw5CrW8V9
n2V4kXrpBl9qvjX8O2XnPSaqqX4gx3K/+umI8y1bRud7u1jM+RnTAnhE4zx+KLTeBNvlecGXAU9p
Fjm9VX2vU7v4kNd9CT6UlqsifQgoUwjfZzHCo2jwtSUk6EYZlvlpmZXamVqnntwub9CJAQ88DNhf
my0upMSIErBifs8gfoaFHCJYzX/MqdPA7PadEChJc5EimH8aDEmPcS5k++rxOgE+lHrXxmYtix0W
DIzUZe1bL4gV52wLnOZiknp2aGGS0mgujLbBHFliEk6XYo4Hu/QYOitj/YL8vhniBSHzujXTQrtK
+nUCQbSm8iFpy5lVc2he4HQs8kJvEv06Z/p6aFU2eCGGzfqj3Rc8eKZz/pXRrjDMRNfuiJUFk6fS
JMfZwefLg2xjp51mN5wcQoWjQMAMMUpv3SwyZ5BcEUAcj4uNP66bg+C7U+s5olFkI19lSu8ypF53
xKEKZvWFaf5Y7XyUiUbYeEYqI5fG3/WC2AZqltuBhBIDivSu8jI2yyMDdNIa+wV5uHwdy4nVtuxN
SyIGQqgSukLwPve4GBPWcNbMKG8R54Z6ljkMkW2+w7e3wDMHplPGSzshxFdNx/l0WPqdU1npoQRk
EiLsTzZv/8TxjPmHc4R3UgvMSvYSvFgd04PsmPUsVpwiUY/f/q+b567g5MCPPLMOVs+s4ln+hH0J
RjU4WkPloA60Rd0/lk457VYTvCZtB0AmieVeKNyXSCzzDLkZhBsfK15Y2DVkYHbBHTrT/GMzesZe
MwcJwKXPY/yeKK2bgl12EutFa/v9jd4V9t88onvH6/vt6DrT7sY9sZZxoabiiplMD5VByzeFaY+7
fF2MbZ/Wx68t6A9M7oN9mbTzldGM5vbtO/nnrpp7GkTlcYyTwm/z2FkK/ZaMreR6npriWWu1NVwm
iWyRWVysKdQtxZou79SK5pkTtXdSGyzegqpU2XmcFEX7DWsUUXs5Ri0j86bmSlmI/0NcU2ifx1ZO
HwbH7l8HyhX6kWoZ9b3bCDxZa9Djk/JWBI6zMeXMnWxoSQCAx/YjlT/jF8N1kCrC9U2f0PCmFPZZ
WQdbNxvdF22Yx8tygilIkW4lLCB29V6G8Ln7elKTIK0tahZXOHFqNjn1ZMdGUVMOWzVPvYOcKnGo
U82GeLFKT6pvWV/U72WOnPs4TqqVtaurwbWoH4LKlS9uOi9bxhOgoJui+Y/47//uN7mnSKZuzr0O
bWDByc1ETq7JvawMDrJa/m22Fu+dz+PMhZzSRFJvzYllaAT+Ucu+ShmaMkw5Yv6QOryzFJ4k1/66
kpOFqqpWVyutuYwtZ8123QT0qMwt+t4LKfQbj+0nmrEA3VVVgJxR4WSY/LUge89Mvr/9CZ6gt379
CSeLmUc0VDDSoeIrG+pDkyzL3gyq7A4OZ37fon0JFQ3dD5WBhJQcBue6aKVzv7YCMwz0tbhJSvlO
cXTmszyyhX5fj6ouzXkxBxFrHJtDv9QZA+oOflMclpEh62LroX75ez0p/6Q/QTfMI5MxrWPlWxPT
dEggsDW1rXWkKbx9b8+9QSfLzLCQRTl31rHJWJi7NkXihIJ0JKELTvvbP3Fmp/NPvvRmCaBC0+Sm
q4jPzsrxT/ZgcN8BZp3pofgn37KfTPQCPLeK29bpIrQeT3Ung8u+BDcwIaZ+5zM4s1ydxipU4+RX
ZPNVMcEh61Yf9OmmTLXrFJD2lTyaCifIjBHuH444Y2K+c+t+Mgr/dEo4adBWs5yNrK9qtIx6+1HA
w+A9QPrUh1ppr8855KQMqWaRUvROaU5mS5kgRsWIuBI61Griaii7HuBpkosf6CbqjzWKDZ9UorHT
8MiPAu3wz4JaQ6vGVKJkxbectt4vOLXuGtwNzx7kaRFOjNwPpsmsYpN4NoJyK+G4uddFT23maS0a
YROk7b0hmobBud1BZ5iHfrzHniU+Votk6mRXbb2+80DOfIinYcrBMDHNgoYcJzVNkBJZ4Q7x33pl
AeQDcSOKZ9xI6Tsv2Z/HNuTG/PWrd40Jj4Tf5LEw1++WNdwf01spX4qbUhuNfe9P5Wc7JR7h7S/m
3Jrrnix4uotCtvYZUVUquzJ8hY2/lkh/jkoHz8ybnepRaJeBeE1WT3tGBIKNnt367u3fP7MouCeL
nDCSslnnQsT20Warly4G6CPjwJRl/s5A5txPnCxtHSMXPI3ApxjFqUOCJzga0Bld8lvr5u2rOPeG
nCxtqw/oBYBRGg8WTuV0akllaJ2j39ZoDnOL36M1bO3r2z927npOFrkKjRmVu5/G1I49TAdMR4EV
BNE069727Z84s9KdRgdnHrFjKBZEjCC3vjOwXqPXtZB0gcTfJwN0+7d/BwzdH0uTU/haMLTOrHUc
j4wEMx7yRivq3TrB1GXbO/xo2rXye3HR6+oWcWxw57kSN4ZRNx9VZRqv9SSRG2fG94oSA2cCcSD+
oD+lU4EBKHS1pInLDPNKBlxtzXN3tw5leiySq2jS8HovKhU7rRv2WX0UUeG8346QGul7jOIWAvbX
ghYsFS6K9MKBnTHWqRXqXtYCKuAANLuZvK94vFuYOGzHwK0vheq7qO9Nd0MML0LkvN151KDvvGjn
PtejzPD3Q8FQosmDMUcV4DeU+yAwccKCoIrcEpUpEjR/n3WmHnfaBIOnLbWXtG9VhJVCf6feO/Ou
O8dH+VuZVI8wiFfLSOMeu9dn01urx9Uk78NUugGbm6iKkPiT8fvbb4h5/IT+sC05J+uh15LOOywi
jcvB0689lzQ6K6nWuIEXcZhIXtkPbo+n3uox6nqjDNE+T5E0ETsmuYt/fa4/BJkWRL0UHVLnDm/T
NCNalPb62WXUchwRFhvHLM0NZTj6JDju73xG527VydoajGTTeLlKY2+e+61lVnrIQrRA0nc+kQCR
30M9eBcae2bC5ByXi9+ey3KM9pNNm8ampBa3raXf4ytfvnjjMl7mYz5ejK7owfZk2eMkJKSzrOg3
bZ6/d7VnDl+ngMNCBHmu6QNXe5SJLTnSLZmT3vn2i3BuEuOcrLFt3wUjIYZpnBpkba+mkcf1OnVb
knTIGZhn77LRZhOp2VocOqclj8LW3XdKrOM9/NNLeLLk6saak1nGMUZ34PXVaq42uihyUsbN7p3r
O7PkOieHS5pOhb0uwMwBXprPVmLO10jevvb+WoFYMu33+k0/I8j+dC0nExd/qZATuXgnQWtCCwnm
5d7CAH05dcOwMevE3GOA1ndTiUpyLeb8vjIV6ThuzpHPbQrGGPT2Ec1qy3ZMPeticcxq03tu8vfu
tX2ywiE2tobFZ7suu6q4T0zawcZqYgO2HOPj2+/Smcf5czf67VPJFx/7KbSleCDRaI8oGcsfAWO3
trLfC3A/s7GdAkz7qdThIuf8RF/0F94EgGzVRLAzHQmLo8nNSBAAgN1bNe/specu6mSxQQTbrqBE
85jHR5DAbIoLXtk+spG4vnOSOiO+ce2TNQZ5cDraZUCHytOyJ1qwcj8GHcyLrmuAq2jWZiFj45Hf
bQ8M2bPYnOE0O6m/oj+u1Ga2DXCk3mxjbJzLjV2BmaKJMGw63Cl/70M6avR/XwdV0ALNz7Wc8omo
kGBywL4UHk5IlymPR3LG/u2X6MwHa5+sR4nbaqaXsn53xuIwTJfL5Yq3fJfRTosySWTN279z7rme
rD0BYax10zo53VuFM2jEJIsXX9t2UynfuWVnVm77ZO3BOVkMYKfreBynZLsOgX09tNWy/XsXcLLg
GO6ISlsGVdyRWwOLyne2ickO4S9M7f/WT/wUHf32QYu2HiwyZqq4qFJmSiSK3fTNeouMd3rn1HPm
KVgnp540WJTfLSUXkQUY8ATpH0HdrXfjKN97CmdeqNPwAC3LV9DQgYzTNhk+JoneIMQWBjxQQKFI
QYfD2zfrzKnkNAaVP72blbCKGJ3lo9s3Nyl+oxAwQ7kZmwQwqf1eMOm5m3b85789ltVlY5kQR8d2
xTzArPI1LLzWoIuQBe+8uucEBKe50UNqVoPfjEUMUAaCmzYnF/qcg54dK3M/TT0a+ePIxqS9AILY
gLaJO/mik+BNcbq+ey4/9/BOVgM/c2gLVJTRWd02czgF/oA70TGMzwmxbRB5sLYdRjMhaCnr1Kvs
a+Ozo/qmJvDGtr4OizZdBMKpQltQcyCNKykj8IbRQHn7qf98U/+w7596g2oN8rCv0OxaGJIF2UeP
i62Y3RfzzuxEByiBdivSQ0S9bu1H0NtIpBp0tQtShVUVjsYG6dZCMjqPcSrtimkvmBCVGv5+cEhA
HGUyw58DQSvxjmyLtCBODZRYN/VX7ShxNffYNJRNQNrRqzkuqfvJzfxxL6H34ozvLnmCLSw6jSiS
PDVvZh37Y/feGnFmRz7qtX9/GUsi88zG4EVh/m8eCmOmTglAfTV6R7G4mj80GG74PECZvn3Hbf3M
umqdrHwoNTPhz1kRT2uAbd1WtX+Zt1InWJdD2LqZdXV0VpUu8EwSuq6NvB4VjXv6e1vLyfMN5SOS
FJ+RcRfBbeyM0JsbdtSpIGKrc6zgguHbGIEL3Y0AWulGkesF8ictp8+yXKz/Zu/MeuxGrmz9Vxp+
vhTICJJBNq4bMHmGnOfU9ELkIHGeZ/76+/FIZWeqKqWurhdfoGXAtpTDORxOMPbea31L4bbQgn2H
a/ZYxNQFULHV9ByBAcHKylP7yqq14RJZk7zNpEEeb21bz1FdRMamhd7b+l0b2+cjY2jAPF3bRz7p
1sFl7mpWuRk0d7wJGa0OG1yuZb/TwiempLCA8jkQF0VHiBsjdkDfHgiwEyVFlWyA9NakQREmv4GZ
gkI9Znw4bQmFXGmTWHGP+mViKqgpbck2hNBAvw1arEmwXZz8i00jBwSkpZGnPMn2UzPo8YPTYUL3
tRooNrFDlj7z1pbgQYcQ+R4L201nR+OJNTNfbQ33sgoHrFULQfae2UREtsFf0JgstEqclQQ/rFTF
yBy8gCi7asvxxc99lhlnQRIGlm8TddZvEMk0uKnL6EGoBiS9FSRI9SzipaKtLEzjo9XV4gSTPMTl
yGnrvZ4XtCoMocheglfWGL5TBfWR1DiceOxL5Ts8uqKrnNWAWA9QuSQ7yWL6UupVN9ygnKxvEpUM
jModl0QxRC7uUx20mfQXy82OQt2U5QYUI/ADOsU5xlMJOf2ic7XsuSCI/GM2U4V6mk2KJemjZvLe
gc4deyOhZB/GOLKUD7llgt5L4MV9h2sn8YclrB6TfuajsqQZsVdNOA/HxpTIHqBCh24Mp67YIdHB
TpstwmZMyRQeNpCljR9nwyhDjGSDc1+JIP6qIX2K97jBwLqoHMby1BUJsZpNwVjenJFheOYokzWV
Ex85pOSuN/dZOo93VBwFGqY+rpMdFYlFYlCRm9M+Hc0Y1MMgBV7Z0DR9K1Lx+WjHpOswKdGvxzBa
lF/aeK2gsUf3oTT4BscoVuAhJB55DDpex4BLRmGxLbGgucd1qxWPcWfatT/1nfsZ0OcucOh7g+4p
ZiAqM6yuNHPVfiDACUZIbI5gY1ts4gCO2rMxA+YFc6WpP81DHD60+hLvtCFL1i5WlPjCbnX3BAyv
VoKQVrz1kTHoyRgbYvAlnY5rfHCVc8T2jsmXQ9Rltu0bohQ9Vm/zEfpdf68FLcZMPhXqJAEYBWSj
KPTWk0pPLu3S6j8GfT2cMnIkGUw4YPPA24TubRi3GgF9FfNQRttuk9zQaS73RQJ2cQCzt+FewCfd
B/lCry+t4/u+CNRzibubh3aST5wSt23DbdwVJSrpmknBrnOrJWTVDqrzcASEspNa1l6HVqHPvkPf
w4Lq6wYsV07Tk3iG1SH0ymgBOK/3Y3qnYaHDatWK/B5JNInlUxo5j7DqqTRTEl/hbxK5yotZpnW5
OKuIv0wHGww6qLU9YjmM0pobWMuuppkIJGIiYG5iBVmZDYvBUlMNGu6SrEVORuYhlAOpVXB1sNhD
11scctH0oLrDMoPce9DVWSrHFFCPm3fPw2BYrrcYatmBeQD2ANeIIYhpku26kHLmQMHibnC7gT65
7MbzwWwdjPIArH0xBeFRE8DaO+n7pVr5UyOywQpEw7PrDmO/gZLU71qajp8I4NJZutIOvGFXD4Nz
LE30UV7eWhwBt+9wOi1p6HiIc6xLXXcg97sNIByCBIBTOG5sXfOpr5EQRm6dEDLq9jNEbmf0y4Uc
4H1IF//RsoZzB/RWqNtxszEcxz2dhBZ+yfl57gTEPJ5tFPGlmSv5FEShRihoUlUYYm1hHQNTN9RO
wnoLt+5C9BzDcktdV1NLumepr11PiIUmqQE8UAkn7YeArU7H3KAt0nnjuknI7D03jNqjO6N/DOZR
ZEddHlzWsVSXuRyMuxiW1w25mlHp1eDquRUTTLUEqrZNgPaqMM8ypm3c6NUYXE16ZmG47yrjkyrd
vtxaLVIjtFT1ZRuI7nyK53sEi6tswk2KOy1dtARdZdQ+Z5NdzgDLZklSaZ9C43Uz3lwZpzMBAgGw
aTqM+QK9syELtiq1kdwGRyeUu0v7GxRp402UuNPnsDTbee90UhNbO7XAtAD0Hmf2npk7ezzSdcZT
ZagfFZwCb3Cz4hFL4XC3lEV+URFTiK9UDxd4P8VYx5tJC7QBctIUHOkl3EivhA4bAtydIuL84j6W
+wpD2lPEZ/cTGwPyMHP0xhUyuzZYfamwK1e9bkoatBu4HYILFRybfUGzj4luf8Zc2/IQckmcwkLz
EKydxQMAM7KORXvzfyDv2cDApLMfiiT/gF6Ht0YObfXh5xuiN3Zghxbvi3IgAYtDeoTt7slBbGHi
GE/mmLWXLmvXcQ48geEWT5oB1Psv+hVv1B/Y8F5t+Vg6pwL4s7vneVRdpwiBv1LnAkHP4qefH9Jb
XcmDCejFMY262UamZbl7NdAVK6SEN0uSws6OjfaxsxUDaFi/mypvm6MYueGmg5v9+IsXf2N/KX7Y
XxLWoNkaXbz9YIx3oWXoIHcizCyYcX0R6sNGDFa8JU479gSr8jGZ3/rpCDhuC74f7lmbabtUHx5+
/nbeuLyrWfLlBntaRJVXw2jv9bHksRMOwMOWor1w46jcI1zMAPrEcKzYpPziFd8oug5tqhcnn8dm
l9oixSihJel7gU9oI/OJPQcL1jGq/el/dh8dWqkvXsco4QIIMao9UX7FNspEds7ecthUIk6vf37y
3rhVDx7QFy+xQOdJm0oBA15mui+ufZlNMxLXYPmVuuatV/ihGG+T3JAaw6O97Wj3XSLlVZIZBSKW
Wf9FY+Gty7Hepi+OAR5AxszMZAAQ12I7QnQ4LafS2OEKLfdG70y/KGXfaGActDsvXidopNlWEUHM
gKo/UsQeg1xCa5xHz3Vczsep3alfqGIO7do/KJoPXYcXL2U3WaMjyo+OwFULvy6z8Eq5zXDJpMn2
lq61j6Tdo05tk+IcD5r0yyY0tiKKpo3k4fHezdyv+diwZ4m79GwIJuN9ko8AlUY5bgSV0Ra4jeWb
UDE3YQ9WA000NMUstq9kN1W7WDFrtelLo1gr1PGoQQfuCADZakwhd7UxI193RXYZLka8l6pKzwOy
Ev0WkP7ZoFXTNlJ6fpxnpEsD1eSpWpjLthiTfJsiVd+oHqkElSipd0s7/6ols1bUf3TS1n9/cdLq
MIPQnGTavraL9thgnwnFGMQSJkYiHQIzAasxY7RNU+2khV19ExkGGzKHuISff5iMNxbGw2r94h2k
IqwFwU4BnKHWlaSJL9klU0JJ6DFuir0y7FpscN67RB2YbfswiCHf2JPd7x1y7qkg5tTYjIllXbjk
Cf3KBPbGu9J/WCBlFLadqY3RUQOBaV/EPJPQcorNzw/6jc+3+OG3E/mkuVPAp8/CJeCXML+psudu
RxH8K5nD4cH5B1f24FR6cV57DL6RjBaSFqR0N1zUeVeFNNhdqcInIrQT6GbLiLe2XsBQBuEn4N3k
Y0w6aH2xzCeZoLALnCbcLyNYiLx1g/Mg7OMdzQo8maF7VZpZdg3f/amx3Hj38zPz1sjrIHx98baj
MgiLPmPeswRLtx2R7fk5Mea7bzbspVNXjbSfJqeWZ6TrWEfEh/VbEeukQ7M3vpIG6edIZPnoBaZ7
a0aW5YnWNU5//vbeWDbF+u8v3p0TTotJdlF6FDiVunbtNQiLXqkv3AV/W6PMo5+/zhvL5kG//eJ1
0lDP09AWah+58xUZhOU+ddseIrgFodNK4Yfgavj5S711SD88CXJn6I2mFMFeb6bhbEYX5lMrjjvh
6PgOMXt8O3X/C7t4AbsgbfXFyf9duOS+n38AVx1+4DfIhf3OdFhFlTAdbm9jJUdRznZ//5u2Qi4c
AQKDLqJlg69i4fgOuXDeUVQLkgnXfET3W5bfd3KV8Y4fEErXDQFoim/6c8GSB/nwv1YUyFXsoAzg
WcDEVyzPjyMoC16RnRZDBJUZzzfsHqnAgaalWfnNZAcuSejJ8nlYDPMe66WB2Mdxk9i3ljUqZ5y6
4XaMpwmlsJHKz23kgE3iCdB6dVRodzNs7udxqWClt2FxAgSxumG+jV+m06ZxALdZ466vDPQZoRzC
mxKCtPK1Ykmv+76zzvC9qXrjTo31foIbH3jVUsACdLIKFLAyYcejCjRa3vAS6rcjkQM0/GkXfqTj
013QiiD/roXy2+2QR3BEKkjbj4augpERqFxBSEi3HhqzD6/rKhgGL+pl+iVso4UcEiRH9NuntOm3
ydhZntbwwGp0oOSgvFcVvWWD4thrRaFOaxFYuBlxzpEYleU20w6TF9uCc4RHY49G+Klrw/586MIs
ZSF2Z0IEwny+jqj7zT1t0vYk1x2N3kQ+aJcNHrZs16oOt7KgsTsQY0IHwst7HGobgqxh+3Jdcuu4
WnRxBO1dVRf03MyFBWVSnwyrI0DJpJ2lbYI2dfHJ4rOhqlcDMO2Ov5CagDSFJmDdtCh5SEI+qmyV
WsdytG6ZVAU3WmKGAMpa2ZOkknXGjZZHYbaplaPOTd5fuMGlafV+KNVyHzYIRj2Eqs6xbueBto6b
CJuLNHTcnmZGIvE5hxS8Wa65j3YzycivbKt7NCaU1p5McXMcCT23bq0unmmsaNlwN6aZImKQUp+H
XV8HGOQS2ju9dRIX6bIdxzjArtO71TnYH6YkWQc3yZ80ZXx1ULCR7UXntfD62mhbznaGwlUfIcuD
eRIgSzuYh/NGDXgc/XLWMH705vws27L8QrCR/nUqF/3SbmYG10EhZIWlFyqMX40o27YpjUjICabW
cclqwKGRPRJJ1PCwxfXktMPnYQqqz6og+sefceSgwZ3NhRGPDdSKHMjzRZ+0eKu3BXKd0UmwRYml
aYgKJZjas0dgcaUY4p1hpp25pV9pn1gdGyea9wHA1CWMhLnFXUTLxxZl1TzOWpBdBIubYdOJVHvc
x6HiRA5Zbm6RiljWXokhWxgz9mLZiNY6NRKZk7tRVdWdqefS8Ys4wjSaCLsu/CkeCsraEJXxvmyS
4bohczs5VgTZzL5dMLTwHW1xHqtigXvTmHRRSRAwSvti0gT9xpj9yCU9pxLKWthnz53htM0puXTR
WWXjNfBMfZrW6OVqBr+KVNT0q4VrQTelrL7StY++pCILPiIlXx60kksPLta2PxUZ1ki/083qU0bQ
lOaVYTJoG32EfObp2HBJglxcgOBzEE13DoV4Qn9PDBcA9mlNsl/vP68hHg9jigNyQ4lBPFo+FiDW
lkV7IOLNkpsJauCzIhVHeUsZtHcx8vPuWLL8Rduo7erbggzwa+4xSbCgqCparaS8JMxLkgGD8uwS
aDZhXnzvUHkXqF65cclBQD6461WUh9uiFIQndGblGie9Xo3TxWDGk6JLq5zYD6ah707s0uV0mATE
ZNDBjSjye4F9B7zQ0th3hJylMkI6WcMZI4s9YZHLoWDTvI218XTU9TK9sKo2VlsC3AipGjp0R0QK
RKF5iXtRf9QSor69IIsCZ59liw1DK9ZXRZ7dTdNlbTklzhZZ6elZice0AJVRWVd9Bp/8ulxorvtm
W8TBJphtU92YhhYx3Y3mUj/R6phhcNPnlh14S2wbvfDMgQC+yVM5u286qATMbtu51+/VMtrNZkaA
pfmFqUYoyZz1xYsiCTCDUKG5ea8svcu+pBlQFkLG8MrubK4rMUG148z7lG0Nq8ScmR9IpXCuWu7F
ltwwfn6TT8J4JI1Ve2RwRkZoE3CtvFSSmkMbNu/uRs4NyZ1mXbi7pG7VhDkfCummnaPowiJN66SF
FfIxTnJSyuzFTc4X6FPGPnCGAWDi7BDpMI5l9RSCO32y2rQhVCxNPlc1srgoso0PAR/oJ4NRw+KP
nQs9kEVHNRuMdOpZjWN/L62wRJ4YD3nny3X+hNEliBJyOhKnAY0SOGuKiOl8kMPklqc2zTWmg0vO
Nr7umnYLbxCiq6hZcvoR0Bxp7CWrjStMMhrwkZIqN7g6KR3Ymmk7Iou8FXZhzkdjW1nvy3HMmKJM
/Xwvqox7b0gzInXaOmQQJ8exiLy4owdD0EyDaps2xhpthXC4PjFisjchFQZptDPgC+dEAExqxDhc
kw91cMVryjQDzzIIa2FM5RjIKRg03cdqbB1/JsgNToKEDM/jApIe0RpBera4OcfDemxvNeJ/uM3i
UnwGMsgktGRBGXj8E2y1S3LX+myHVk6GFGMOCi+7Ik2vhy9QlOX03hKJBaog0O1HdArdHVxbwRPU
nAgZyagieIrjXXhSpeYeD53bPjvxnF65dU/E1Qgvudg0Vuvm2yqysuu5iJNy2vO0dQv9tICq975P
AlKb2rCrEUUyOv+aokT6Ouih+9UwK53VKTcvMFHZpYcAtr20Cqzo+JrKc0ZI3cfCqanMMYyXd3Fr
1am34D1E3mwa4jgGDaGOIN9RLxVUbWdZJ2klNnEhu63S0QVuKKy7oyBQkjy6BfKjH6HqKUjYlPqz
PU7LvGFeDQsG1gr4PpkQfKlPA5RsmQhx58jevEPBHKKLw4UA4llPAga5YcWea0qcu64NCtuP3bTB
aFIV1LVgDPUVcjh8dPWik+t4No3hJEgZY7W2lgsGNvAd2r5vj9EsOibW9iy56OGnDxd5ntAospI8
vOeJoqfHiZsa75WqxejLqQ12UWsz2ZlQsZqbmbivcCtVPxN+NxUAhYqise87yaRtT1ir+bFRUUaf
R0bp3ZLo1RXoCXKWBl2juz2FaXbGog7q0TWH5xw25jO72fkxg7zw2VlSpBAMsLh0YLoE71JxqX0+
8wrfZVW1fMztoLuKVRDdM1chARWYMtGdI0Nz8pi1NL0bkz5ImasY9qe5T5ZTYpatemfJ0XVPKoUL
npDloDOO2zggmIEBpvG+zskBRstU5kdwxyYIpVh+NpJnx6kR9PCPG7MwBsa8YBu9KKjVMYwVUjI6
IzFOxmUhfVi2iX0CUozxCAMJfJ9t1MLt5B5OeWgKZqI4vMlicuTA2rgItgeLblnhLiToo/DCkqht
9gh5hISeTeLGqd32Q9TZTD7aANm9BzUzVV7buUw4EVCSiesGMLR88qqF2hTN4t7MxTIzvHfUeGdC
OP9QSreqwIASZwXRR0QfCm0evzgqATBXpGyd4MRbKG9SRDCnqZlH1z1TXoC046ju8irBNsAzPryI
mVGuHqdqhpdbTFjISArgp50qci8WZcRym/AxI8pO+ygLTcmjRJOL4Zf9WJxokMYjkKGzdZzCFbtP
mJ2xwDYzv6C02uCSMTXvYSwCRmcD8GkB0XyUNE/6iDnRofb734L4ZUG8GvDexj/e9ixED/mXl9hH
Y/2R30pi+c51dNLYccwCYXZXy+P3kthy3unKYKXgzlff697vJbEN9VEHBkmGkwW42Vo7xf8siR24
Ntj+wEVaSqDg/q//+zT9Z/ilvPpW6bY//P0/ij6/KuOia//+N0bzr7qnVMS2ZcDoMoH5gJKknHnd
FgqFaOzEsB1IJbFB7SMWBcdOJFjQyQQlT5ns+Ippv05oeY6T+UNuFwD5w2AU8MuSJDgyEyN8jwKJ
h2cbt+Q1pGaWQupn4L4DHLL+33WPvU0odnbJEOWY70dGQkVTE0CYW2PymfRo/Bw5Ag+5d1SLBNxU
uT5tgtHKT2fliAdz6qkLLXblpG4sBA57qSBvcsNEUohVz7AqJRN4Fl4R99UlRAi99OeK0emWR1mz
L/oVClESG0mmlUActGFqRvrEouXEx2ROYz6yyQGEMpYL/MjettPqOGwVXbJBnzP24NiG02sGvQso
wxBM+9Zx2swlfjJxqdElKXtYZiP1REUTvS+0cVzWOKycSNBocq/NcAq+mgS23wfW2N43suRwcFfJ
D00fRjdiEhP4jo64tl4K9kbDgQSrrVDYpEASin4FSDW2ozzCA4N/0TmuQjU9oC1LPuBisj/HcQHA
fUiiyfY1167qDUF5cb+hHTGUm1QCqjVWZK27jII7KQxuxhVoW1KurA4fYoDZ80C81du4v+Phsz5I
hXSIQFvpuLJz3I/xiszNgHGvLPwh31cVwYRHpHqz7DIgZr+zQnebgYQiDzuzZmwCSDETKzOd8HO4
HPB64wO7t3VDOL6ghJpb50D3RR9WPAQH5q9IVmNHmK0s4BCQw9fkQAiup5UWXHOszjY5UITXxZWS
Flw3FIgDaXheocPgjleJ8QBiEDMpVOJkGFGDQuSAVuzIKv6irwjj7EAzJuMh5/lhhwS/igPx2D7Q
j4OsIOegbVcq8iJNVnH9QEvmc7RGkjYQeTfFgai8dIvF7hcujcPj2OBRXBi9Fp+EcTl9JdmXHNNK
UyHyBjwW+XWYVRUyOjtzr+cD0ZmNGoRyU2s+Thm2sRPDzPTk2A6a4LYbeuqxDTl9k7iHbW7Vj3AL
7eR0FstwyzZ7IHnRtCQat5jJO0JQZjFHdaMFt5CFyArsNbonng5xpfTiDIbzjWZT3LED0tiR+czh
oatHlggvhgA9u6dMwgo8ZCfASwoK5uRsFON4bpRC9RuKLHDrbAGROoie6KytW4VLdxXAv7FBGwpc
64lOUAybWDYYBCiUkZkS9kqk3K6rEzoLxZwY/ckQWgCidQ3BlEeiozmhaLJITMVTPZy1JeBUdh41
howiKpNka30rOW1Q3LxBW782yqi+TVw9jbZ1alodqNGpvbMPBWyXd+4zidmm3LDr0h4grqSXLlHS
nVeyG9Y4mVTDpGsOn8dvJfIUjhf0Ciicp7WGrg7ltF7DtkFgoxaNncJackdTSfldibr61ECVJwPG
ae1PWHUp1WvLmh8Y1wYfdUF6CCbM8ivij156VWItJlqstewvOwa8DKvWdkC7dgZgUjbNqSOD9NnS
ZcHZO3QRREJDYQrt3L6oD42G8tB0QKjoPFqHVoQMlTOD/Myy5Dhkd3tduzaOSTcxsNSi6KShkR+a
G2XXCMfXUAbfkdmXAbUx5WnajcayGQaVLqsig1ZJu8QZwqFDC2VeuynuobGCoji/sA7tFiwYtF7m
QxvGDR3VeZFSQb6tTXIwx7RvFALEctC2LG5+fGjqGGt/h60H3+uYTa3586EFNNMMgkZFWyhpkaxM
35pFDjogv197SGhIKe3KYtIptmjre9nabwoGtwenlli0oQiaoSU1OTntKffQqpqTeq73TtMgkoKv
Xn8Qh7aWXSzPxdrqwi0LL7w9dMDmQzdMnwgPZwe5dsn6IaZj5h66Z3TmUPZncWt8tUYLHWp/6LUF
XK7rDrbU5zgLCJB05EmmCN9065Q2bZTk826cJ5tdKi64O/PQ1Otb27wlzppWn35o+3VQgh/j3haw
tda+YHxoEQaHdqEbM5AnqXFlzyyHluIc186xGAKD1ike2ffDof0oD61IBvjqnL0tDcqxyalwNSkU
YetrCxOqSf7RDji+Y2BqLvDAuYv2UIvW9uehFdod2qL4JaI7Da7KhwH7PU0hkiMNcgaQSl+bSa97
Wj5XN2EBCwJ+ghGhIRpskrjKMq9mfDWo7f53M/mFRb54uTMUJhORtzeT9zzs+4f5dz/xr72krixL
2ex4BHBFW7zcS5oMK1wI49Q6tr7ixX9jiEv9HbYyvNlsMwntfLmZ1KT5jp9xcBt//6X2n9lOvh4K
Y9QisoQRyzpnYc9LTsnrzSQL+mCaIzK1JS/0T222JtfSPLnr9Imx5osz830r+3Lr+lr/8/212CSj
deKwmB69fi3qU7jSdSq3gA3bTRoQYTEI5exkStJID4nuNk3A71tNtPxi3LiOFf81RPr+yrwmMynX
dpwfxVjOJClwBVVaGpKtXVoUmRV+/J8f3h+eSsnxAXjUlfgRmJCbfSfTkheJLecWxZpXBMN5+qsR
+w8G7+/H8uJlfrhixoACsHJ5mbEZ4ou+QPw5soG4q0yNhgfBRP2+nJg9IeNHfA1Q+gOIqmuwd+Ev
tC8/4Ed/eyfs3viPiTOUe/vlfHrM0Lw6I9dz9HmIbVq/PNf8eD/41t7gv2GRjDvDFx651X63ca4B
Bvr5I2n3JzRtjn/lJfrDawxX/7d3s379xRQbrWBsA3aT22EMyw0P+DNtxez9uWusdD6qBIG4XGA8
V84PtZdpzuMYACbd0hmxdprIsouKqCxc5hCVf/5SPx4PchyDrADb1C0Hhd6PCiNTtiGxewmgF/w5
Xp0KrmjXqc3PX0UeaEEvPxu8jlKSMS8LlSF/x9/WyQKq6D0vkPimJPDI94wWQIH93HpmFAXF3hz6
KNpXsTQfpSCeC9JmIKvPlFRA5D3SCbrh2NX1gCi5cQQFMzlRAJQlQHB9nQ41nVpPQBm+BL2dhlQT
FTVk40ZUU2gkDYsEK6Ha0yaLJ/bpbCbJgCtwjVzTKV0VUPOsk7Kc0PcF8ZIJ5zyfOTPHScpUI0XW
deFE6ppe6xlFIqUiQOs49qANKJ+SZTJ2Y6EGczM6dJDV2JXMggYIcThOtS47itf/3ldp3LpHUTNV
yS1m/ApR/Fh35MzVNXGPhEi67+kZB8FlL/vQ3fcuGTBkdliD5gmNRtRTXiwm9JMRxTGNb8aLUcZc
YostBF+Zllfae8dw7HITue20acKiTfadacaNX+RO2O4WRO/C1/MGpaumSmS3SYSsvzJyAzZr6xBq
HwXy4xSBT0M+FnfHU57lPeEhmnaeLapM6WB1zrNZTpVxiWSZnTjY7E5AFQjKjHdjxP3W6nXtHPao
U++R4AFcG+3MeXb1hETkvXIn5zQEwONuXDXT8dSkU+vbdOqyB5lIAqibfFjmXRFPbMxSMNiLh5m3
2JItX2i4lELjSjQiDjzbnp2rGmHzVTdKdd1AMn20+IyUfka1dANrBXL7CMfTIhmK2s5nQLMMG6nN
7ddokgirLQv1PmBHWhGgfKPxLkWNAJPDHheU75FysMEZNZ6noRLZE89Pwp9HY6g/xWbR5X4biegu
DzUHmjjZHk8a0eMXoUm4vMcHltFDBPNTbSsVhuT0MfD+ZLoFcMheTrh9RvgZX1PGquckLgRPYVi1
V4Ty4bhARxA2PnXVcDnOVfFhznQW2LAKw0v6nSBuVZE6161rMwiXBXUopmJtuJ1IqX9mlhFXBGCP
U8nsQmsA5Npa9GGppyDZEGFTMjUAwxp5ptFkFx1ckRT8nNMB2RvizB9wkVwLQLk0ROQ8XsiQCBof
jF5/2wgAZJtQ6O09cwf3uOltug4CinpI11y3eC7oUALjOaey0+JBv56jvEftDXgv8GP0T5HHYJFx
acqNfgl7NEYrnimNci+DE23SzCUKKzXkszLMQT8twZWfa6azfBaVRK7GbeZcArYpYDB23UgJqzL9
s+3CDcPIEauKzmtl3rjBwOcyqCi0ykmzH7plJnbdZfNP7n1mJJdFUM333FLZcxQyyNyM4Zq3FM1J
VROv7RoX9Kk5TQnxWjcta4hBxCyXgUTNmQ/1Qir9eWDlZkYLQXYf58HJz6tu7qxNzB1zkxdTRe8o
bfIvBVYFLH6JTLlvZ8dkFjxDckHbXgv7yKyT/NQyTNhVjplkFrglPtyehdU63RgCVQZWRmxSRLOP
bc7IsyfynJCEOmLmMae9L6Kq/IxKQbEKGNZwBTzLnBAxOvUXXdcoFG0p4pABkjGdke6VWWdxWnet
l0XkOO5UrJZ0x3jLNdGjUQZvazvAzVAMlHUefRNruoYQiGsg7suZ0HjIHgF0htZyToKW6pTZfd3g
USNW0NybC6OwM4OR3HtiFXsmqKgqbqPW1OkWtFKP/CAeJGRFJiTZltq9Wc7X4vlqYVoqGFoaGfD7
or2E8phUW8tgAgkGjJSwNXnaoqTGT5Qc6dDIGZQQMSqPzFKtF0wnT2AT2mbV+szVHO5mAl1vh5qC
dx0AI28o9EK39zahuiyDja0xKc+NaYCqFy4K94YMRj+cSxpTYyiijvKxB6SMeJsnUKsIAiMKw0aY
0/Woy3dOqtS4TWO9r+G/O/T/Uyj+cxtl443dVDFz24D0mFOAEdG4sWHktjwIosw5Kkyy6Tdymayr
SYzgCio1SWsb6cSq+UsR1zXQId78LrdKoZ0yLLYaLwdbtqA1YUVNjKa6Z4MZmlsnGoYL2sSavYW5
kjlbXecMbCDtuvo2wzJL92RN/PXBBeL4sXXk6GdWCmWLAG8rY0YIfjzbVmUiujubtO2RGBxTfrAm
xrVHEJAnl3ZQwAlD1FNPu0ggo/NJEg9Gj8+XVfp8cvoFK1EUDAgsYqlt+1KTugdEFVy64XbJOctq
4mIfq+xjcxZ0dWgJ3RqqwpLpDoF1myWpiTwoEAWbRhpeGyi0ru3hArYAnxoia5IzxxnGr1WbqgzW
YwJYGtxzQdAmqv5ur+LGbE8yw41MgjvzNb+eY1tx6Up8IMIzw1Yq7I9dV1TzmRZpbclKhvNqLYfl
WS0hMHtmrLp01wSp+fmw3/n/cv7x/U2vir1tQQThfN1/aeabL22fdf8cCaxfPcwC7sr/2Tf9Nlv4
41/0fWxyN1df/v63p7IvuvUd/FgEr57wVzXw4R0d3u7PfkH2wFH1z/xmzdDfEa3NH51fRc5N+NsX
LPmO3R9/lH34n/XrvNSLc/PW0f/8wL6dxp9/z8/e+5fDFTl+/vvfVt3tXzx49U5HQWm7FpFhhz+v
z4FNSe8a9Af+7Y59rT7/2rGv7QrXNl1mYt8OnZLp5fVfj53SkRLn+/UHkPDvdf2Z1/21c2C+Ww/d
OGSrvDx0RRocjkxA77Re1j/fbrR/o1v/d72vP/25l8Y72i7Evx7mn+sd8PryK0TGhqPQGP/bHfza
wPlr9z7HJl0FqpPa/tWFd99Jm+BZV3xb+r4LuP+NLjyX5K8evP2OBc8lxMr8dnOv8ItXJ8F6p5u0
NuiKflsY+Pp/94P/3zhT/3yA+uQ1PB8enfGX9o+esG99w2/Pjt9//ftzY3048Kl2/9l/PXzn+ij9
9uLfHiHr3//r1ZP18HB78cVVDPDir6++t/3dN38/9pev9fKfXh3pHx7Cb/94FH9pHpqnaD78yPz9
oC5QRvz9b/8oOr7UxU8PLzvb1rpC/eud/m7D8K/L9+qc/fNp/upfX1yK397Rn//6iyvBHhqpxKtf
9cal4MlecBS/O7OvL0P59OWh+MX3/Ftcqq/ND5dJmewjXl+m74f84jP956/+4Vb/a7+3jV/dT8JY
zWh/5Z0CuCir10oepDc8sP/KL70omy76j3/kX348sUIi7flrv/sf/4+7q9lt5DjCrzI320AWqxn9
XwKIFEVpJWplkSsjvjXJNtmrIYcezkimjAC55CFyzmkPueWYm94kT5KvZthrVnNEctkFy1kYNlby
orqnuv5/82mWqtjBA4Kknoho0974qjvvhlgw73fn98QJ/MYHSEDtHUUodtrbxUJ5hI2hL3xwfgM3
Z5C4pyDHgAafXfx7cEQR6v2lU/LfHJbphtQNmlEOIaK76QiNRKg5RmEjIrGo03I/Z4uDaiqGBA3a
mco0Lleih5QGLQWGYjyG5YcOqT1kwiSOa2nM+0syNeJPhYKz/eP9I7RwYe3OITJ9yyS8xbe11GCY
6i77Klh59A9aPY6R1gwjMmvKj65wLzd9rbpKTbcLAgyudTbU6dLG5qO93eOjXWCR+sR2sIqZBsCu
ObZKYf4+Wopk8yY6auFJ/h90UDyAsGSyHdbci4+wIaOeYPFUzIAuCckFNG0ItJZk00e3IVICrh4b
XjiAxKwvBmp5mo/7xgIi2UFj+3zB1oeqb6EQzGWF+eV4vdWTvIvxKEHyUwA+DeqI8STskFVsueHj
neoRGrwRVeoF688ToMA6jOE04QUhNHfY+wGSUZImTCfso8zXGywAwLgITgqTcPwZRxYyvfVKVbPh
M9TVRAd3Ou0zy2ulct4Q8ulH04UlwyieomK+mGkMZpPMgiE00PoMb6A/5ypLIPfioJnDpWCiipay
eh+QmizlYA9X6dQNkdzIhgbLo9l1DwW4swO2b6pRl0M+WrI+899stg1v3FRdzoQUnvDFbhN1vQwH
yzb4FjddIoRwR4Kzn/+d6aD/zcVDYlLGdagR8UfFpR7PGCoqHLMvx8WV6bpWAUbo+t/2CoZuNmTK
JaRIpS9B4L4OFmgAvC/UluorDHPsqdTCIvkTSqiRlpolWcbJYaX1uyG7tVSsHpkMLuZC+GMidoAK
cHELirTX48RAkyr8L4s2oczkTEkjRyEF2fWo0dIjABq95pC/P+ecJqiq0xcf1wYmvgVTULCEyiig
cn0R0n5N39uW+vhNDXXgKrfgilsvB0PyL1ZHt8+f8rFTJ4zOL3tOhbe7IePdwjPpM0EcUdjcFxtt
PesNdRzzKAR62wRAl3GnpRhkREOs/O891gMVW0D0flEowIFtRL5TFVzpZMwYJaKJcd6XTkZL8T2a
2ucNN+8r7mBKaP5Owr009C4JXPX5n0nQSUbPnwLQc3CTPv9r3DM8ThvtCuC6AzZ0QnkRDfr3xXVH
jZ9cAR3tClD0h8ESg+8JEDTiBPfoaQ3O1JRpwogWsfgiAxkh49j0Ee1w8oXbQBwGmRhmEkQSCvbH
JR8kOhAgth/NqKu6j1xiHAggoozdt5f4+1BAatRMGnRgzDEhini9//OddGeavd1hFKGWAX0sR4eo
cYWgXu9PvV4ctkzlfH2R2Dp8Wm5BSIitZqqxKRGiy5INqeJjAZ5q6V+MY7xT2YWvaGkrNM8HN6Tm
daGCWmQTo/rAgi5MifXZ7LJLf1Wq9MPYZLpfkeOJaL+U73fUAaAI6FXkIpEzXKWqpxuanJ/zK/a2
hZWM8QfHKI63v6uwaEv4r8fAeygr+m2QwmI1BE/jsxT9Uipl8f7zaoHFXzWoCNCWjTBhYf+P/eUq
GqmpYQqCtMgsECzg+WIYQsrdUwm/t6meFMg5NRN2XyrL9KXmi5QbsKGEWXwxTZVm2g3DLEXu+rOF
UjwY9Qz6IuBdkjo2POZo+IO9zB+VySyc4rYSCv5Kd9WYi0zUEthjKkTChhLn/cghAwkb6nvUD/Dw
xHJFQv7Fjn5b5X0TnKTKtX9X1gdsiIf2DKkDi056NXQI2x+3x+5cIdGdg8bIIFnmeP2RgF76ARNi
g5oa39v7FteXSC39RaMBh0GlHdO+jHedBCC6b6aBa8PsS8i1JrLU46Cdd/sGxT2mx1hxL9qREMvw
dLvBxXSp+iHcgRo8PBbA0Uk3D1r5lFHkHLoAWf5622g3bu8ap38NiHh0CoS59I9KFVSE7lKXdkR1
o3vrY+RVyvr3KeSoKhmyxsAf2hppaqwa4IKHhi77sthtPnUjMTsCDkLn+T8Ibcy40727NqrxenRR
1DT6EsIKE/a1CoJ/GiBdCvnGdbfAC5886bSrzEcOeO0Lr3fNTqiXkxO6gGEIrTeIVV9Ph5ZnCt0n
gIgW5rSPuBETSVx4mLuPJmAB1FCYxMM/tJbWV4ig3qab9PmbScRH26kJrmCuMOUmkYqGpOc1BBIB
13OUTgWX9J/2ya1FamHWSySDLsZ9pD0cWY0NAPag7U1PQOZPF0rkU96pCRcNaJTzv+vlDCspn1xx
hvClP+iyfPwycSp3Qlos68sgZai4ArYAS1/C87/HdHAH2xJ8faV4sVsoUcXYUj2VLLEIdev5YrlF
tYtOjT72UwkAVnHfPHCHDOM8RQCrmcvTEjVu13rCE7DhoYCxeKNS1dNxpUMjYYzeKExscQn5WIC3
b9BMZiYTFPtN7aMV6n9lqfum8QAzHqgJxAaDHApQR2eojOv5YqiOPWd7id9RH80yppEHkgBtUAxh
4ZQ2lsSNkSkls9ClDsxFtWdtj44PT11dgQ4aBewrku6MzjC02AIq8CEh6t4jYpE8BBjXneaT4G3Q
QEFrkuVzzlw8DjONdgQ+ZH7gZT5W0yGSk28D+0dTdSjGgwqY1u0J4mDxrEreoBNHwvZpmX4/1kFD
TXn0p8hSvPz6kCKfW4xXpRDmWGsPDQY5Idj0Nvj8xzIotPhSaElFo49ApJbqAGcKD5Sa+L9/+8f0
nn5qpjNkGHGDcxTljpR9NSYPkZs62JUoyewYFMq/QcEnr3Kk4WtYoW0/enuObWs4BfeW3KdvT41K
ZvCXTPA9Gi8UK6bA2Dd0sQscij3U/QQI7Kh7uJFmxLwS9IujKUzg8S5VblLDIrSYIrdzgIGP/ni7
UW9i86Y3NOrNdJpbeKWPUpwhkNZow9OugCwgg67UJBs6Zk2JmrVK4PUCSzRT3j/h+QeMLMVIM3G/
UYB4TuDlosZvkX7Wvu0GISXq3uV3pdWivsq9prFFPOfKXcCNqSVYcKSK+odznT7pQfLgRCto1aPA
5ZWTh17u6s6/OPVWy+MBWj/ZC66P+65/wlNNQTYmFiUyTBepdi1siarrxjRzm6JpH4Tvm9WfNMlu
C4jktkTV9ZlZKhI6FBDXZypNdJXttrKTeUPL6ixV4x5zuWjfhy+Cm6aLuh0nJS3hgDYxImw81TN7
RXq6Y4F4WFOnyJBysBJ4QOEYx65EmXw9TVA5ysgX1YYWJdtbg+eYlqxShgRMrfKHe4FYh1M8F0rU
sV9kKua3pU33vrT7TqcOgYWRgNX7Dm4LGpZ4dj+U0EBXKntwqEEiaXBlsmHumiahRK90O04eEKHi
BLwngOMrA7meaUxZ1E69mURe4ir/RSM/k6fcLJcIb7SSuA+cWOItHIl9AbGGSK5y6kv3BVgEjnHG
LysRpXhhwEUoUQeOpMSj4rJCQjVj6r8r2CRqUW4wgSd3On9CiXrjW0QsHGcDI9gs2W2vOYij3WQz
KgEEABdSEwvLWCgikvA62hOnKBXzUwQu/KDg0KV9C4lYGWPu7I8eKH7Ufa48IomaTKz/zlCB4JJx
JKHyPtxT3S8zLjFhyB8V8xq/SyQM+gl3GyWS2nc0YAN0V8dIWnvZ4hlFeouTMRSUHqScoCW8mjYK
SbhSxfZ6+wHbEx4CrJqmmrR4OiLcFyneLbPFyGVqpOX57UO00Qgoq8sE4+MZtjGMFGuIBQzb578T
31S5Zod7GOuJBTboCDpCkSVGnK497vVCa+WMtK+waCsdkDPAK1Qksh3Yi2gck1uikL2WKuwtsxxL
IkeiG7WOnC2TwRKJCaxrTtxJJxL5uEYvV4hcLuJAoiHqLNXj3pDG1DgzTyRsyzOFhdYvyYG1bL8+
ZNfMURnHzW2RfDvSWtV7YKnrZ7a9wqDqBncpWEh7d3w98xud5hZK4SJJjMH58NIGM08s3EHLP6Hp
jj0cxvTZD3gJv6+nBqKipc5XDSzen74Rs4AXf9WQaSnTsXliQk2iraOeoCwiuHXGyUoUPjXioK3i
B1e00cowX6ZoYgiXxsgFRmc0ZtwXMMow+zQq1EIqOE6iZ/QaCC4kBIO8sptzw2D2DeQkTyeH64PD
VdS5gmb5YgVSrlXTtRkXMZqfv0uJzXmbKfvbc6ZZkal8nTbOkzTvMiIL7fu9JMrWqzbM2TZQFUWO
rqbSLmYAWKCEIAH2wBDN3MScOyRqyui2YGfOHQLeCg2RQ8MsyJiBlqj5rasZoj9V3opECLPuUMe+
QBb7NBlhQAYfwi4RabRwq0dEShSkYmKAO4hAIjAIYd9HH3/OZ8lIzHQ6RwutWeQ9bEW1P27P3+9A
x877hRKauqVSGp3iDvqSGCKKkHk2pflImf38QlRLNHfeIHmZJWRgsHBEJNGEWY58uDRZNi2k6bXG
EujFLxCpXixPucp7PFITScRpOnBHTF/1i+t3ki7mobP7S6TKOih/LfFTB10m0yphGEmUb5SIujPI
rWMSBzmHNBS4lApL1dMSYxZrNK1vOgzuDLobK4U8ukstPrdn6A/tlScIKGysQ1TOjM9Iwk6uw5ZF
w4RFQWFeSFQzthW3iiLaduNre7dpfksD1VYIReecjSUKVUrqhAmTDZ8/xXo0szcmrGDZrv1xezop
PqClcALPWWA+kkRbRvkBpRYIvi1rWL6zt6aP2MUs/LUGyOtZ/uRqf5V7c6hA0B3/J5EHRJrgpyS+
n8vrxZc+QB4Cs3qOsU8qxOpxrChZm8V7vXev2hvi6/ytcBRfq1m6HNeEEQdqlDCHTkK01FCq5fqJ
EhKLItpJpeaU6IqsJ2RufHupEbkaD76rMjwkzIAinUbTJSAbKdZddY5EYUk9SSwzMvUkUV1yZj4y
T0Si4+4MyXOaBWNHlRUJTdNLl1uBV0792jAONU83oDpkttRqLBHnmsMvumHpscm+/LyyjDq9++xR
JGLv8DxZpl1ivNC5RqHEnEKLb2j1TmH9xfZ37CNQ/2/F/vZmySVaQrqwqSykwrWTmMRaH6boqUPQ
pkJDYXm0PW/7m1/rx6Cu4oosuUTpwLVxRmZLFA7cqTFi0zxjI2EcXys061mMFi8owbOE4B814uh8
yiOy+Pao7R/vxmQ9ODWVygXrtgQOUBNEUekTljdxhDINT7E7SFyAqKGkpmhEqm6ElshhlH7CuY4R
jftTcDKFNz7F4PIyxEAci3gomvnq+XjI7BRsQfN/lE5yj/Qfo9RIwpTooD2f31ZitEInR+Wac1kB
yvwBz2vKkMtZnqHr1eKVGBdL2eyP2zPXkpEZSbQP1qnPncJ1lmntRene+/AuDw+xdg2rW9Hut7cv
UUs6r2prF+vyghZKHtPgfY62XdiLlWbcIbVK7tASWbg/WES4fuXOKzo+FasMfR2fxa8h8lmdaV78
2ywhJ5jQq1ps+BV+ZcVGxa/wKyvWOX59X1m1PfIP9pVrGHfO9b0YzsSf/wcAAP//</cx:binary>
              </cx:geoCache>
            </cx:geography>
          </cx:layoutPr>
        </cx:series>
      </cx:plotAreaRegion>
    </cx:plotArea>
    <cx:legend pos="r" align="min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 b="1"/>
          </a:pPr>
          <a:endParaRPr lang="en-US" sz="1200" b="1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spPr>
    <a:noFill/>
    <a:ln>
      <a:solidFill>
        <a:schemeClr val="accent5">
          <a:lumMod val="40000"/>
          <a:lumOff val="60000"/>
        </a:schemeClr>
      </a:solidFill>
    </a:ln>
  </cx:spPr>
  <cx:clrMapOvr bg1="lt1" tx1="dk1" bg2="lt2" tx2="dk2" accent1="accent1" accent2="accent2" accent3="accent3" accent4="accent4" accent5="accent5" accent6="accent6" hlink="hlink" folHlink="folHlink"/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599789</xdr:colOff>
      <xdr:row>14</xdr:row>
      <xdr:rowOff>185738</xdr:rowOff>
    </xdr:from>
    <xdr:to>
      <xdr:col>3</xdr:col>
      <xdr:colOff>155221</xdr:colOff>
      <xdr:row>18</xdr:row>
      <xdr:rowOff>58738</xdr:rowOff>
    </xdr:to>
    <xdr:sp macro="" textlink="">
      <xdr:nvSpPr>
        <xdr:cNvPr id="53" name="Rounded Rectangle 1">
          <a:extLst>
            <a:ext uri="{FF2B5EF4-FFF2-40B4-BE49-F238E27FC236}">
              <a16:creationId xmlns:a16="http://schemas.microsoft.com/office/drawing/2014/main" id="{6206634F-A904-A48C-D580-CE31628D1874}"/>
            </a:ext>
          </a:extLst>
        </xdr:cNvPr>
        <xdr:cNvSpPr/>
      </xdr:nvSpPr>
      <xdr:spPr>
        <a:xfrm>
          <a:off x="3952589" y="6078538"/>
          <a:ext cx="393632" cy="685800"/>
        </a:xfrm>
        <a:custGeom>
          <a:avLst/>
          <a:gdLst/>
          <a:ahLst/>
          <a:cxnLst/>
          <a:rect l="0" t="0" r="0" b="0"/>
          <a:pathLst>
            <a:path w="393632" h="685800">
              <a:moveTo>
                <a:pt x="0" y="685800"/>
              </a:moveTo>
              <a:lnTo>
                <a:pt x="167199" y="685800"/>
              </a:lnTo>
              <a:cubicBezTo>
                <a:pt x="187526" y="685800"/>
                <a:pt x="206322" y="675003"/>
                <a:pt x="216565" y="657445"/>
              </a:cubicBezTo>
              <a:lnTo>
                <a:pt x="383252" y="371695"/>
              </a:lnTo>
              <a:cubicBezTo>
                <a:pt x="393632" y="353901"/>
                <a:pt x="393632" y="331897"/>
                <a:pt x="383252" y="314104"/>
              </a:cubicBezTo>
              <a:lnTo>
                <a:pt x="216565" y="28354"/>
              </a:lnTo>
              <a:cubicBezTo>
                <a:pt x="206322" y="10796"/>
                <a:pt x="187526" y="0"/>
                <a:pt x="167199" y="0"/>
              </a:cubicBezTo>
              <a:lnTo>
                <a:pt x="0" y="0"/>
              </a:lnTo>
            </a:path>
          </a:pathLst>
        </a:custGeom>
        <a:noFill/>
        <a:ln w="14287">
          <a:solidFill>
            <a:srgbClr val="E0CB15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3</xdr:col>
      <xdr:colOff>389287</xdr:colOff>
      <xdr:row>12</xdr:row>
      <xdr:rowOff>134938</xdr:rowOff>
    </xdr:from>
    <xdr:to>
      <xdr:col>7</xdr:col>
      <xdr:colOff>130187</xdr:colOff>
      <xdr:row>26</xdr:row>
      <xdr:rowOff>33338</xdr:rowOff>
    </xdr:to>
    <xdr:sp macro="" textlink="">
      <xdr:nvSpPr>
        <xdr:cNvPr id="54" name="Rounded Rectangle 2">
          <a:extLst>
            <a:ext uri="{FF2B5EF4-FFF2-40B4-BE49-F238E27FC236}">
              <a16:creationId xmlns:a16="http://schemas.microsoft.com/office/drawing/2014/main" id="{75AA3D5A-BFF5-0F33-6AC3-F25A45398F76}"/>
            </a:ext>
          </a:extLst>
        </xdr:cNvPr>
        <xdr:cNvSpPr/>
      </xdr:nvSpPr>
      <xdr:spPr>
        <a:xfrm>
          <a:off x="4580287" y="5621338"/>
          <a:ext cx="3093700" cy="2743200"/>
        </a:xfrm>
        <a:custGeom>
          <a:avLst/>
          <a:gdLst/>
          <a:ahLst/>
          <a:cxnLst/>
          <a:rect l="0" t="0" r="0" b="0"/>
          <a:pathLst>
            <a:path w="3093700" h="2743200">
              <a:moveTo>
                <a:pt x="40328" y="1257957"/>
              </a:moveTo>
              <a:cubicBezTo>
                <a:pt x="0" y="1328356"/>
                <a:pt x="0" y="1414843"/>
                <a:pt x="40328" y="1485242"/>
              </a:cubicBezTo>
              <a:lnTo>
                <a:pt x="695172" y="2628242"/>
              </a:lnTo>
              <a:cubicBezTo>
                <a:pt x="735911" y="2699337"/>
                <a:pt x="811587" y="2743200"/>
                <a:pt x="893530" y="2743200"/>
              </a:cubicBezTo>
              <a:lnTo>
                <a:pt x="2200170" y="2743200"/>
              </a:lnTo>
              <a:cubicBezTo>
                <a:pt x="2282113" y="2743200"/>
                <a:pt x="2357789" y="2699337"/>
                <a:pt x="2398528" y="2628242"/>
              </a:cubicBezTo>
              <a:lnTo>
                <a:pt x="3053372" y="1485242"/>
              </a:lnTo>
              <a:cubicBezTo>
                <a:pt x="3093700" y="1414843"/>
                <a:pt x="3093700" y="1328356"/>
                <a:pt x="3053372" y="1257957"/>
              </a:cubicBezTo>
              <a:lnTo>
                <a:pt x="2398528" y="114957"/>
              </a:lnTo>
              <a:cubicBezTo>
                <a:pt x="2357789" y="43862"/>
                <a:pt x="2282113" y="0"/>
                <a:pt x="2200170" y="0"/>
              </a:cubicBezTo>
              <a:lnTo>
                <a:pt x="893530" y="0"/>
              </a:lnTo>
              <a:cubicBezTo>
                <a:pt x="811587" y="0"/>
                <a:pt x="735911" y="43862"/>
                <a:pt x="695172" y="114957"/>
              </a:cubicBezTo>
              <a:lnTo>
                <a:pt x="40328" y="1257957"/>
              </a:lnTo>
              <a:moveTo>
                <a:pt x="564203" y="1600857"/>
              </a:moveTo>
              <a:lnTo>
                <a:pt x="957110" y="915057"/>
              </a:lnTo>
              <a:cubicBezTo>
                <a:pt x="997848" y="843962"/>
                <a:pt x="1073524" y="800100"/>
                <a:pt x="1155468" y="800100"/>
              </a:cubicBezTo>
              <a:lnTo>
                <a:pt x="1938232" y="800100"/>
              </a:lnTo>
              <a:cubicBezTo>
                <a:pt x="2020176" y="800100"/>
                <a:pt x="2095852" y="843962"/>
                <a:pt x="2136590" y="915057"/>
              </a:cubicBezTo>
              <a:lnTo>
                <a:pt x="2529497" y="1600857"/>
              </a:lnTo>
              <a:cubicBezTo>
                <a:pt x="2569825" y="1671256"/>
                <a:pt x="2569825" y="1757743"/>
                <a:pt x="2529497" y="1828142"/>
              </a:cubicBezTo>
              <a:lnTo>
                <a:pt x="2136590" y="2513942"/>
              </a:lnTo>
              <a:cubicBezTo>
                <a:pt x="2095852" y="2585037"/>
                <a:pt x="2020176" y="2628900"/>
                <a:pt x="1938232" y="2628900"/>
              </a:cubicBezTo>
              <a:lnTo>
                <a:pt x="1155468" y="2628900"/>
              </a:lnTo>
              <a:cubicBezTo>
                <a:pt x="1073524" y="2628900"/>
                <a:pt x="997848" y="2585037"/>
                <a:pt x="957110" y="2513942"/>
              </a:cubicBezTo>
              <a:lnTo>
                <a:pt x="564203" y="1828142"/>
              </a:lnTo>
              <a:cubicBezTo>
                <a:pt x="523875" y="1757743"/>
                <a:pt x="523875" y="1671256"/>
                <a:pt x="564203" y="1600857"/>
              </a:cubicBezTo>
            </a:path>
          </a:pathLst>
        </a:custGeom>
        <a:solidFill>
          <a:srgbClr val="E0CB15"/>
        </a:solidFill>
        <a:ln>
          <a:noFill/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3</xdr:col>
      <xdr:colOff>389291</xdr:colOff>
      <xdr:row>12</xdr:row>
      <xdr:rowOff>134938</xdr:rowOff>
    </xdr:from>
    <xdr:to>
      <xdr:col>7</xdr:col>
      <xdr:colOff>130187</xdr:colOff>
      <xdr:row>26</xdr:row>
      <xdr:rowOff>33338</xdr:rowOff>
    </xdr:to>
    <xdr:sp macro="" textlink="">
      <xdr:nvSpPr>
        <xdr:cNvPr id="55" name="Rounded Rectangle 3">
          <a:extLst>
            <a:ext uri="{FF2B5EF4-FFF2-40B4-BE49-F238E27FC236}">
              <a16:creationId xmlns:a16="http://schemas.microsoft.com/office/drawing/2014/main" id="{39A3B4E1-8F36-032B-D196-DE68606D0B06}"/>
            </a:ext>
          </a:extLst>
        </xdr:cNvPr>
        <xdr:cNvSpPr/>
      </xdr:nvSpPr>
      <xdr:spPr>
        <a:xfrm>
          <a:off x="4580291" y="5621338"/>
          <a:ext cx="3093696" cy="2743200"/>
        </a:xfrm>
        <a:custGeom>
          <a:avLst/>
          <a:gdLst/>
          <a:ahLst/>
          <a:cxnLst/>
          <a:rect l="0" t="0" r="0" b="0"/>
          <a:pathLst>
            <a:path w="3093696" h="2743200">
              <a:moveTo>
                <a:pt x="40328" y="1257960"/>
              </a:moveTo>
              <a:cubicBezTo>
                <a:pt x="0" y="1328352"/>
                <a:pt x="0" y="1414847"/>
                <a:pt x="40328" y="1485239"/>
              </a:cubicBezTo>
              <a:lnTo>
                <a:pt x="695172" y="2628239"/>
              </a:lnTo>
              <a:cubicBezTo>
                <a:pt x="735908" y="2699341"/>
                <a:pt x="811583" y="2743200"/>
                <a:pt x="893525" y="2743200"/>
              </a:cubicBezTo>
              <a:lnTo>
                <a:pt x="2200170" y="2743200"/>
              </a:lnTo>
              <a:cubicBezTo>
                <a:pt x="2282112" y="2743200"/>
                <a:pt x="2357788" y="2699341"/>
                <a:pt x="2398522" y="2628239"/>
              </a:cubicBezTo>
              <a:lnTo>
                <a:pt x="3053366" y="1485239"/>
              </a:lnTo>
              <a:cubicBezTo>
                <a:pt x="3093696" y="1414847"/>
                <a:pt x="3093696" y="1328352"/>
                <a:pt x="3053366" y="1257960"/>
              </a:cubicBezTo>
              <a:lnTo>
                <a:pt x="2398522" y="114960"/>
              </a:lnTo>
              <a:cubicBezTo>
                <a:pt x="2357788" y="43859"/>
                <a:pt x="2282112" y="0"/>
                <a:pt x="2200170" y="0"/>
              </a:cubicBezTo>
              <a:lnTo>
                <a:pt x="893525" y="0"/>
              </a:lnTo>
              <a:cubicBezTo>
                <a:pt x="811582" y="0"/>
                <a:pt x="735907" y="43859"/>
                <a:pt x="695172" y="114960"/>
              </a:cubicBezTo>
              <a:close/>
              <a:moveTo>
                <a:pt x="564203" y="1600860"/>
              </a:moveTo>
              <a:lnTo>
                <a:pt x="957110" y="915060"/>
              </a:lnTo>
              <a:cubicBezTo>
                <a:pt x="997844" y="843959"/>
                <a:pt x="1073519" y="800100"/>
                <a:pt x="1155463" y="800100"/>
              </a:cubicBezTo>
              <a:lnTo>
                <a:pt x="1938232" y="800100"/>
              </a:lnTo>
              <a:cubicBezTo>
                <a:pt x="2020175" y="800100"/>
                <a:pt x="2095850" y="843959"/>
                <a:pt x="2136585" y="915060"/>
              </a:cubicBezTo>
              <a:lnTo>
                <a:pt x="2529491" y="1600860"/>
              </a:lnTo>
              <a:cubicBezTo>
                <a:pt x="2569821" y="1671252"/>
                <a:pt x="2569821" y="1757747"/>
                <a:pt x="2529491" y="1828139"/>
              </a:cubicBezTo>
              <a:lnTo>
                <a:pt x="2136585" y="2513939"/>
              </a:lnTo>
              <a:cubicBezTo>
                <a:pt x="2095850" y="2585041"/>
                <a:pt x="2020175" y="2628900"/>
                <a:pt x="1938232" y="2628900"/>
              </a:cubicBezTo>
              <a:lnTo>
                <a:pt x="1155463" y="2628900"/>
              </a:lnTo>
              <a:cubicBezTo>
                <a:pt x="1073520" y="2628900"/>
                <a:pt x="997845" y="2585041"/>
                <a:pt x="957110" y="2513939"/>
              </a:cubicBezTo>
              <a:lnTo>
                <a:pt x="564203" y="1828139"/>
              </a:lnTo>
              <a:cubicBezTo>
                <a:pt x="523874" y="1757747"/>
                <a:pt x="523874" y="1671252"/>
                <a:pt x="564203" y="1600860"/>
              </a:cubicBezTo>
              <a:close/>
            </a:path>
          </a:pathLst>
        </a:custGeom>
        <a:noFill/>
        <a:ln w="14287">
          <a:solidFill>
            <a:srgbClr val="FFFFFF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3</xdr:col>
      <xdr:colOff>136239</xdr:colOff>
      <xdr:row>16</xdr:row>
      <xdr:rowOff>96838</xdr:rowOff>
    </xdr:from>
    <xdr:to>
      <xdr:col>3</xdr:col>
      <xdr:colOff>726789</xdr:colOff>
      <xdr:row>16</xdr:row>
      <xdr:rowOff>153988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8CB1EF65-AFEB-C4FF-626B-6BA3DEC5864D}"/>
            </a:ext>
          </a:extLst>
        </xdr:cNvPr>
        <xdr:cNvGrpSpPr/>
      </xdr:nvGrpSpPr>
      <xdr:grpSpPr>
        <a:xfrm>
          <a:off x="2650839" y="3449638"/>
          <a:ext cx="590550" cy="57150"/>
          <a:chOff x="2057102" y="2200275"/>
          <a:chExt cx="590550" cy="57150"/>
        </a:xfrm>
      </xdr:grpSpPr>
      <xdr:sp macro="" textlink="">
        <xdr:nvSpPr>
          <xdr:cNvPr id="73" name="Rounded Rectangle 4">
            <a:extLst>
              <a:ext uri="{FF2B5EF4-FFF2-40B4-BE49-F238E27FC236}">
                <a16:creationId xmlns:a16="http://schemas.microsoft.com/office/drawing/2014/main" id="{0BD179DF-D9FA-E978-551F-366E8BBDBF45}"/>
              </a:ext>
            </a:extLst>
          </xdr:cNvPr>
          <xdr:cNvSpPr/>
        </xdr:nvSpPr>
        <xdr:spPr>
          <a:xfrm>
            <a:off x="2085677" y="2228850"/>
            <a:ext cx="533400" cy="9525"/>
          </a:xfrm>
          <a:custGeom>
            <a:avLst/>
            <a:gdLst/>
            <a:ahLst/>
            <a:cxnLst/>
            <a:rect l="0" t="0" r="0" b="0"/>
            <a:pathLst>
              <a:path w="533400" h="9525">
                <a:moveTo>
                  <a:pt x="0" y="0"/>
                </a:moveTo>
                <a:lnTo>
                  <a:pt x="533400" y="0"/>
                </a:lnTo>
              </a:path>
            </a:pathLst>
          </a:custGeom>
          <a:noFill/>
          <a:ln w="14287">
            <a:solidFill>
              <a:srgbClr val="E0CB15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4" name="Rounded Rectangle 5">
            <a:extLst>
              <a:ext uri="{FF2B5EF4-FFF2-40B4-BE49-F238E27FC236}">
                <a16:creationId xmlns:a16="http://schemas.microsoft.com/office/drawing/2014/main" id="{2FEEB181-67BB-29EE-BDEC-FC6D3046827C}"/>
              </a:ext>
            </a:extLst>
          </xdr:cNvPr>
          <xdr:cNvSpPr/>
        </xdr:nvSpPr>
        <xdr:spPr>
          <a:xfrm>
            <a:off x="2057102" y="2200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E0CB15"/>
          </a:solidFill>
          <a:ln w="14287">
            <a:solidFill>
              <a:srgbClr val="E0CB15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5" name="Rounded Rectangle 6">
            <a:extLst>
              <a:ext uri="{FF2B5EF4-FFF2-40B4-BE49-F238E27FC236}">
                <a16:creationId xmlns:a16="http://schemas.microsoft.com/office/drawing/2014/main" id="{1CE88C44-969C-A2BB-49D1-F5FEFCF1739E}"/>
              </a:ext>
            </a:extLst>
          </xdr:cNvPr>
          <xdr:cNvSpPr/>
        </xdr:nvSpPr>
        <xdr:spPr>
          <a:xfrm>
            <a:off x="2590502" y="2200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E0CB15"/>
          </a:solidFill>
          <a:ln w="14287">
            <a:solidFill>
              <a:srgbClr val="E0CB15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</xdr:grpSp>
    <xdr:clientData/>
  </xdr:twoCellAnchor>
  <xdr:twoCellAnchor>
    <xdr:from>
      <xdr:col>2</xdr:col>
      <xdr:colOff>599789</xdr:colOff>
      <xdr:row>20</xdr:row>
      <xdr:rowOff>109538</xdr:rowOff>
    </xdr:from>
    <xdr:to>
      <xdr:col>3</xdr:col>
      <xdr:colOff>155221</xdr:colOff>
      <xdr:row>23</xdr:row>
      <xdr:rowOff>185738</xdr:rowOff>
    </xdr:to>
    <xdr:sp macro="" textlink="">
      <xdr:nvSpPr>
        <xdr:cNvPr id="57" name="Rounded Rectangle 8">
          <a:extLst>
            <a:ext uri="{FF2B5EF4-FFF2-40B4-BE49-F238E27FC236}">
              <a16:creationId xmlns:a16="http://schemas.microsoft.com/office/drawing/2014/main" id="{6CCC6CAA-15BA-C025-CD1E-B344E97E60DB}"/>
            </a:ext>
          </a:extLst>
        </xdr:cNvPr>
        <xdr:cNvSpPr/>
      </xdr:nvSpPr>
      <xdr:spPr>
        <a:xfrm>
          <a:off x="3952589" y="7221538"/>
          <a:ext cx="393632" cy="685800"/>
        </a:xfrm>
        <a:custGeom>
          <a:avLst/>
          <a:gdLst/>
          <a:ahLst/>
          <a:cxnLst/>
          <a:rect l="0" t="0" r="0" b="0"/>
          <a:pathLst>
            <a:path w="393632" h="685800">
              <a:moveTo>
                <a:pt x="0" y="685800"/>
              </a:moveTo>
              <a:lnTo>
                <a:pt x="167199" y="685800"/>
              </a:lnTo>
              <a:cubicBezTo>
                <a:pt x="187526" y="685800"/>
                <a:pt x="206322" y="675003"/>
                <a:pt x="216565" y="657445"/>
              </a:cubicBezTo>
              <a:lnTo>
                <a:pt x="383252" y="371695"/>
              </a:lnTo>
              <a:cubicBezTo>
                <a:pt x="393632" y="353901"/>
                <a:pt x="393632" y="331897"/>
                <a:pt x="383252" y="314104"/>
              </a:cubicBezTo>
              <a:lnTo>
                <a:pt x="216565" y="28354"/>
              </a:lnTo>
              <a:cubicBezTo>
                <a:pt x="206322" y="10796"/>
                <a:pt x="187526" y="0"/>
                <a:pt x="167199" y="0"/>
              </a:cubicBezTo>
              <a:lnTo>
                <a:pt x="0" y="0"/>
              </a:lnTo>
            </a:path>
          </a:pathLst>
        </a:custGeom>
        <a:noFill/>
        <a:ln w="14287">
          <a:solidFill>
            <a:srgbClr val="DE8431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4</xdr:col>
      <xdr:colOff>74961</xdr:colOff>
      <xdr:row>16</xdr:row>
      <xdr:rowOff>122275</xdr:rowOff>
    </xdr:from>
    <xdr:to>
      <xdr:col>6</xdr:col>
      <xdr:colOff>444511</xdr:colOff>
      <xdr:row>25</xdr:row>
      <xdr:rowOff>122275</xdr:rowOff>
    </xdr:to>
    <xdr:sp macro="" textlink="">
      <xdr:nvSpPr>
        <xdr:cNvPr id="58" name="Rounded Rectangle 9">
          <a:extLst>
            <a:ext uri="{FF2B5EF4-FFF2-40B4-BE49-F238E27FC236}">
              <a16:creationId xmlns:a16="http://schemas.microsoft.com/office/drawing/2014/main" id="{B26FC80B-7C1C-6305-0251-57C2400DD2BF}"/>
            </a:ext>
          </a:extLst>
        </xdr:cNvPr>
        <xdr:cNvSpPr/>
      </xdr:nvSpPr>
      <xdr:spPr>
        <a:xfrm>
          <a:off x="5104161" y="6421475"/>
          <a:ext cx="2045950" cy="1828800"/>
        </a:xfrm>
        <a:custGeom>
          <a:avLst/>
          <a:gdLst/>
          <a:ahLst/>
          <a:cxnLst/>
          <a:rect l="0" t="0" r="0" b="0"/>
          <a:pathLst>
            <a:path w="2045950" h="1828800">
              <a:moveTo>
                <a:pt x="40328" y="1028042"/>
              </a:moveTo>
              <a:cubicBezTo>
                <a:pt x="0" y="957643"/>
                <a:pt x="0" y="871156"/>
                <a:pt x="40328" y="800757"/>
              </a:cubicBezTo>
              <a:lnTo>
                <a:pt x="433235" y="114957"/>
              </a:lnTo>
              <a:cubicBezTo>
                <a:pt x="473973" y="43862"/>
                <a:pt x="549649" y="0"/>
                <a:pt x="631593" y="0"/>
              </a:cubicBezTo>
              <a:lnTo>
                <a:pt x="1414357" y="0"/>
              </a:lnTo>
              <a:cubicBezTo>
                <a:pt x="1496301" y="0"/>
                <a:pt x="1571977" y="43862"/>
                <a:pt x="1612715" y="114957"/>
              </a:cubicBezTo>
              <a:lnTo>
                <a:pt x="2005622" y="800757"/>
              </a:lnTo>
              <a:cubicBezTo>
                <a:pt x="2045950" y="871156"/>
                <a:pt x="2045950" y="957643"/>
                <a:pt x="2005622" y="1028042"/>
              </a:cubicBezTo>
              <a:lnTo>
                <a:pt x="1612715" y="1713842"/>
              </a:lnTo>
              <a:cubicBezTo>
                <a:pt x="1571977" y="1784937"/>
                <a:pt x="1496301" y="1828800"/>
                <a:pt x="1414357" y="1828800"/>
              </a:cubicBezTo>
              <a:lnTo>
                <a:pt x="631593" y="1828800"/>
              </a:lnTo>
              <a:cubicBezTo>
                <a:pt x="549649" y="1828800"/>
                <a:pt x="473973" y="1784937"/>
                <a:pt x="433235" y="1713842"/>
              </a:cubicBezTo>
              <a:lnTo>
                <a:pt x="40328" y="1028042"/>
              </a:lnTo>
            </a:path>
          </a:pathLst>
        </a:custGeom>
        <a:solidFill>
          <a:srgbClr val="DE8431"/>
        </a:solidFill>
        <a:ln>
          <a:noFill/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4</xdr:col>
      <xdr:colOff>74966</xdr:colOff>
      <xdr:row>16</xdr:row>
      <xdr:rowOff>122275</xdr:rowOff>
    </xdr:from>
    <xdr:to>
      <xdr:col>6</xdr:col>
      <xdr:colOff>444512</xdr:colOff>
      <xdr:row>25</xdr:row>
      <xdr:rowOff>122275</xdr:rowOff>
    </xdr:to>
    <xdr:sp macro="" textlink="">
      <xdr:nvSpPr>
        <xdr:cNvPr id="59" name="Rounded Rectangle 10">
          <a:extLst>
            <a:ext uri="{FF2B5EF4-FFF2-40B4-BE49-F238E27FC236}">
              <a16:creationId xmlns:a16="http://schemas.microsoft.com/office/drawing/2014/main" id="{FFE1A4D8-92DB-0126-9367-C4B280E46135}"/>
            </a:ext>
          </a:extLst>
        </xdr:cNvPr>
        <xdr:cNvSpPr/>
      </xdr:nvSpPr>
      <xdr:spPr>
        <a:xfrm>
          <a:off x="5104166" y="6421475"/>
          <a:ext cx="2045946" cy="1828800"/>
        </a:xfrm>
        <a:custGeom>
          <a:avLst/>
          <a:gdLst/>
          <a:ahLst/>
          <a:cxnLst/>
          <a:rect l="0" t="0" r="0" b="0"/>
          <a:pathLst>
            <a:path w="2045946" h="1828800">
              <a:moveTo>
                <a:pt x="40328" y="1028039"/>
              </a:moveTo>
              <a:cubicBezTo>
                <a:pt x="0" y="957647"/>
                <a:pt x="0" y="871152"/>
                <a:pt x="40328" y="800760"/>
              </a:cubicBezTo>
              <a:lnTo>
                <a:pt x="433235" y="114960"/>
              </a:lnTo>
              <a:cubicBezTo>
                <a:pt x="473970" y="43858"/>
                <a:pt x="549645" y="0"/>
                <a:pt x="631588" y="0"/>
              </a:cubicBezTo>
              <a:lnTo>
                <a:pt x="1414357" y="0"/>
              </a:lnTo>
              <a:cubicBezTo>
                <a:pt x="1496300" y="0"/>
                <a:pt x="1571975" y="43859"/>
                <a:pt x="1612711" y="114960"/>
              </a:cubicBezTo>
              <a:lnTo>
                <a:pt x="2005617" y="800760"/>
              </a:lnTo>
              <a:cubicBezTo>
                <a:pt x="2045946" y="871152"/>
                <a:pt x="2045946" y="957647"/>
                <a:pt x="2005617" y="1028039"/>
              </a:cubicBezTo>
              <a:lnTo>
                <a:pt x="1612710" y="1713839"/>
              </a:lnTo>
              <a:cubicBezTo>
                <a:pt x="1571975" y="1784941"/>
                <a:pt x="1496300" y="1828800"/>
                <a:pt x="1414357" y="1828800"/>
              </a:cubicBezTo>
              <a:lnTo>
                <a:pt x="631588" y="1828800"/>
              </a:lnTo>
              <a:cubicBezTo>
                <a:pt x="549645" y="1828800"/>
                <a:pt x="473970" y="1784940"/>
                <a:pt x="433235" y="1713839"/>
              </a:cubicBezTo>
              <a:lnTo>
                <a:pt x="40328" y="1028039"/>
              </a:lnTo>
              <a:close/>
            </a:path>
          </a:pathLst>
        </a:custGeom>
        <a:noFill/>
        <a:ln w="14287">
          <a:solidFill>
            <a:srgbClr val="FFFFFF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3</xdr:col>
      <xdr:colOff>136239</xdr:colOff>
      <xdr:row>22</xdr:row>
      <xdr:rowOff>20638</xdr:rowOff>
    </xdr:from>
    <xdr:to>
      <xdr:col>4</xdr:col>
      <xdr:colOff>212439</xdr:colOff>
      <xdr:row>22</xdr:row>
      <xdr:rowOff>77788</xdr:rowOff>
    </xdr:to>
    <xdr:grpSp>
      <xdr:nvGrpSpPr>
        <xdr:cNvPr id="60" name="Group 59">
          <a:extLst>
            <a:ext uri="{FF2B5EF4-FFF2-40B4-BE49-F238E27FC236}">
              <a16:creationId xmlns:a16="http://schemas.microsoft.com/office/drawing/2014/main" id="{BA227919-1E33-2209-C06B-1AE564E74CE4}"/>
            </a:ext>
          </a:extLst>
        </xdr:cNvPr>
        <xdr:cNvGrpSpPr/>
      </xdr:nvGrpSpPr>
      <xdr:grpSpPr>
        <a:xfrm>
          <a:off x="2650839" y="4630738"/>
          <a:ext cx="914400" cy="57150"/>
          <a:chOff x="2057102" y="3343275"/>
          <a:chExt cx="914400" cy="57150"/>
        </a:xfrm>
      </xdr:grpSpPr>
      <xdr:sp macro="" textlink="">
        <xdr:nvSpPr>
          <xdr:cNvPr id="70" name="Rounded Rectangle 11">
            <a:extLst>
              <a:ext uri="{FF2B5EF4-FFF2-40B4-BE49-F238E27FC236}">
                <a16:creationId xmlns:a16="http://schemas.microsoft.com/office/drawing/2014/main" id="{4EC748A8-46E4-9BF9-43C0-0B361956F8E3}"/>
              </a:ext>
            </a:extLst>
          </xdr:cNvPr>
          <xdr:cNvSpPr/>
        </xdr:nvSpPr>
        <xdr:spPr>
          <a:xfrm>
            <a:off x="2085677" y="3371850"/>
            <a:ext cx="857250" cy="9525"/>
          </a:xfrm>
          <a:custGeom>
            <a:avLst/>
            <a:gdLst/>
            <a:ahLst/>
            <a:cxnLst/>
            <a:rect l="0" t="0" r="0" b="0"/>
            <a:pathLst>
              <a:path w="857250" h="9525">
                <a:moveTo>
                  <a:pt x="0" y="0"/>
                </a:moveTo>
                <a:lnTo>
                  <a:pt x="857250" y="0"/>
                </a:lnTo>
              </a:path>
            </a:pathLst>
          </a:custGeom>
          <a:noFill/>
          <a:ln w="14287">
            <a:solidFill>
              <a:srgbClr val="DE8431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1" name="Rounded Rectangle 12">
            <a:extLst>
              <a:ext uri="{FF2B5EF4-FFF2-40B4-BE49-F238E27FC236}">
                <a16:creationId xmlns:a16="http://schemas.microsoft.com/office/drawing/2014/main" id="{1342C31C-FBAD-A1C1-7269-02D1A0743378}"/>
              </a:ext>
            </a:extLst>
          </xdr:cNvPr>
          <xdr:cNvSpPr/>
        </xdr:nvSpPr>
        <xdr:spPr>
          <a:xfrm>
            <a:off x="2057102" y="3343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DE8431"/>
          </a:solidFill>
          <a:ln w="14287">
            <a:solidFill>
              <a:srgbClr val="DE8431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72" name="Rounded Rectangle 13">
            <a:extLst>
              <a:ext uri="{FF2B5EF4-FFF2-40B4-BE49-F238E27FC236}">
                <a16:creationId xmlns:a16="http://schemas.microsoft.com/office/drawing/2014/main" id="{7DE56065-7D77-C715-A7FC-EA01E344801E}"/>
              </a:ext>
            </a:extLst>
          </xdr:cNvPr>
          <xdr:cNvSpPr/>
        </xdr:nvSpPr>
        <xdr:spPr>
          <a:xfrm>
            <a:off x="2914352" y="3343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DE8431"/>
          </a:solidFill>
          <a:ln w="14287">
            <a:solidFill>
              <a:srgbClr val="DE8431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</xdr:grpSp>
    <xdr:clientData/>
  </xdr:twoCellAnchor>
  <xdr:twoCellAnchor>
    <xdr:from>
      <xdr:col>3</xdr:col>
      <xdr:colOff>731899</xdr:colOff>
      <xdr:row>8</xdr:row>
      <xdr:rowOff>117475</xdr:rowOff>
    </xdr:from>
    <xdr:to>
      <xdr:col>6</xdr:col>
      <xdr:colOff>677333</xdr:colOff>
      <xdr:row>11</xdr:row>
      <xdr:rowOff>100101</xdr:rowOff>
    </xdr:to>
    <xdr:sp macro="" textlink="">
      <xdr:nvSpPr>
        <xdr:cNvPr id="61" name="TextBox 15">
          <a:extLst>
            <a:ext uri="{FF2B5EF4-FFF2-40B4-BE49-F238E27FC236}">
              <a16:creationId xmlns:a16="http://schemas.microsoft.com/office/drawing/2014/main" id="{C01C333B-2F54-3CB7-59B1-669F05CF9A05}"/>
            </a:ext>
          </a:extLst>
        </xdr:cNvPr>
        <xdr:cNvSpPr txBox="1"/>
      </xdr:nvSpPr>
      <xdr:spPr>
        <a:xfrm>
          <a:off x="3232212" y="1641475"/>
          <a:ext cx="2445746" cy="554126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r>
            <a:rPr lang="en-GB" sz="1800" b="1">
              <a:solidFill>
                <a:srgbClr val="484848"/>
              </a:solidFill>
              <a:latin typeface="Roboto"/>
            </a:rPr>
            <a:t>Profit</a:t>
          </a:r>
        </a:p>
        <a:p>
          <a:pPr algn="ctr"/>
          <a:r>
            <a:rPr lang="en-GB" sz="1800" b="1">
              <a:solidFill>
                <a:srgbClr val="484848"/>
              </a:solidFill>
              <a:latin typeface="Roboto"/>
            </a:rPr>
            <a:t> (USD M)</a:t>
          </a:r>
          <a:endParaRPr sz="1800" b="1">
            <a:solidFill>
              <a:srgbClr val="484848"/>
            </a:solidFill>
            <a:latin typeface="Roboto"/>
          </a:endParaRPr>
        </a:p>
      </xdr:txBody>
    </xdr:sp>
    <xdr:clientData/>
  </xdr:twoCellAnchor>
  <xdr:twoCellAnchor>
    <xdr:from>
      <xdr:col>4</xdr:col>
      <xdr:colOff>815022</xdr:colOff>
      <xdr:row>14</xdr:row>
      <xdr:rowOff>33412</xdr:rowOff>
    </xdr:from>
    <xdr:to>
      <xdr:col>5</xdr:col>
      <xdr:colOff>650875</xdr:colOff>
      <xdr:row>15</xdr:row>
      <xdr:rowOff>57934</xdr:rowOff>
    </xdr:to>
    <xdr:sp macro="" textlink="">
      <xdr:nvSpPr>
        <xdr:cNvPr id="62" name="TextBox 16">
          <a:extLst>
            <a:ext uri="{FF2B5EF4-FFF2-40B4-BE49-F238E27FC236}">
              <a16:creationId xmlns:a16="http://schemas.microsoft.com/office/drawing/2014/main" id="{4836862C-16B2-5AC2-8FDF-9A3C5AF29D83}"/>
            </a:ext>
          </a:extLst>
        </xdr:cNvPr>
        <xdr:cNvSpPr txBox="1"/>
      </xdr:nvSpPr>
      <xdr:spPr>
        <a:xfrm>
          <a:off x="3291522" y="2922662"/>
          <a:ext cx="661353" cy="230897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r>
            <a:rPr sz="1500" b="0">
              <a:solidFill>
                <a:srgbClr val="FFFFFF"/>
              </a:solidFill>
              <a:latin typeface="Roboto"/>
            </a:rPr>
            <a:t>$1,000</a:t>
          </a:r>
        </a:p>
      </xdr:txBody>
    </xdr:sp>
    <xdr:clientData/>
  </xdr:twoCellAnchor>
  <xdr:twoCellAnchor>
    <xdr:from>
      <xdr:col>2</xdr:col>
      <xdr:colOff>390256</xdr:colOff>
      <xdr:row>15</xdr:row>
      <xdr:rowOff>115738</xdr:rowOff>
    </xdr:from>
    <xdr:to>
      <xdr:col>2</xdr:col>
      <xdr:colOff>809314</xdr:colOff>
      <xdr:row>17</xdr:row>
      <xdr:rowOff>128396</xdr:rowOff>
    </xdr:to>
    <xdr:sp macro="" textlink="">
      <xdr:nvSpPr>
        <xdr:cNvPr id="63" name="Rounded Rectangle 17">
          <a:extLst>
            <a:ext uri="{FF2B5EF4-FFF2-40B4-BE49-F238E27FC236}">
              <a16:creationId xmlns:a16="http://schemas.microsoft.com/office/drawing/2014/main" id="{446D9AF3-94C7-D05E-67B5-7116623CB647}"/>
            </a:ext>
          </a:extLst>
        </xdr:cNvPr>
        <xdr:cNvSpPr/>
      </xdr:nvSpPr>
      <xdr:spPr>
        <a:xfrm>
          <a:off x="3743056" y="6211738"/>
          <a:ext cx="419058" cy="419058"/>
        </a:xfrm>
        <a:custGeom>
          <a:avLst/>
          <a:gdLst/>
          <a:ahLst/>
          <a:cxnLst/>
          <a:rect l="0" t="0" r="0" b="0"/>
          <a:pathLst>
            <a:path w="419058" h="419058">
              <a:moveTo>
                <a:pt x="209529" y="0"/>
              </a:moveTo>
              <a:lnTo>
                <a:pt x="209529" y="85716"/>
              </a:lnTo>
              <a:moveTo>
                <a:pt x="0" y="209529"/>
              </a:moveTo>
              <a:lnTo>
                <a:pt x="85716" y="209529"/>
              </a:lnTo>
              <a:moveTo>
                <a:pt x="209529" y="419058"/>
              </a:moveTo>
              <a:lnTo>
                <a:pt x="209529" y="333341"/>
              </a:lnTo>
              <a:moveTo>
                <a:pt x="419058" y="209529"/>
              </a:moveTo>
              <a:lnTo>
                <a:pt x="333341" y="209529"/>
              </a:lnTo>
              <a:moveTo>
                <a:pt x="57144" y="209529"/>
              </a:moveTo>
              <a:cubicBezTo>
                <a:pt x="57144" y="293688"/>
                <a:pt x="125369" y="361913"/>
                <a:pt x="209529" y="361913"/>
              </a:cubicBezTo>
              <a:cubicBezTo>
                <a:pt x="293688" y="361913"/>
                <a:pt x="361913" y="293688"/>
                <a:pt x="361913" y="209529"/>
              </a:cubicBezTo>
              <a:cubicBezTo>
                <a:pt x="361913" y="125369"/>
                <a:pt x="293688" y="57144"/>
                <a:pt x="209529" y="57144"/>
              </a:cubicBezTo>
              <a:cubicBezTo>
                <a:pt x="125369" y="57144"/>
                <a:pt x="57144" y="125369"/>
                <a:pt x="57144" y="209529"/>
              </a:cubicBezTo>
              <a:close/>
              <a:moveTo>
                <a:pt x="209529" y="133336"/>
              </a:moveTo>
              <a:lnTo>
                <a:pt x="209529" y="152384"/>
              </a:lnTo>
              <a:moveTo>
                <a:pt x="238101" y="152346"/>
              </a:moveTo>
              <a:lnTo>
                <a:pt x="199376" y="152346"/>
              </a:lnTo>
              <a:cubicBezTo>
                <a:pt x="187135" y="152355"/>
                <a:pt x="176619" y="161040"/>
                <a:pt x="174296" y="173058"/>
              </a:cubicBezTo>
              <a:cubicBezTo>
                <a:pt x="171973" y="185076"/>
                <a:pt x="178496" y="197054"/>
                <a:pt x="189852" y="201624"/>
              </a:cubicBezTo>
              <a:lnTo>
                <a:pt x="229167" y="217338"/>
              </a:lnTo>
              <a:cubicBezTo>
                <a:pt x="240550" y="221892"/>
                <a:pt x="247097" y="233885"/>
                <a:pt x="244771" y="245921"/>
              </a:cubicBezTo>
              <a:cubicBezTo>
                <a:pt x="242446" y="257958"/>
                <a:pt x="231902" y="266649"/>
                <a:pt x="219643" y="266635"/>
              </a:cubicBezTo>
              <a:lnTo>
                <a:pt x="180956" y="266635"/>
              </a:lnTo>
              <a:moveTo>
                <a:pt x="209529" y="266673"/>
              </a:moveTo>
              <a:lnTo>
                <a:pt x="209529" y="285721"/>
              </a:lnTo>
            </a:path>
          </a:pathLst>
        </a:custGeom>
        <a:noFill/>
        <a:ln w="14287">
          <a:solidFill>
            <a:srgbClr val="484848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</xdr:col>
      <xdr:colOff>571</xdr:colOff>
      <xdr:row>16</xdr:row>
      <xdr:rowOff>28764</xdr:rowOff>
    </xdr:from>
    <xdr:to>
      <xdr:col>2</xdr:col>
      <xdr:colOff>237800</xdr:colOff>
      <xdr:row>17</xdr:row>
      <xdr:rowOff>54164</xdr:rowOff>
    </xdr:to>
    <xdr:sp macro="" textlink="">
      <xdr:nvSpPr>
        <xdr:cNvPr id="64" name="TextBox 18">
          <a:extLst>
            <a:ext uri="{FF2B5EF4-FFF2-40B4-BE49-F238E27FC236}">
              <a16:creationId xmlns:a16="http://schemas.microsoft.com/office/drawing/2014/main" id="{15C1FD54-1E75-66AB-0DA4-CA19A2C3B2E6}"/>
            </a:ext>
          </a:extLst>
        </xdr:cNvPr>
        <xdr:cNvSpPr txBox="1"/>
      </xdr:nvSpPr>
      <xdr:spPr>
        <a:xfrm>
          <a:off x="2515171" y="6327964"/>
          <a:ext cx="1075429" cy="228600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500" b="1">
              <a:solidFill>
                <a:srgbClr val="E0CB15"/>
              </a:solidFill>
              <a:latin typeface="Roboto"/>
            </a:rPr>
            <a:t>Target Profit</a:t>
          </a:r>
        </a:p>
      </xdr:txBody>
    </xdr:sp>
    <xdr:clientData/>
  </xdr:twoCellAnchor>
  <xdr:twoCellAnchor>
    <xdr:from>
      <xdr:col>1</xdr:col>
      <xdr:colOff>53086</xdr:colOff>
      <xdr:row>18</xdr:row>
      <xdr:rowOff>128777</xdr:rowOff>
    </xdr:from>
    <xdr:to>
      <xdr:col>2</xdr:col>
      <xdr:colOff>241052</xdr:colOff>
      <xdr:row>19</xdr:row>
      <xdr:rowOff>93852</xdr:rowOff>
    </xdr:to>
    <xdr:sp macro="" textlink="">
      <xdr:nvSpPr>
        <xdr:cNvPr id="65" name="TextBox 19">
          <a:extLst>
            <a:ext uri="{FF2B5EF4-FFF2-40B4-BE49-F238E27FC236}">
              <a16:creationId xmlns:a16="http://schemas.microsoft.com/office/drawing/2014/main" id="{8FADCC71-78AD-3D98-7513-E45D04E126B6}"/>
            </a:ext>
          </a:extLst>
        </xdr:cNvPr>
        <xdr:cNvSpPr txBox="1"/>
      </xdr:nvSpPr>
      <xdr:spPr>
        <a:xfrm>
          <a:off x="2567686" y="6834377"/>
          <a:ext cx="1026166" cy="168275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100" b="0">
              <a:solidFill>
                <a:srgbClr val="484848"/>
              </a:solidFill>
              <a:latin typeface="Roboto"/>
            </a:rPr>
            <a:t>Initial profit goal</a:t>
          </a:r>
        </a:p>
      </xdr:txBody>
    </xdr:sp>
    <xdr:clientData/>
  </xdr:twoCellAnchor>
  <xdr:twoCellAnchor>
    <xdr:from>
      <xdr:col>2</xdr:col>
      <xdr:colOff>459400</xdr:colOff>
      <xdr:row>21</xdr:row>
      <xdr:rowOff>29938</xdr:rowOff>
    </xdr:from>
    <xdr:to>
      <xdr:col>2</xdr:col>
      <xdr:colOff>740168</xdr:colOff>
      <xdr:row>23</xdr:row>
      <xdr:rowOff>62958</xdr:rowOff>
    </xdr:to>
    <xdr:sp macro="" textlink="">
      <xdr:nvSpPr>
        <xdr:cNvPr id="66" name="Rounded Rectangle 20">
          <a:extLst>
            <a:ext uri="{FF2B5EF4-FFF2-40B4-BE49-F238E27FC236}">
              <a16:creationId xmlns:a16="http://schemas.microsoft.com/office/drawing/2014/main" id="{61E4FF45-399E-49B6-7E91-49DEE43AF8EE}"/>
            </a:ext>
          </a:extLst>
        </xdr:cNvPr>
        <xdr:cNvSpPr/>
      </xdr:nvSpPr>
      <xdr:spPr>
        <a:xfrm>
          <a:off x="3812200" y="7345138"/>
          <a:ext cx="280768" cy="439420"/>
        </a:xfrm>
        <a:custGeom>
          <a:avLst/>
          <a:gdLst/>
          <a:ahLst/>
          <a:cxnLst/>
          <a:rect l="0" t="0" r="0" b="0"/>
          <a:pathLst>
            <a:path w="280768" h="439420">
              <a:moveTo>
                <a:pt x="193147" y="76192"/>
              </a:moveTo>
              <a:lnTo>
                <a:pt x="229529" y="14286"/>
              </a:lnTo>
              <a:cubicBezTo>
                <a:pt x="231155" y="11319"/>
                <a:pt x="231155" y="7728"/>
                <a:pt x="229529" y="4762"/>
              </a:cubicBezTo>
              <a:cubicBezTo>
                <a:pt x="227784" y="1887"/>
                <a:pt x="224700" y="93"/>
                <a:pt x="221338" y="0"/>
              </a:cubicBezTo>
              <a:lnTo>
                <a:pt x="102288" y="0"/>
              </a:lnTo>
              <a:cubicBezTo>
                <a:pt x="98858" y="29"/>
                <a:pt x="95687" y="1830"/>
                <a:pt x="93907" y="4762"/>
              </a:cubicBezTo>
              <a:cubicBezTo>
                <a:pt x="92089" y="7745"/>
                <a:pt x="92089" y="11493"/>
                <a:pt x="93907" y="14476"/>
              </a:cubicBezTo>
              <a:lnTo>
                <a:pt x="130860" y="76192"/>
              </a:lnTo>
              <a:moveTo>
                <a:pt x="201719" y="190480"/>
              </a:moveTo>
              <a:cubicBezTo>
                <a:pt x="217910" y="203624"/>
                <a:pt x="280768" y="246291"/>
                <a:pt x="280768" y="323817"/>
              </a:cubicBezTo>
              <a:cubicBezTo>
                <a:pt x="280768" y="386485"/>
                <a:pt x="221148" y="438106"/>
                <a:pt x="155813" y="438106"/>
              </a:cubicBezTo>
              <a:cubicBezTo>
                <a:pt x="90790" y="439420"/>
                <a:pt x="36516" y="388776"/>
                <a:pt x="33334" y="323817"/>
              </a:cubicBezTo>
              <a:cubicBezTo>
                <a:pt x="33334" y="243053"/>
                <a:pt x="97526" y="200766"/>
                <a:pt x="112574" y="190480"/>
              </a:cubicBezTo>
              <a:moveTo>
                <a:pt x="0" y="57144"/>
              </a:moveTo>
              <a:lnTo>
                <a:pt x="38096" y="57144"/>
              </a:lnTo>
              <a:cubicBezTo>
                <a:pt x="40670" y="56973"/>
                <a:pt x="43193" y="57922"/>
                <a:pt x="45017" y="59746"/>
              </a:cubicBezTo>
              <a:cubicBezTo>
                <a:pt x="46841" y="61571"/>
                <a:pt x="47790" y="64093"/>
                <a:pt x="47620" y="66668"/>
              </a:cubicBezTo>
              <a:lnTo>
                <a:pt x="47620" y="180956"/>
              </a:lnTo>
              <a:cubicBezTo>
                <a:pt x="47790" y="183531"/>
                <a:pt x="46841" y="186054"/>
                <a:pt x="45017" y="187878"/>
              </a:cubicBezTo>
              <a:cubicBezTo>
                <a:pt x="43193" y="189702"/>
                <a:pt x="40670" y="190651"/>
                <a:pt x="38096" y="190480"/>
              </a:cubicBezTo>
              <a:lnTo>
                <a:pt x="0" y="190480"/>
              </a:lnTo>
              <a:moveTo>
                <a:pt x="107240" y="36381"/>
              </a:moveTo>
              <a:lnTo>
                <a:pt x="85716" y="66668"/>
              </a:lnTo>
              <a:cubicBezTo>
                <a:pt x="81041" y="72446"/>
                <a:pt x="74095" y="75919"/>
                <a:pt x="66668" y="76192"/>
              </a:cubicBezTo>
              <a:lnTo>
                <a:pt x="47620" y="76192"/>
              </a:lnTo>
              <a:moveTo>
                <a:pt x="47620" y="161908"/>
              </a:moveTo>
              <a:cubicBezTo>
                <a:pt x="85716" y="180956"/>
                <a:pt x="101335" y="190480"/>
                <a:pt x="123812" y="190480"/>
              </a:cubicBezTo>
              <a:lnTo>
                <a:pt x="200005" y="190480"/>
              </a:lnTo>
              <a:cubicBezTo>
                <a:pt x="219053" y="190480"/>
                <a:pt x="222481" y="189528"/>
                <a:pt x="228577" y="171432"/>
              </a:cubicBezTo>
              <a:cubicBezTo>
                <a:pt x="238101" y="142860"/>
                <a:pt x="247625" y="95240"/>
                <a:pt x="247625" y="95240"/>
              </a:cubicBezTo>
              <a:cubicBezTo>
                <a:pt x="247625" y="85716"/>
                <a:pt x="238101" y="76192"/>
                <a:pt x="219053" y="76192"/>
              </a:cubicBezTo>
              <a:lnTo>
                <a:pt x="130860" y="76192"/>
              </a:lnTo>
              <a:moveTo>
                <a:pt x="156956" y="342865"/>
              </a:moveTo>
              <a:lnTo>
                <a:pt x="156956" y="361913"/>
              </a:lnTo>
              <a:moveTo>
                <a:pt x="156956" y="247625"/>
              </a:moveTo>
              <a:lnTo>
                <a:pt x="156956" y="266673"/>
              </a:lnTo>
              <a:moveTo>
                <a:pt x="118860" y="342865"/>
              </a:moveTo>
              <a:lnTo>
                <a:pt x="176004" y="342865"/>
              </a:lnTo>
              <a:cubicBezTo>
                <a:pt x="186524" y="342865"/>
                <a:pt x="195052" y="334337"/>
                <a:pt x="195052" y="323817"/>
              </a:cubicBezTo>
              <a:cubicBezTo>
                <a:pt x="195052" y="313297"/>
                <a:pt x="186524" y="304769"/>
                <a:pt x="176004" y="304769"/>
              </a:cubicBezTo>
              <a:lnTo>
                <a:pt x="137908" y="304769"/>
              </a:lnTo>
              <a:cubicBezTo>
                <a:pt x="127388" y="304769"/>
                <a:pt x="118860" y="296241"/>
                <a:pt x="118860" y="285721"/>
              </a:cubicBezTo>
              <a:cubicBezTo>
                <a:pt x="118860" y="275201"/>
                <a:pt x="127388" y="266673"/>
                <a:pt x="137908" y="266673"/>
              </a:cubicBezTo>
              <a:lnTo>
                <a:pt x="195052" y="266673"/>
              </a:lnTo>
            </a:path>
          </a:pathLst>
        </a:custGeom>
        <a:noFill/>
        <a:ln w="14287">
          <a:solidFill>
            <a:srgbClr val="484848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5</xdr:col>
      <xdr:colOff>42767</xdr:colOff>
      <xdr:row>20</xdr:row>
      <xdr:rowOff>128625</xdr:rowOff>
    </xdr:from>
    <xdr:to>
      <xdr:col>5</xdr:col>
      <xdr:colOff>471096</xdr:colOff>
      <xdr:row>21</xdr:row>
      <xdr:rowOff>154025</xdr:rowOff>
    </xdr:to>
    <xdr:sp macro="" textlink="">
      <xdr:nvSpPr>
        <xdr:cNvPr id="67" name="TextBox 21">
          <a:extLst>
            <a:ext uri="{FF2B5EF4-FFF2-40B4-BE49-F238E27FC236}">
              <a16:creationId xmlns:a16="http://schemas.microsoft.com/office/drawing/2014/main" id="{63F5F504-30EF-9F4D-048F-6B8E1186D5E2}"/>
            </a:ext>
          </a:extLst>
        </xdr:cNvPr>
        <xdr:cNvSpPr txBox="1"/>
      </xdr:nvSpPr>
      <xdr:spPr>
        <a:xfrm>
          <a:off x="5910167" y="7240625"/>
          <a:ext cx="428329" cy="228600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r>
            <a:rPr sz="1500" b="0">
              <a:solidFill>
                <a:srgbClr val="FFFFFF"/>
              </a:solidFill>
              <a:latin typeface="Roboto"/>
            </a:rPr>
            <a:t>$890</a:t>
          </a:r>
        </a:p>
      </xdr:txBody>
    </xdr:sp>
    <xdr:clientData/>
  </xdr:twoCellAnchor>
  <xdr:twoCellAnchor>
    <xdr:from>
      <xdr:col>1</xdr:col>
      <xdr:colOff>0</xdr:colOff>
      <xdr:row>21</xdr:row>
      <xdr:rowOff>155764</xdr:rowOff>
    </xdr:from>
    <xdr:to>
      <xdr:col>2</xdr:col>
      <xdr:colOff>237829</xdr:colOff>
      <xdr:row>22</xdr:row>
      <xdr:rowOff>181164</xdr:rowOff>
    </xdr:to>
    <xdr:sp macro="" textlink="">
      <xdr:nvSpPr>
        <xdr:cNvPr id="68" name="TextBox 22">
          <a:extLst>
            <a:ext uri="{FF2B5EF4-FFF2-40B4-BE49-F238E27FC236}">
              <a16:creationId xmlns:a16="http://schemas.microsoft.com/office/drawing/2014/main" id="{F304D762-8758-701D-8E30-14D18CC3BB4D}"/>
            </a:ext>
          </a:extLst>
        </xdr:cNvPr>
        <xdr:cNvSpPr txBox="1"/>
      </xdr:nvSpPr>
      <xdr:spPr>
        <a:xfrm>
          <a:off x="2514600" y="7470964"/>
          <a:ext cx="1076029" cy="228600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500" b="1">
              <a:solidFill>
                <a:srgbClr val="DE8431"/>
              </a:solidFill>
              <a:latin typeface="Roboto"/>
            </a:rPr>
            <a:t>Actual Profit</a:t>
          </a:r>
        </a:p>
      </xdr:txBody>
    </xdr:sp>
    <xdr:clientData/>
  </xdr:twoCellAnchor>
  <xdr:twoCellAnchor>
    <xdr:from>
      <xdr:col>1</xdr:col>
      <xdr:colOff>130492</xdr:colOff>
      <xdr:row>24</xdr:row>
      <xdr:rowOff>27177</xdr:rowOff>
    </xdr:from>
    <xdr:to>
      <xdr:col>2</xdr:col>
      <xdr:colOff>240975</xdr:colOff>
      <xdr:row>24</xdr:row>
      <xdr:rowOff>195452</xdr:rowOff>
    </xdr:to>
    <xdr:sp macro="" textlink="">
      <xdr:nvSpPr>
        <xdr:cNvPr id="69" name="TextBox 23">
          <a:extLst>
            <a:ext uri="{FF2B5EF4-FFF2-40B4-BE49-F238E27FC236}">
              <a16:creationId xmlns:a16="http://schemas.microsoft.com/office/drawing/2014/main" id="{B6943755-447C-C529-91AF-AA3C75535993}"/>
            </a:ext>
          </a:extLst>
        </xdr:cNvPr>
        <xdr:cNvSpPr txBox="1"/>
      </xdr:nvSpPr>
      <xdr:spPr>
        <a:xfrm>
          <a:off x="2645092" y="7951977"/>
          <a:ext cx="948683" cy="168275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100" b="0">
              <a:solidFill>
                <a:srgbClr val="484848"/>
              </a:solidFill>
              <a:latin typeface="Roboto"/>
            </a:rPr>
            <a:t>Profit achieved</a:t>
          </a:r>
        </a:p>
      </xdr:txBody>
    </xdr:sp>
    <xdr:clientData/>
  </xdr:twoCellAnchor>
  <xdr:twoCellAnchor>
    <xdr:from>
      <xdr:col>0</xdr:col>
      <xdr:colOff>746125</xdr:colOff>
      <xdr:row>34</xdr:row>
      <xdr:rowOff>26988</xdr:rowOff>
    </xdr:from>
    <xdr:to>
      <xdr:col>7</xdr:col>
      <xdr:colOff>163512</xdr:colOff>
      <xdr:row>62</xdr:row>
      <xdr:rowOff>169863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7" name="Chart 76">
              <a:extLst>
                <a:ext uri="{FF2B5EF4-FFF2-40B4-BE49-F238E27FC236}">
                  <a16:creationId xmlns:a16="http://schemas.microsoft.com/office/drawing/2014/main" id="{A5087337-287A-4BCA-8EBC-4BBAEFC20F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6125" y="6827838"/>
              <a:ext cx="5218112" cy="5743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233363</xdr:colOff>
      <xdr:row>34</xdr:row>
      <xdr:rowOff>144462</xdr:rowOff>
    </xdr:from>
    <xdr:to>
      <xdr:col>15</xdr:col>
      <xdr:colOff>788988</xdr:colOff>
      <xdr:row>61</xdr:row>
      <xdr:rowOff>166686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5C6CEF64-84E3-480A-97D1-4A0624BA79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159258</xdr:colOff>
      <xdr:row>14</xdr:row>
      <xdr:rowOff>185738</xdr:rowOff>
    </xdr:from>
    <xdr:to>
      <xdr:col>10</xdr:col>
      <xdr:colOff>552890</xdr:colOff>
      <xdr:row>18</xdr:row>
      <xdr:rowOff>58738</xdr:rowOff>
    </xdr:to>
    <xdr:sp macro="" textlink="">
      <xdr:nvSpPr>
        <xdr:cNvPr id="125" name="Rounded Rectangle 1">
          <a:extLst>
            <a:ext uri="{FF2B5EF4-FFF2-40B4-BE49-F238E27FC236}">
              <a16:creationId xmlns:a16="http://schemas.microsoft.com/office/drawing/2014/main" id="{9520F383-C711-D8FC-3375-C217FD510181}"/>
            </a:ext>
          </a:extLst>
        </xdr:cNvPr>
        <xdr:cNvSpPr/>
      </xdr:nvSpPr>
      <xdr:spPr>
        <a:xfrm>
          <a:off x="8541258" y="4452938"/>
          <a:ext cx="393632" cy="685800"/>
        </a:xfrm>
        <a:custGeom>
          <a:avLst/>
          <a:gdLst/>
          <a:ahLst/>
          <a:cxnLst/>
          <a:rect l="0" t="0" r="0" b="0"/>
          <a:pathLst>
            <a:path w="393632" h="685800">
              <a:moveTo>
                <a:pt x="0" y="685800"/>
              </a:moveTo>
              <a:lnTo>
                <a:pt x="167199" y="685800"/>
              </a:lnTo>
              <a:cubicBezTo>
                <a:pt x="187526" y="685800"/>
                <a:pt x="206322" y="675003"/>
                <a:pt x="216565" y="657445"/>
              </a:cubicBezTo>
              <a:lnTo>
                <a:pt x="383252" y="371695"/>
              </a:lnTo>
              <a:cubicBezTo>
                <a:pt x="393632" y="353901"/>
                <a:pt x="393632" y="331897"/>
                <a:pt x="383252" y="314104"/>
              </a:cubicBezTo>
              <a:lnTo>
                <a:pt x="216565" y="28354"/>
              </a:lnTo>
              <a:cubicBezTo>
                <a:pt x="206322" y="10796"/>
                <a:pt x="187526" y="0"/>
                <a:pt x="167199" y="0"/>
              </a:cubicBezTo>
              <a:lnTo>
                <a:pt x="0" y="0"/>
              </a:lnTo>
            </a:path>
          </a:pathLst>
        </a:custGeom>
        <a:noFill/>
        <a:ln w="14287">
          <a:solidFill>
            <a:schemeClr val="accent4">
              <a:lumMod val="50000"/>
            </a:schemeClr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10</xdr:col>
      <xdr:colOff>790130</xdr:colOff>
      <xdr:row>12</xdr:row>
      <xdr:rowOff>134938</xdr:rowOff>
    </xdr:from>
    <xdr:to>
      <xdr:col>14</xdr:col>
      <xdr:colOff>531030</xdr:colOff>
      <xdr:row>26</xdr:row>
      <xdr:rowOff>33338</xdr:rowOff>
    </xdr:to>
    <xdr:sp macro="" textlink="">
      <xdr:nvSpPr>
        <xdr:cNvPr id="126" name="Rounded Rectangle 2">
          <a:extLst>
            <a:ext uri="{FF2B5EF4-FFF2-40B4-BE49-F238E27FC236}">
              <a16:creationId xmlns:a16="http://schemas.microsoft.com/office/drawing/2014/main" id="{2DCDF5BA-B349-E2FF-A8D5-E84A48703F24}"/>
            </a:ext>
          </a:extLst>
        </xdr:cNvPr>
        <xdr:cNvSpPr/>
      </xdr:nvSpPr>
      <xdr:spPr>
        <a:xfrm>
          <a:off x="8219630" y="2611438"/>
          <a:ext cx="3042900" cy="2787650"/>
        </a:xfrm>
        <a:custGeom>
          <a:avLst/>
          <a:gdLst/>
          <a:ahLst/>
          <a:cxnLst/>
          <a:rect l="0" t="0" r="0" b="0"/>
          <a:pathLst>
            <a:path w="3093700" h="2743200">
              <a:moveTo>
                <a:pt x="40328" y="1257957"/>
              </a:moveTo>
              <a:cubicBezTo>
                <a:pt x="0" y="1328356"/>
                <a:pt x="0" y="1414843"/>
                <a:pt x="40328" y="1485242"/>
              </a:cubicBezTo>
              <a:lnTo>
                <a:pt x="695172" y="2628242"/>
              </a:lnTo>
              <a:cubicBezTo>
                <a:pt x="735911" y="2699337"/>
                <a:pt x="811587" y="2743200"/>
                <a:pt x="893530" y="2743200"/>
              </a:cubicBezTo>
              <a:lnTo>
                <a:pt x="2200170" y="2743200"/>
              </a:lnTo>
              <a:cubicBezTo>
                <a:pt x="2282113" y="2743200"/>
                <a:pt x="2357789" y="2699337"/>
                <a:pt x="2398528" y="2628242"/>
              </a:cubicBezTo>
              <a:lnTo>
                <a:pt x="3053372" y="1485242"/>
              </a:lnTo>
              <a:cubicBezTo>
                <a:pt x="3093700" y="1414843"/>
                <a:pt x="3093700" y="1328356"/>
                <a:pt x="3053372" y="1257957"/>
              </a:cubicBezTo>
              <a:lnTo>
                <a:pt x="2398528" y="114957"/>
              </a:lnTo>
              <a:cubicBezTo>
                <a:pt x="2357789" y="43862"/>
                <a:pt x="2282113" y="0"/>
                <a:pt x="2200170" y="0"/>
              </a:cubicBezTo>
              <a:lnTo>
                <a:pt x="893530" y="0"/>
              </a:lnTo>
              <a:cubicBezTo>
                <a:pt x="811587" y="0"/>
                <a:pt x="735911" y="43862"/>
                <a:pt x="695172" y="114957"/>
              </a:cubicBezTo>
              <a:lnTo>
                <a:pt x="40328" y="1257957"/>
              </a:lnTo>
              <a:moveTo>
                <a:pt x="564203" y="1600857"/>
              </a:moveTo>
              <a:lnTo>
                <a:pt x="957110" y="915057"/>
              </a:lnTo>
              <a:cubicBezTo>
                <a:pt x="997848" y="843962"/>
                <a:pt x="1073524" y="800100"/>
                <a:pt x="1155468" y="800100"/>
              </a:cubicBezTo>
              <a:lnTo>
                <a:pt x="1938232" y="800100"/>
              </a:lnTo>
              <a:cubicBezTo>
                <a:pt x="2020176" y="800100"/>
                <a:pt x="2095852" y="843962"/>
                <a:pt x="2136590" y="915057"/>
              </a:cubicBezTo>
              <a:lnTo>
                <a:pt x="2529497" y="1600857"/>
              </a:lnTo>
              <a:cubicBezTo>
                <a:pt x="2569825" y="1671256"/>
                <a:pt x="2569825" y="1757743"/>
                <a:pt x="2529497" y="1828142"/>
              </a:cubicBezTo>
              <a:lnTo>
                <a:pt x="2136590" y="2513942"/>
              </a:lnTo>
              <a:cubicBezTo>
                <a:pt x="2095852" y="2585037"/>
                <a:pt x="2020176" y="2628900"/>
                <a:pt x="1938232" y="2628900"/>
              </a:cubicBezTo>
              <a:lnTo>
                <a:pt x="1155468" y="2628900"/>
              </a:lnTo>
              <a:cubicBezTo>
                <a:pt x="1073524" y="2628900"/>
                <a:pt x="997848" y="2585037"/>
                <a:pt x="957110" y="2513942"/>
              </a:cubicBezTo>
              <a:lnTo>
                <a:pt x="564203" y="1828142"/>
              </a:lnTo>
              <a:cubicBezTo>
                <a:pt x="523884" y="1757743"/>
                <a:pt x="523884" y="1671256"/>
                <a:pt x="564203" y="1600857"/>
              </a:cubicBezTo>
            </a:path>
          </a:pathLst>
        </a:custGeom>
        <a:solidFill>
          <a:schemeClr val="accent4">
            <a:lumMod val="50000"/>
          </a:schemeClr>
        </a:solidFill>
        <a:ln>
          <a:noFill/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10</xdr:col>
      <xdr:colOff>786960</xdr:colOff>
      <xdr:row>12</xdr:row>
      <xdr:rowOff>134938</xdr:rowOff>
    </xdr:from>
    <xdr:to>
      <xdr:col>14</xdr:col>
      <xdr:colOff>527856</xdr:colOff>
      <xdr:row>26</xdr:row>
      <xdr:rowOff>33338</xdr:rowOff>
    </xdr:to>
    <xdr:sp macro="" textlink="">
      <xdr:nvSpPr>
        <xdr:cNvPr id="127" name="Rounded Rectangle 3">
          <a:extLst>
            <a:ext uri="{FF2B5EF4-FFF2-40B4-BE49-F238E27FC236}">
              <a16:creationId xmlns:a16="http://schemas.microsoft.com/office/drawing/2014/main" id="{3466D156-2AA1-A11A-2936-59C613518BBA}"/>
            </a:ext>
          </a:extLst>
        </xdr:cNvPr>
        <xdr:cNvSpPr/>
      </xdr:nvSpPr>
      <xdr:spPr>
        <a:xfrm>
          <a:off x="9168960" y="3995738"/>
          <a:ext cx="3093696" cy="2743200"/>
        </a:xfrm>
        <a:custGeom>
          <a:avLst/>
          <a:gdLst/>
          <a:ahLst/>
          <a:cxnLst/>
          <a:rect l="0" t="0" r="0" b="0"/>
          <a:pathLst>
            <a:path w="3093696" h="2743200">
              <a:moveTo>
                <a:pt x="40328" y="1257960"/>
              </a:moveTo>
              <a:cubicBezTo>
                <a:pt x="0" y="1328352"/>
                <a:pt x="0" y="1414847"/>
                <a:pt x="40328" y="1485239"/>
              </a:cubicBezTo>
              <a:lnTo>
                <a:pt x="695172" y="2628239"/>
              </a:lnTo>
              <a:cubicBezTo>
                <a:pt x="735908" y="2699341"/>
                <a:pt x="811583" y="2743200"/>
                <a:pt x="893525" y="2743200"/>
              </a:cubicBezTo>
              <a:lnTo>
                <a:pt x="2200170" y="2743200"/>
              </a:lnTo>
              <a:cubicBezTo>
                <a:pt x="2282112" y="2743200"/>
                <a:pt x="2357788" y="2699341"/>
                <a:pt x="2398522" y="2628239"/>
              </a:cubicBezTo>
              <a:lnTo>
                <a:pt x="3053366" y="1485239"/>
              </a:lnTo>
              <a:cubicBezTo>
                <a:pt x="3093696" y="1414847"/>
                <a:pt x="3093696" y="1328352"/>
                <a:pt x="3053366" y="1257960"/>
              </a:cubicBezTo>
              <a:lnTo>
                <a:pt x="2398522" y="114960"/>
              </a:lnTo>
              <a:cubicBezTo>
                <a:pt x="2357788" y="43859"/>
                <a:pt x="2282112" y="0"/>
                <a:pt x="2200170" y="0"/>
              </a:cubicBezTo>
              <a:lnTo>
                <a:pt x="893525" y="0"/>
              </a:lnTo>
              <a:cubicBezTo>
                <a:pt x="811582" y="0"/>
                <a:pt x="735907" y="43859"/>
                <a:pt x="695172" y="114960"/>
              </a:cubicBezTo>
              <a:close/>
              <a:moveTo>
                <a:pt x="564203" y="1600860"/>
              </a:moveTo>
              <a:lnTo>
                <a:pt x="957110" y="915060"/>
              </a:lnTo>
              <a:cubicBezTo>
                <a:pt x="997844" y="843959"/>
                <a:pt x="1073519" y="800100"/>
                <a:pt x="1155463" y="800100"/>
              </a:cubicBezTo>
              <a:lnTo>
                <a:pt x="1938232" y="800100"/>
              </a:lnTo>
              <a:cubicBezTo>
                <a:pt x="2020175" y="800100"/>
                <a:pt x="2095850" y="843959"/>
                <a:pt x="2136585" y="915060"/>
              </a:cubicBezTo>
              <a:lnTo>
                <a:pt x="2529491" y="1600860"/>
              </a:lnTo>
              <a:cubicBezTo>
                <a:pt x="2569821" y="1671252"/>
                <a:pt x="2569821" y="1757747"/>
                <a:pt x="2529491" y="1828139"/>
              </a:cubicBezTo>
              <a:lnTo>
                <a:pt x="2136585" y="2513939"/>
              </a:lnTo>
              <a:cubicBezTo>
                <a:pt x="2095850" y="2585041"/>
                <a:pt x="2020175" y="2628900"/>
                <a:pt x="1938232" y="2628900"/>
              </a:cubicBezTo>
              <a:lnTo>
                <a:pt x="1155463" y="2628900"/>
              </a:lnTo>
              <a:cubicBezTo>
                <a:pt x="1073520" y="2628900"/>
                <a:pt x="997845" y="2585041"/>
                <a:pt x="957110" y="2513939"/>
              </a:cubicBezTo>
              <a:lnTo>
                <a:pt x="564203" y="1828139"/>
              </a:lnTo>
              <a:cubicBezTo>
                <a:pt x="523875" y="1757747"/>
                <a:pt x="523875" y="1671252"/>
                <a:pt x="564203" y="1600860"/>
              </a:cubicBezTo>
              <a:close/>
            </a:path>
          </a:pathLst>
        </a:custGeom>
        <a:noFill/>
        <a:ln w="14287">
          <a:solidFill>
            <a:srgbClr val="FFFFFF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10</xdr:col>
      <xdr:colOff>530733</xdr:colOff>
      <xdr:row>16</xdr:row>
      <xdr:rowOff>96838</xdr:rowOff>
    </xdr:from>
    <xdr:to>
      <xdr:col>11</xdr:col>
      <xdr:colOff>283083</xdr:colOff>
      <xdr:row>16</xdr:row>
      <xdr:rowOff>153988</xdr:rowOff>
    </xdr:to>
    <xdr:grpSp>
      <xdr:nvGrpSpPr>
        <xdr:cNvPr id="128" name="Group 127">
          <a:extLst>
            <a:ext uri="{FF2B5EF4-FFF2-40B4-BE49-F238E27FC236}">
              <a16:creationId xmlns:a16="http://schemas.microsoft.com/office/drawing/2014/main" id="{E5E7A2AA-3005-B865-2B0B-857681054A87}"/>
            </a:ext>
          </a:extLst>
        </xdr:cNvPr>
        <xdr:cNvGrpSpPr/>
      </xdr:nvGrpSpPr>
      <xdr:grpSpPr>
        <a:xfrm>
          <a:off x="8912733" y="3449638"/>
          <a:ext cx="590550" cy="57150"/>
          <a:chOff x="2454771" y="2200275"/>
          <a:chExt cx="590550" cy="57150"/>
        </a:xfrm>
      </xdr:grpSpPr>
      <xdr:sp macro="" textlink="">
        <xdr:nvSpPr>
          <xdr:cNvPr id="145" name="Rounded Rectangle 4">
            <a:extLst>
              <a:ext uri="{FF2B5EF4-FFF2-40B4-BE49-F238E27FC236}">
                <a16:creationId xmlns:a16="http://schemas.microsoft.com/office/drawing/2014/main" id="{EF6FA42D-D5E8-6594-9AF7-33534FE186F8}"/>
              </a:ext>
            </a:extLst>
          </xdr:cNvPr>
          <xdr:cNvSpPr/>
        </xdr:nvSpPr>
        <xdr:spPr>
          <a:xfrm>
            <a:off x="2483346" y="2228850"/>
            <a:ext cx="533400" cy="9525"/>
          </a:xfrm>
          <a:custGeom>
            <a:avLst/>
            <a:gdLst/>
            <a:ahLst/>
            <a:cxnLst/>
            <a:rect l="0" t="0" r="0" b="0"/>
            <a:pathLst>
              <a:path w="533400" h="9525">
                <a:moveTo>
                  <a:pt x="0" y="0"/>
                </a:moveTo>
                <a:lnTo>
                  <a:pt x="533400" y="0"/>
                </a:lnTo>
              </a:path>
            </a:pathLst>
          </a:custGeom>
          <a:noFill/>
          <a:ln w="14287">
            <a:solidFill>
              <a:schemeClr val="accent4">
                <a:lumMod val="50000"/>
              </a:schemeClr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>
              <a:solidFill>
                <a:schemeClr val="accent4">
                  <a:lumMod val="50000"/>
                </a:schemeClr>
              </a:solidFill>
            </a:endParaRPr>
          </a:p>
        </xdr:txBody>
      </xdr:sp>
      <xdr:sp macro="" textlink="">
        <xdr:nvSpPr>
          <xdr:cNvPr id="146" name="Rounded Rectangle 5">
            <a:extLst>
              <a:ext uri="{FF2B5EF4-FFF2-40B4-BE49-F238E27FC236}">
                <a16:creationId xmlns:a16="http://schemas.microsoft.com/office/drawing/2014/main" id="{BCDE9403-4502-A691-FB12-ACCC4CA7AD1D}"/>
              </a:ext>
            </a:extLst>
          </xdr:cNvPr>
          <xdr:cNvSpPr/>
        </xdr:nvSpPr>
        <xdr:spPr>
          <a:xfrm>
            <a:off x="2454771" y="2200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E0CB15"/>
          </a:solidFill>
          <a:ln w="14287">
            <a:solidFill>
              <a:schemeClr val="accent4">
                <a:lumMod val="50000"/>
              </a:schemeClr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>
              <a:solidFill>
                <a:schemeClr val="accent4">
                  <a:lumMod val="50000"/>
                </a:schemeClr>
              </a:solidFill>
            </a:endParaRPr>
          </a:p>
        </xdr:txBody>
      </xdr:sp>
      <xdr:sp macro="" textlink="">
        <xdr:nvSpPr>
          <xdr:cNvPr id="147" name="Rounded Rectangle 6">
            <a:extLst>
              <a:ext uri="{FF2B5EF4-FFF2-40B4-BE49-F238E27FC236}">
                <a16:creationId xmlns:a16="http://schemas.microsoft.com/office/drawing/2014/main" id="{A5FBFB08-47ED-BBCA-0FA9-1532A36DE510}"/>
              </a:ext>
            </a:extLst>
          </xdr:cNvPr>
          <xdr:cNvSpPr/>
        </xdr:nvSpPr>
        <xdr:spPr>
          <a:xfrm>
            <a:off x="2988171" y="2200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E0CB15"/>
          </a:solidFill>
          <a:ln w="14287">
            <a:solidFill>
              <a:schemeClr val="accent4">
                <a:lumMod val="50000"/>
              </a:schemeClr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>
              <a:solidFill>
                <a:schemeClr val="accent4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10</xdr:col>
      <xdr:colOff>159258</xdr:colOff>
      <xdr:row>20</xdr:row>
      <xdr:rowOff>109538</xdr:rowOff>
    </xdr:from>
    <xdr:to>
      <xdr:col>10</xdr:col>
      <xdr:colOff>552890</xdr:colOff>
      <xdr:row>23</xdr:row>
      <xdr:rowOff>185738</xdr:rowOff>
    </xdr:to>
    <xdr:sp macro="" textlink="">
      <xdr:nvSpPr>
        <xdr:cNvPr id="129" name="Rounded Rectangle 8">
          <a:extLst>
            <a:ext uri="{FF2B5EF4-FFF2-40B4-BE49-F238E27FC236}">
              <a16:creationId xmlns:a16="http://schemas.microsoft.com/office/drawing/2014/main" id="{CFA1B673-9A2C-C7DF-DA56-E8700D3652A4}"/>
            </a:ext>
          </a:extLst>
        </xdr:cNvPr>
        <xdr:cNvSpPr/>
      </xdr:nvSpPr>
      <xdr:spPr>
        <a:xfrm>
          <a:off x="8541258" y="5595938"/>
          <a:ext cx="393632" cy="685800"/>
        </a:xfrm>
        <a:custGeom>
          <a:avLst/>
          <a:gdLst/>
          <a:ahLst/>
          <a:cxnLst/>
          <a:rect l="0" t="0" r="0" b="0"/>
          <a:pathLst>
            <a:path w="393632" h="685800">
              <a:moveTo>
                <a:pt x="0" y="685800"/>
              </a:moveTo>
              <a:lnTo>
                <a:pt x="167199" y="685800"/>
              </a:lnTo>
              <a:cubicBezTo>
                <a:pt x="187526" y="685800"/>
                <a:pt x="206322" y="675003"/>
                <a:pt x="216565" y="657445"/>
              </a:cubicBezTo>
              <a:lnTo>
                <a:pt x="383252" y="371695"/>
              </a:lnTo>
              <a:cubicBezTo>
                <a:pt x="393632" y="353901"/>
                <a:pt x="393632" y="331897"/>
                <a:pt x="383252" y="314104"/>
              </a:cubicBezTo>
              <a:lnTo>
                <a:pt x="216565" y="28354"/>
              </a:lnTo>
              <a:cubicBezTo>
                <a:pt x="206322" y="10796"/>
                <a:pt x="187526" y="0"/>
                <a:pt x="167199" y="0"/>
              </a:cubicBezTo>
              <a:lnTo>
                <a:pt x="0" y="0"/>
              </a:lnTo>
            </a:path>
          </a:pathLst>
        </a:custGeom>
        <a:noFill/>
        <a:ln w="14287">
          <a:solidFill>
            <a:srgbClr val="DE8431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11</xdr:col>
      <xdr:colOff>472630</xdr:colOff>
      <xdr:row>16</xdr:row>
      <xdr:rowOff>122275</xdr:rowOff>
    </xdr:from>
    <xdr:to>
      <xdr:col>14</xdr:col>
      <xdr:colOff>3980</xdr:colOff>
      <xdr:row>25</xdr:row>
      <xdr:rowOff>122275</xdr:rowOff>
    </xdr:to>
    <xdr:sp macro="" textlink="">
      <xdr:nvSpPr>
        <xdr:cNvPr id="130" name="Rounded Rectangle 9">
          <a:extLst>
            <a:ext uri="{FF2B5EF4-FFF2-40B4-BE49-F238E27FC236}">
              <a16:creationId xmlns:a16="http://schemas.microsoft.com/office/drawing/2014/main" id="{DD78CF01-412F-BAA1-280D-B4DB7DED6F7C}"/>
            </a:ext>
          </a:extLst>
        </xdr:cNvPr>
        <xdr:cNvSpPr/>
      </xdr:nvSpPr>
      <xdr:spPr>
        <a:xfrm>
          <a:off x="9692830" y="4795875"/>
          <a:ext cx="2045950" cy="1828800"/>
        </a:xfrm>
        <a:custGeom>
          <a:avLst/>
          <a:gdLst/>
          <a:ahLst/>
          <a:cxnLst/>
          <a:rect l="0" t="0" r="0" b="0"/>
          <a:pathLst>
            <a:path w="2045950" h="1828800">
              <a:moveTo>
                <a:pt x="40328" y="1028042"/>
              </a:moveTo>
              <a:cubicBezTo>
                <a:pt x="0" y="957643"/>
                <a:pt x="0" y="871156"/>
                <a:pt x="40328" y="800757"/>
              </a:cubicBezTo>
              <a:lnTo>
                <a:pt x="433235" y="114957"/>
              </a:lnTo>
              <a:cubicBezTo>
                <a:pt x="473973" y="43862"/>
                <a:pt x="549649" y="0"/>
                <a:pt x="631593" y="0"/>
              </a:cubicBezTo>
              <a:lnTo>
                <a:pt x="1414357" y="0"/>
              </a:lnTo>
              <a:cubicBezTo>
                <a:pt x="1496301" y="0"/>
                <a:pt x="1571977" y="43862"/>
                <a:pt x="1612715" y="114957"/>
              </a:cubicBezTo>
              <a:lnTo>
                <a:pt x="2005622" y="800757"/>
              </a:lnTo>
              <a:cubicBezTo>
                <a:pt x="2045950" y="871156"/>
                <a:pt x="2045950" y="957643"/>
                <a:pt x="2005622" y="1028042"/>
              </a:cubicBezTo>
              <a:lnTo>
                <a:pt x="1612715" y="1713842"/>
              </a:lnTo>
              <a:cubicBezTo>
                <a:pt x="1571977" y="1784937"/>
                <a:pt x="1496301" y="1828800"/>
                <a:pt x="1414357" y="1828800"/>
              </a:cubicBezTo>
              <a:lnTo>
                <a:pt x="631593" y="1828800"/>
              </a:lnTo>
              <a:cubicBezTo>
                <a:pt x="549649" y="1828800"/>
                <a:pt x="473973" y="1784937"/>
                <a:pt x="433235" y="1713842"/>
              </a:cubicBezTo>
              <a:lnTo>
                <a:pt x="40328" y="1028042"/>
              </a:lnTo>
            </a:path>
          </a:pathLst>
        </a:custGeom>
        <a:solidFill>
          <a:schemeClr val="accent4">
            <a:lumMod val="75000"/>
          </a:schemeClr>
        </a:solidFill>
        <a:ln>
          <a:noFill/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11</xdr:col>
      <xdr:colOff>472635</xdr:colOff>
      <xdr:row>16</xdr:row>
      <xdr:rowOff>122275</xdr:rowOff>
    </xdr:from>
    <xdr:to>
      <xdr:col>14</xdr:col>
      <xdr:colOff>3981</xdr:colOff>
      <xdr:row>25</xdr:row>
      <xdr:rowOff>122275</xdr:rowOff>
    </xdr:to>
    <xdr:sp macro="" textlink="">
      <xdr:nvSpPr>
        <xdr:cNvPr id="131" name="Rounded Rectangle 10">
          <a:extLst>
            <a:ext uri="{FF2B5EF4-FFF2-40B4-BE49-F238E27FC236}">
              <a16:creationId xmlns:a16="http://schemas.microsoft.com/office/drawing/2014/main" id="{17AF8209-9BF3-73E8-7BC7-DF95ADC9015B}"/>
            </a:ext>
          </a:extLst>
        </xdr:cNvPr>
        <xdr:cNvSpPr/>
      </xdr:nvSpPr>
      <xdr:spPr>
        <a:xfrm>
          <a:off x="9692835" y="4795875"/>
          <a:ext cx="2045946" cy="1828800"/>
        </a:xfrm>
        <a:custGeom>
          <a:avLst/>
          <a:gdLst/>
          <a:ahLst/>
          <a:cxnLst/>
          <a:rect l="0" t="0" r="0" b="0"/>
          <a:pathLst>
            <a:path w="2045946" h="1828800">
              <a:moveTo>
                <a:pt x="40328" y="1028039"/>
              </a:moveTo>
              <a:cubicBezTo>
                <a:pt x="0" y="957647"/>
                <a:pt x="0" y="871152"/>
                <a:pt x="40328" y="800760"/>
              </a:cubicBezTo>
              <a:lnTo>
                <a:pt x="433235" y="114960"/>
              </a:lnTo>
              <a:cubicBezTo>
                <a:pt x="473970" y="43858"/>
                <a:pt x="549645" y="0"/>
                <a:pt x="631588" y="0"/>
              </a:cubicBezTo>
              <a:lnTo>
                <a:pt x="1414357" y="0"/>
              </a:lnTo>
              <a:cubicBezTo>
                <a:pt x="1496300" y="0"/>
                <a:pt x="1571975" y="43859"/>
                <a:pt x="1612711" y="114960"/>
              </a:cubicBezTo>
              <a:lnTo>
                <a:pt x="2005617" y="800760"/>
              </a:lnTo>
              <a:cubicBezTo>
                <a:pt x="2045946" y="871152"/>
                <a:pt x="2045946" y="957647"/>
                <a:pt x="2005617" y="1028039"/>
              </a:cubicBezTo>
              <a:lnTo>
                <a:pt x="1612710" y="1713839"/>
              </a:lnTo>
              <a:cubicBezTo>
                <a:pt x="1571975" y="1784941"/>
                <a:pt x="1496300" y="1828800"/>
                <a:pt x="1414357" y="1828800"/>
              </a:cubicBezTo>
              <a:lnTo>
                <a:pt x="631588" y="1828800"/>
              </a:lnTo>
              <a:cubicBezTo>
                <a:pt x="549645" y="1828800"/>
                <a:pt x="473970" y="1784940"/>
                <a:pt x="433235" y="1713839"/>
              </a:cubicBezTo>
              <a:lnTo>
                <a:pt x="40328" y="1028039"/>
              </a:lnTo>
              <a:close/>
            </a:path>
          </a:pathLst>
        </a:custGeom>
        <a:noFill/>
        <a:ln w="14287">
          <a:solidFill>
            <a:srgbClr val="FFFFFF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10</xdr:col>
      <xdr:colOff>530733</xdr:colOff>
      <xdr:row>22</xdr:row>
      <xdr:rowOff>20638</xdr:rowOff>
    </xdr:from>
    <xdr:to>
      <xdr:col>11</xdr:col>
      <xdr:colOff>606933</xdr:colOff>
      <xdr:row>22</xdr:row>
      <xdr:rowOff>77788</xdr:rowOff>
    </xdr:to>
    <xdr:grpSp>
      <xdr:nvGrpSpPr>
        <xdr:cNvPr id="132" name="Group 131">
          <a:extLst>
            <a:ext uri="{FF2B5EF4-FFF2-40B4-BE49-F238E27FC236}">
              <a16:creationId xmlns:a16="http://schemas.microsoft.com/office/drawing/2014/main" id="{26CE9D7A-A8C8-3850-DE4E-23F8C3EEE4A6}"/>
            </a:ext>
          </a:extLst>
        </xdr:cNvPr>
        <xdr:cNvGrpSpPr/>
      </xdr:nvGrpSpPr>
      <xdr:grpSpPr>
        <a:xfrm>
          <a:off x="8912733" y="4630738"/>
          <a:ext cx="914400" cy="57150"/>
          <a:chOff x="2454771" y="3343275"/>
          <a:chExt cx="914400" cy="57150"/>
        </a:xfrm>
      </xdr:grpSpPr>
      <xdr:sp macro="" textlink="">
        <xdr:nvSpPr>
          <xdr:cNvPr id="142" name="Rounded Rectangle 11">
            <a:extLst>
              <a:ext uri="{FF2B5EF4-FFF2-40B4-BE49-F238E27FC236}">
                <a16:creationId xmlns:a16="http://schemas.microsoft.com/office/drawing/2014/main" id="{AB15DD6D-D3ED-0ACB-803C-8BF1B4C7BC13}"/>
              </a:ext>
            </a:extLst>
          </xdr:cNvPr>
          <xdr:cNvSpPr/>
        </xdr:nvSpPr>
        <xdr:spPr>
          <a:xfrm>
            <a:off x="2483346" y="3371850"/>
            <a:ext cx="857250" cy="9525"/>
          </a:xfrm>
          <a:custGeom>
            <a:avLst/>
            <a:gdLst/>
            <a:ahLst/>
            <a:cxnLst/>
            <a:rect l="0" t="0" r="0" b="0"/>
            <a:pathLst>
              <a:path w="857250" h="9525">
                <a:moveTo>
                  <a:pt x="0" y="0"/>
                </a:moveTo>
                <a:lnTo>
                  <a:pt x="857250" y="0"/>
                </a:lnTo>
              </a:path>
            </a:pathLst>
          </a:custGeom>
          <a:noFill/>
          <a:ln w="14287">
            <a:solidFill>
              <a:schemeClr val="accent4">
                <a:lumMod val="75000"/>
              </a:schemeClr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43" name="Rounded Rectangle 12">
            <a:extLst>
              <a:ext uri="{FF2B5EF4-FFF2-40B4-BE49-F238E27FC236}">
                <a16:creationId xmlns:a16="http://schemas.microsoft.com/office/drawing/2014/main" id="{20D80094-8075-90FD-2963-FAD09DCCAB4F}"/>
              </a:ext>
            </a:extLst>
          </xdr:cNvPr>
          <xdr:cNvSpPr/>
        </xdr:nvSpPr>
        <xdr:spPr>
          <a:xfrm>
            <a:off x="2454771" y="3343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DE8431"/>
          </a:solidFill>
          <a:ln w="14287">
            <a:solidFill>
              <a:schemeClr val="accent4">
                <a:lumMod val="75000"/>
              </a:schemeClr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144" name="Rounded Rectangle 13">
            <a:extLst>
              <a:ext uri="{FF2B5EF4-FFF2-40B4-BE49-F238E27FC236}">
                <a16:creationId xmlns:a16="http://schemas.microsoft.com/office/drawing/2014/main" id="{475809A6-8E93-1C3D-A5FD-C5D62E445C91}"/>
              </a:ext>
            </a:extLst>
          </xdr:cNvPr>
          <xdr:cNvSpPr/>
        </xdr:nvSpPr>
        <xdr:spPr>
          <a:xfrm>
            <a:off x="3312021" y="3343275"/>
            <a:ext cx="57150" cy="57150"/>
          </a:xfrm>
          <a:custGeom>
            <a:avLst/>
            <a:gdLst/>
            <a:ahLst/>
            <a:cxnLst/>
            <a:rect l="0" t="0" r="0" b="0"/>
            <a:pathLst>
              <a:path w="57150" h="57150">
                <a:moveTo>
                  <a:pt x="0" y="28575"/>
                </a:moveTo>
                <a:cubicBezTo>
                  <a:pt x="0" y="44356"/>
                  <a:pt x="12793" y="57150"/>
                  <a:pt x="28575" y="57150"/>
                </a:cubicBezTo>
                <a:cubicBezTo>
                  <a:pt x="44356" y="57150"/>
                  <a:pt x="57150" y="44356"/>
                  <a:pt x="57150" y="28575"/>
                </a:cubicBezTo>
                <a:cubicBezTo>
                  <a:pt x="57150" y="12793"/>
                  <a:pt x="44356" y="0"/>
                  <a:pt x="28575" y="0"/>
                </a:cubicBezTo>
                <a:cubicBezTo>
                  <a:pt x="12793" y="0"/>
                  <a:pt x="0" y="12793"/>
                  <a:pt x="0" y="28575"/>
                </a:cubicBezTo>
                <a:close/>
              </a:path>
            </a:pathLst>
          </a:custGeom>
          <a:solidFill>
            <a:srgbClr val="DE8431"/>
          </a:solidFill>
          <a:ln w="14287">
            <a:solidFill>
              <a:schemeClr val="accent4">
                <a:lumMod val="75000"/>
              </a:schemeClr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</xdr:grpSp>
    <xdr:clientData/>
  </xdr:twoCellAnchor>
  <xdr:twoCellAnchor>
    <xdr:from>
      <xdr:col>10</xdr:col>
      <xdr:colOff>419352</xdr:colOff>
      <xdr:row>8</xdr:row>
      <xdr:rowOff>57150</xdr:rowOff>
    </xdr:from>
    <xdr:to>
      <xdr:col>14</xdr:col>
      <xdr:colOff>705651</xdr:colOff>
      <xdr:row>11</xdr:row>
      <xdr:rowOff>39776</xdr:rowOff>
    </xdr:to>
    <xdr:sp macro="" textlink="">
      <xdr:nvSpPr>
        <xdr:cNvPr id="133" name="TextBox 15">
          <a:extLst>
            <a:ext uri="{FF2B5EF4-FFF2-40B4-BE49-F238E27FC236}">
              <a16:creationId xmlns:a16="http://schemas.microsoft.com/office/drawing/2014/main" id="{C15D006C-2629-6AB1-98D6-36FA8B1D96B5}"/>
            </a:ext>
          </a:extLst>
        </xdr:cNvPr>
        <xdr:cNvSpPr txBox="1"/>
      </xdr:nvSpPr>
      <xdr:spPr>
        <a:xfrm>
          <a:off x="8753727" y="1581150"/>
          <a:ext cx="3620049" cy="554126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r>
            <a:rPr lang="en-GB" sz="1800" b="1">
              <a:solidFill>
                <a:srgbClr val="484848"/>
              </a:solidFill>
              <a:latin typeface="Roboto"/>
            </a:rPr>
            <a:t>Sales</a:t>
          </a:r>
        </a:p>
        <a:p>
          <a:pPr algn="ctr"/>
          <a:r>
            <a:rPr lang="en-GB" sz="1800" b="1">
              <a:solidFill>
                <a:srgbClr val="484848"/>
              </a:solidFill>
              <a:latin typeface="Roboto"/>
            </a:rPr>
            <a:t> (USD M)</a:t>
          </a:r>
          <a:endParaRPr sz="1800" b="1">
            <a:solidFill>
              <a:srgbClr val="484848"/>
            </a:solidFill>
            <a:latin typeface="Roboto"/>
          </a:endParaRPr>
        </a:p>
      </xdr:txBody>
    </xdr:sp>
    <xdr:clientData/>
  </xdr:twoCellAnchor>
  <xdr:twoCellAnchor>
    <xdr:from>
      <xdr:col>12</xdr:col>
      <xdr:colOff>298291</xdr:colOff>
      <xdr:row>14</xdr:row>
      <xdr:rowOff>17537</xdr:rowOff>
    </xdr:from>
    <xdr:to>
      <xdr:col>13</xdr:col>
      <xdr:colOff>190500</xdr:colOff>
      <xdr:row>15</xdr:row>
      <xdr:rowOff>42059</xdr:rowOff>
    </xdr:to>
    <xdr:sp macro="" textlink="">
      <xdr:nvSpPr>
        <xdr:cNvPr id="134" name="TextBox 16">
          <a:extLst>
            <a:ext uri="{FF2B5EF4-FFF2-40B4-BE49-F238E27FC236}">
              <a16:creationId xmlns:a16="http://schemas.microsoft.com/office/drawing/2014/main" id="{3D31AD95-3331-1D14-FBAB-294DAD878137}"/>
            </a:ext>
          </a:extLst>
        </xdr:cNvPr>
        <xdr:cNvSpPr txBox="1"/>
      </xdr:nvSpPr>
      <xdr:spPr>
        <a:xfrm>
          <a:off x="9378791" y="2906787"/>
          <a:ext cx="717709" cy="230897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r>
            <a:rPr sz="1500" b="0">
              <a:solidFill>
                <a:srgbClr val="FFFFFF"/>
              </a:solidFill>
              <a:latin typeface="Roboto"/>
            </a:rPr>
            <a:t>$3,000</a:t>
          </a:r>
        </a:p>
      </xdr:txBody>
    </xdr:sp>
    <xdr:clientData/>
  </xdr:twoCellAnchor>
  <xdr:twoCellAnchor>
    <xdr:from>
      <xdr:col>9</xdr:col>
      <xdr:colOff>760119</xdr:colOff>
      <xdr:row>15</xdr:row>
      <xdr:rowOff>106176</xdr:rowOff>
    </xdr:from>
    <xdr:to>
      <xdr:col>10</xdr:col>
      <xdr:colOff>378306</xdr:colOff>
      <xdr:row>17</xdr:row>
      <xdr:rowOff>159519</xdr:rowOff>
    </xdr:to>
    <xdr:sp macro="" textlink="">
      <xdr:nvSpPr>
        <xdr:cNvPr id="135" name="Rounded Rectangle 17">
          <a:extLst>
            <a:ext uri="{FF2B5EF4-FFF2-40B4-BE49-F238E27FC236}">
              <a16:creationId xmlns:a16="http://schemas.microsoft.com/office/drawing/2014/main" id="{46D223F0-468C-0C04-5326-842765E4D401}"/>
            </a:ext>
          </a:extLst>
        </xdr:cNvPr>
        <xdr:cNvSpPr/>
      </xdr:nvSpPr>
      <xdr:spPr>
        <a:xfrm>
          <a:off x="8303919" y="4576576"/>
          <a:ext cx="456387" cy="459743"/>
        </a:xfrm>
        <a:custGeom>
          <a:avLst/>
          <a:gdLst/>
          <a:ahLst/>
          <a:cxnLst/>
          <a:rect l="0" t="0" r="0" b="0"/>
          <a:pathLst>
            <a:path w="456387" h="459743">
              <a:moveTo>
                <a:pt x="240763" y="215624"/>
              </a:moveTo>
              <a:cubicBezTo>
                <a:pt x="211779" y="186623"/>
                <a:pt x="166342" y="182147"/>
                <a:pt x="132256" y="204933"/>
              </a:cubicBezTo>
              <a:cubicBezTo>
                <a:pt x="98170" y="227720"/>
                <a:pt x="84938" y="271418"/>
                <a:pt x="100657" y="309286"/>
              </a:cubicBezTo>
              <a:cubicBezTo>
                <a:pt x="116375" y="347154"/>
                <a:pt x="156664" y="368636"/>
                <a:pt x="196867" y="360586"/>
              </a:cubicBezTo>
              <a:cubicBezTo>
                <a:pt x="237069" y="352536"/>
                <a:pt x="265980" y="317198"/>
                <a:pt x="265906" y="276197"/>
              </a:cubicBezTo>
              <a:cubicBezTo>
                <a:pt x="265935" y="266395"/>
                <a:pt x="264259" y="256662"/>
                <a:pt x="260954" y="247434"/>
              </a:cubicBezTo>
              <a:moveTo>
                <a:pt x="320003" y="194481"/>
              </a:moveTo>
              <a:cubicBezTo>
                <a:pt x="363783" y="268044"/>
                <a:pt x="342896" y="362963"/>
                <a:pt x="272279" y="411353"/>
              </a:cubicBezTo>
              <a:cubicBezTo>
                <a:pt x="201663" y="459743"/>
                <a:pt x="105603" y="444961"/>
                <a:pt x="52801" y="377580"/>
              </a:cubicBezTo>
              <a:cubicBezTo>
                <a:pt x="0" y="310198"/>
                <a:pt x="8615" y="213391"/>
                <a:pt x="72486" y="156393"/>
              </a:cubicBezTo>
              <a:cubicBezTo>
                <a:pt x="136357" y="99395"/>
                <a:pt x="233517" y="101809"/>
                <a:pt x="294478" y="161908"/>
              </a:cubicBezTo>
              <a:moveTo>
                <a:pt x="18281" y="438106"/>
              </a:moveTo>
              <a:lnTo>
                <a:pt x="65711" y="390676"/>
              </a:lnTo>
              <a:moveTo>
                <a:pt x="294669" y="390676"/>
              </a:moveTo>
              <a:lnTo>
                <a:pt x="342099" y="438106"/>
              </a:lnTo>
              <a:moveTo>
                <a:pt x="321717" y="134670"/>
              </a:moveTo>
              <a:lnTo>
                <a:pt x="314860" y="60572"/>
              </a:lnTo>
              <a:lnTo>
                <a:pt x="375433" y="0"/>
              </a:lnTo>
              <a:lnTo>
                <a:pt x="395814" y="60572"/>
              </a:lnTo>
              <a:lnTo>
                <a:pt x="456387" y="80954"/>
              </a:lnTo>
              <a:lnTo>
                <a:pt x="395814" y="141527"/>
              </a:lnTo>
              <a:close/>
              <a:moveTo>
                <a:pt x="370671" y="85716"/>
              </a:moveTo>
              <a:lnTo>
                <a:pt x="180190" y="276197"/>
              </a:lnTo>
            </a:path>
          </a:pathLst>
        </a:custGeom>
        <a:noFill/>
        <a:ln w="14287">
          <a:solidFill>
            <a:srgbClr val="484848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8</xdr:col>
      <xdr:colOff>203771</xdr:colOff>
      <xdr:row>16</xdr:row>
      <xdr:rowOff>31939</xdr:rowOff>
    </xdr:from>
    <xdr:to>
      <xdr:col>9</xdr:col>
      <xdr:colOff>638644</xdr:colOff>
      <xdr:row>18</xdr:row>
      <xdr:rowOff>87332</xdr:rowOff>
    </xdr:to>
    <xdr:sp macro="" textlink="">
      <xdr:nvSpPr>
        <xdr:cNvPr id="136" name="TextBox 18">
          <a:extLst>
            <a:ext uri="{FF2B5EF4-FFF2-40B4-BE49-F238E27FC236}">
              <a16:creationId xmlns:a16="http://schemas.microsoft.com/office/drawing/2014/main" id="{3CE35E3C-AA12-ABAC-41CD-C845BAE87DA1}"/>
            </a:ext>
          </a:extLst>
        </xdr:cNvPr>
        <xdr:cNvSpPr txBox="1"/>
      </xdr:nvSpPr>
      <xdr:spPr>
        <a:xfrm>
          <a:off x="6909371" y="3892739"/>
          <a:ext cx="1273073" cy="461793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500" b="1">
              <a:solidFill>
                <a:schemeClr val="accent4">
                  <a:lumMod val="50000"/>
                </a:schemeClr>
              </a:solidFill>
              <a:latin typeface="Roboto"/>
            </a:rPr>
            <a:t>Target Amount</a:t>
          </a:r>
        </a:p>
      </xdr:txBody>
    </xdr:sp>
    <xdr:clientData/>
  </xdr:twoCellAnchor>
  <xdr:twoCellAnchor>
    <xdr:from>
      <xdr:col>8</xdr:col>
      <xdr:colOff>296259</xdr:colOff>
      <xdr:row>18</xdr:row>
      <xdr:rowOff>170052</xdr:rowOff>
    </xdr:from>
    <xdr:to>
      <xdr:col>9</xdr:col>
      <xdr:colOff>689511</xdr:colOff>
      <xdr:row>19</xdr:row>
      <xdr:rowOff>135127</xdr:rowOff>
    </xdr:to>
    <xdr:sp macro="" textlink="">
      <xdr:nvSpPr>
        <xdr:cNvPr id="137" name="TextBox 19">
          <a:extLst>
            <a:ext uri="{FF2B5EF4-FFF2-40B4-BE49-F238E27FC236}">
              <a16:creationId xmlns:a16="http://schemas.microsoft.com/office/drawing/2014/main" id="{BE8676A6-67A6-96AA-11CA-1BD1235C89DD}"/>
            </a:ext>
          </a:extLst>
        </xdr:cNvPr>
        <xdr:cNvSpPr txBox="1"/>
      </xdr:nvSpPr>
      <xdr:spPr>
        <a:xfrm>
          <a:off x="7001859" y="4437252"/>
          <a:ext cx="1231452" cy="168275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100" b="0">
              <a:solidFill>
                <a:srgbClr val="484848"/>
              </a:solidFill>
              <a:latin typeface="Roboto"/>
            </a:rPr>
            <a:t>Initial financial goal</a:t>
          </a:r>
        </a:p>
      </xdr:txBody>
    </xdr:sp>
    <xdr:clientData/>
  </xdr:twoCellAnchor>
  <xdr:twoCellAnchor>
    <xdr:from>
      <xdr:col>10</xdr:col>
      <xdr:colOff>18869</xdr:colOff>
      <xdr:row>21</xdr:row>
      <xdr:rowOff>29938</xdr:rowOff>
    </xdr:from>
    <xdr:to>
      <xdr:col>10</xdr:col>
      <xdr:colOff>299637</xdr:colOff>
      <xdr:row>23</xdr:row>
      <xdr:rowOff>62958</xdr:rowOff>
    </xdr:to>
    <xdr:sp macro="" textlink="">
      <xdr:nvSpPr>
        <xdr:cNvPr id="138" name="Rounded Rectangle 20">
          <a:extLst>
            <a:ext uri="{FF2B5EF4-FFF2-40B4-BE49-F238E27FC236}">
              <a16:creationId xmlns:a16="http://schemas.microsoft.com/office/drawing/2014/main" id="{B3C6E963-A2E6-90E5-2E24-5432E65E03FF}"/>
            </a:ext>
          </a:extLst>
        </xdr:cNvPr>
        <xdr:cNvSpPr/>
      </xdr:nvSpPr>
      <xdr:spPr>
        <a:xfrm>
          <a:off x="8400869" y="5719538"/>
          <a:ext cx="280768" cy="439420"/>
        </a:xfrm>
        <a:custGeom>
          <a:avLst/>
          <a:gdLst/>
          <a:ahLst/>
          <a:cxnLst/>
          <a:rect l="0" t="0" r="0" b="0"/>
          <a:pathLst>
            <a:path w="280768" h="439420">
              <a:moveTo>
                <a:pt x="193147" y="76192"/>
              </a:moveTo>
              <a:lnTo>
                <a:pt x="229529" y="14286"/>
              </a:lnTo>
              <a:cubicBezTo>
                <a:pt x="231155" y="11319"/>
                <a:pt x="231155" y="7728"/>
                <a:pt x="229529" y="4762"/>
              </a:cubicBezTo>
              <a:cubicBezTo>
                <a:pt x="227784" y="1887"/>
                <a:pt x="224700" y="93"/>
                <a:pt x="221338" y="0"/>
              </a:cubicBezTo>
              <a:lnTo>
                <a:pt x="102288" y="0"/>
              </a:lnTo>
              <a:cubicBezTo>
                <a:pt x="98858" y="29"/>
                <a:pt x="95687" y="1830"/>
                <a:pt x="93907" y="4762"/>
              </a:cubicBezTo>
              <a:cubicBezTo>
                <a:pt x="92089" y="7745"/>
                <a:pt x="92089" y="11493"/>
                <a:pt x="93907" y="14476"/>
              </a:cubicBezTo>
              <a:lnTo>
                <a:pt x="130860" y="76192"/>
              </a:lnTo>
              <a:moveTo>
                <a:pt x="201719" y="190480"/>
              </a:moveTo>
              <a:cubicBezTo>
                <a:pt x="217910" y="203624"/>
                <a:pt x="280768" y="246291"/>
                <a:pt x="280768" y="323817"/>
              </a:cubicBezTo>
              <a:cubicBezTo>
                <a:pt x="280768" y="386485"/>
                <a:pt x="221148" y="438106"/>
                <a:pt x="155813" y="438106"/>
              </a:cubicBezTo>
              <a:cubicBezTo>
                <a:pt x="90790" y="439420"/>
                <a:pt x="36516" y="388776"/>
                <a:pt x="33334" y="323817"/>
              </a:cubicBezTo>
              <a:cubicBezTo>
                <a:pt x="33334" y="243053"/>
                <a:pt x="97526" y="200766"/>
                <a:pt x="112574" y="190480"/>
              </a:cubicBezTo>
              <a:moveTo>
                <a:pt x="0" y="57144"/>
              </a:moveTo>
              <a:lnTo>
                <a:pt x="38096" y="57144"/>
              </a:lnTo>
              <a:cubicBezTo>
                <a:pt x="40670" y="56973"/>
                <a:pt x="43193" y="57922"/>
                <a:pt x="45017" y="59746"/>
              </a:cubicBezTo>
              <a:cubicBezTo>
                <a:pt x="46841" y="61571"/>
                <a:pt x="47790" y="64093"/>
                <a:pt x="47620" y="66668"/>
              </a:cubicBezTo>
              <a:lnTo>
                <a:pt x="47620" y="180956"/>
              </a:lnTo>
              <a:cubicBezTo>
                <a:pt x="47790" y="183531"/>
                <a:pt x="46841" y="186054"/>
                <a:pt x="45017" y="187878"/>
              </a:cubicBezTo>
              <a:cubicBezTo>
                <a:pt x="43193" y="189702"/>
                <a:pt x="40670" y="190651"/>
                <a:pt x="38096" y="190480"/>
              </a:cubicBezTo>
              <a:lnTo>
                <a:pt x="0" y="190480"/>
              </a:lnTo>
              <a:moveTo>
                <a:pt x="107240" y="36381"/>
              </a:moveTo>
              <a:lnTo>
                <a:pt x="85716" y="66668"/>
              </a:lnTo>
              <a:cubicBezTo>
                <a:pt x="81041" y="72446"/>
                <a:pt x="74095" y="75919"/>
                <a:pt x="66668" y="76192"/>
              </a:cubicBezTo>
              <a:lnTo>
                <a:pt x="47620" y="76192"/>
              </a:lnTo>
              <a:moveTo>
                <a:pt x="47620" y="161908"/>
              </a:moveTo>
              <a:cubicBezTo>
                <a:pt x="85716" y="180956"/>
                <a:pt x="101335" y="190480"/>
                <a:pt x="123812" y="190480"/>
              </a:cubicBezTo>
              <a:lnTo>
                <a:pt x="200005" y="190480"/>
              </a:lnTo>
              <a:cubicBezTo>
                <a:pt x="219053" y="190480"/>
                <a:pt x="222481" y="189528"/>
                <a:pt x="228577" y="171432"/>
              </a:cubicBezTo>
              <a:cubicBezTo>
                <a:pt x="238101" y="142860"/>
                <a:pt x="247625" y="95240"/>
                <a:pt x="247625" y="95240"/>
              </a:cubicBezTo>
              <a:cubicBezTo>
                <a:pt x="247625" y="85716"/>
                <a:pt x="238101" y="76192"/>
                <a:pt x="219053" y="76192"/>
              </a:cubicBezTo>
              <a:lnTo>
                <a:pt x="130860" y="76192"/>
              </a:lnTo>
              <a:moveTo>
                <a:pt x="156956" y="342865"/>
              </a:moveTo>
              <a:lnTo>
                <a:pt x="156956" y="361913"/>
              </a:lnTo>
              <a:moveTo>
                <a:pt x="156956" y="247625"/>
              </a:moveTo>
              <a:lnTo>
                <a:pt x="156956" y="266673"/>
              </a:lnTo>
              <a:moveTo>
                <a:pt x="118860" y="342865"/>
              </a:moveTo>
              <a:lnTo>
                <a:pt x="176004" y="342865"/>
              </a:lnTo>
              <a:cubicBezTo>
                <a:pt x="186524" y="342865"/>
                <a:pt x="195052" y="334337"/>
                <a:pt x="195052" y="323817"/>
              </a:cubicBezTo>
              <a:cubicBezTo>
                <a:pt x="195052" y="313297"/>
                <a:pt x="186524" y="304769"/>
                <a:pt x="176004" y="304769"/>
              </a:cubicBezTo>
              <a:lnTo>
                <a:pt x="137908" y="304769"/>
              </a:lnTo>
              <a:cubicBezTo>
                <a:pt x="127388" y="304769"/>
                <a:pt x="118860" y="296241"/>
                <a:pt x="118860" y="285721"/>
              </a:cubicBezTo>
              <a:cubicBezTo>
                <a:pt x="118860" y="275201"/>
                <a:pt x="127388" y="266673"/>
                <a:pt x="137908" y="266673"/>
              </a:cubicBezTo>
              <a:lnTo>
                <a:pt x="195052" y="266673"/>
              </a:lnTo>
            </a:path>
          </a:pathLst>
        </a:custGeom>
        <a:noFill/>
        <a:ln w="14287">
          <a:solidFill>
            <a:srgbClr val="484848"/>
          </a:solidFill>
        </a:ln>
      </xdr:spPr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endParaRPr/>
        </a:p>
      </xdr:txBody>
    </xdr:sp>
    <xdr:clientData/>
  </xdr:twoCellAnchor>
  <xdr:twoCellAnchor>
    <xdr:from>
      <xdr:col>12</xdr:col>
      <xdr:colOff>298291</xdr:colOff>
      <xdr:row>20</xdr:row>
      <xdr:rowOff>144500</xdr:rowOff>
    </xdr:from>
    <xdr:to>
      <xdr:col>13</xdr:col>
      <xdr:colOff>241300</xdr:colOff>
      <xdr:row>21</xdr:row>
      <xdr:rowOff>169022</xdr:rowOff>
    </xdr:to>
    <xdr:sp macro="" textlink="">
      <xdr:nvSpPr>
        <xdr:cNvPr id="139" name="TextBox 21">
          <a:extLst>
            <a:ext uri="{FF2B5EF4-FFF2-40B4-BE49-F238E27FC236}">
              <a16:creationId xmlns:a16="http://schemas.microsoft.com/office/drawing/2014/main" id="{2547AB92-6EC3-8355-6082-E09BABAECB41}"/>
            </a:ext>
          </a:extLst>
        </xdr:cNvPr>
        <xdr:cNvSpPr txBox="1"/>
      </xdr:nvSpPr>
      <xdr:spPr>
        <a:xfrm>
          <a:off x="9378791" y="4272000"/>
          <a:ext cx="768509" cy="230897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ctr"/>
          <a:r>
            <a:rPr sz="1500" b="0">
              <a:solidFill>
                <a:srgbClr val="FFFFFF"/>
              </a:solidFill>
              <a:latin typeface="Roboto"/>
            </a:rPr>
            <a:t>$2,544</a:t>
          </a:r>
        </a:p>
      </xdr:txBody>
    </xdr:sp>
    <xdr:clientData/>
  </xdr:twoCellAnchor>
  <xdr:twoCellAnchor>
    <xdr:from>
      <xdr:col>8</xdr:col>
      <xdr:colOff>203200</xdr:colOff>
      <xdr:row>21</xdr:row>
      <xdr:rowOff>155765</xdr:rowOff>
    </xdr:from>
    <xdr:to>
      <xdr:col>9</xdr:col>
      <xdr:colOff>638673</xdr:colOff>
      <xdr:row>22</xdr:row>
      <xdr:rowOff>152401</xdr:rowOff>
    </xdr:to>
    <xdr:sp macro="" textlink="">
      <xdr:nvSpPr>
        <xdr:cNvPr id="140" name="TextBox 22">
          <a:extLst>
            <a:ext uri="{FF2B5EF4-FFF2-40B4-BE49-F238E27FC236}">
              <a16:creationId xmlns:a16="http://schemas.microsoft.com/office/drawing/2014/main" id="{401E10A3-9A46-2434-51BE-C527C4936032}"/>
            </a:ext>
          </a:extLst>
        </xdr:cNvPr>
        <xdr:cNvSpPr txBox="1"/>
      </xdr:nvSpPr>
      <xdr:spPr>
        <a:xfrm>
          <a:off x="6908800" y="5032565"/>
          <a:ext cx="1273673" cy="199836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no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500" b="1">
              <a:solidFill>
                <a:schemeClr val="accent4">
                  <a:lumMod val="75000"/>
                </a:schemeClr>
              </a:solidFill>
              <a:latin typeface="Roboto"/>
            </a:rPr>
            <a:t>Actual Amount</a:t>
          </a:r>
        </a:p>
      </xdr:txBody>
    </xdr:sp>
    <xdr:clientData/>
  </xdr:twoCellAnchor>
  <xdr:twoCellAnchor>
    <xdr:from>
      <xdr:col>8</xdr:col>
      <xdr:colOff>101600</xdr:colOff>
      <xdr:row>24</xdr:row>
      <xdr:rowOff>14477</xdr:rowOff>
    </xdr:from>
    <xdr:to>
      <xdr:col>9</xdr:col>
      <xdr:colOff>740273</xdr:colOff>
      <xdr:row>24</xdr:row>
      <xdr:rowOff>182752</xdr:rowOff>
    </xdr:to>
    <xdr:sp macro="" textlink="">
      <xdr:nvSpPr>
        <xdr:cNvPr id="141" name="TextBox 23">
          <a:extLst>
            <a:ext uri="{FF2B5EF4-FFF2-40B4-BE49-F238E27FC236}">
              <a16:creationId xmlns:a16="http://schemas.microsoft.com/office/drawing/2014/main" id="{6FC94FF9-AEC9-9CA0-BCF7-325A21D07613}"/>
            </a:ext>
          </a:extLst>
        </xdr:cNvPr>
        <xdr:cNvSpPr txBox="1"/>
      </xdr:nvSpPr>
      <xdr:spPr>
        <a:xfrm>
          <a:off x="5969000" y="5500877"/>
          <a:ext cx="1476873" cy="168275"/>
        </a:xfrm>
        <a:prstGeom prst="rect">
          <a:avLst/>
        </a:prstGeom>
        <a:noFill/>
        <a:ln>
          <a:noFill/>
        </a:ln>
      </xdr:spPr>
      <xdr:txBody>
        <a:bodyPr wrap="square" lIns="0" tIns="0" rIns="0" bIns="0" anchor="t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1pPr>
          <a:lvl2pPr marL="457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2pPr>
          <a:lvl3pPr marL="914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3pPr>
          <a:lvl4pPr marL="1371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4pPr>
          <a:lvl5pPr marL="18288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5pPr>
          <a:lvl6pPr marL="22860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6pPr>
          <a:lvl7pPr marL="27432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7pPr>
          <a:lvl8pPr marL="32004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8pPr>
          <a:lvl9pPr marL="3657600" algn="l" defTabSz="457200" rtl="0" eaLnBrk="1" latinLnBrk="0" hangingPunct="1">
            <a:defRPr sz="1800" kern="1200">
              <a:solidFill>
                <a:sysClr val="windowText" lastClr="000000"/>
              </a:solidFill>
              <a:latin typeface="Calibri"/>
            </a:defRPr>
          </a:lvl9pPr>
        </a:lstStyle>
        <a:p>
          <a:pPr algn="r"/>
          <a:r>
            <a:rPr sz="1100" b="0">
              <a:solidFill>
                <a:srgbClr val="484848"/>
              </a:solidFill>
              <a:latin typeface="Roboto"/>
            </a:rPr>
            <a:t>Current financial status</a:t>
          </a:r>
        </a:p>
      </xdr:txBody>
    </xdr:sp>
    <xdr:clientData/>
  </xdr:twoCellAnchor>
  <xdr:twoCellAnchor>
    <xdr:from>
      <xdr:col>15</xdr:col>
      <xdr:colOff>168274</xdr:colOff>
      <xdr:row>8</xdr:row>
      <xdr:rowOff>117475</xdr:rowOff>
    </xdr:from>
    <xdr:to>
      <xdr:col>22</xdr:col>
      <xdr:colOff>377803</xdr:colOff>
      <xdr:row>26</xdr:row>
      <xdr:rowOff>171447</xdr:rowOff>
    </xdr:to>
    <xdr:grpSp>
      <xdr:nvGrpSpPr>
        <xdr:cNvPr id="217" name="Group 216">
          <a:extLst>
            <a:ext uri="{FF2B5EF4-FFF2-40B4-BE49-F238E27FC236}">
              <a16:creationId xmlns:a16="http://schemas.microsoft.com/office/drawing/2014/main" id="{C173A413-E98F-B03B-9217-B9B6E0ED8B76}"/>
            </a:ext>
          </a:extLst>
        </xdr:cNvPr>
        <xdr:cNvGrpSpPr/>
      </xdr:nvGrpSpPr>
      <xdr:grpSpPr>
        <a:xfrm>
          <a:off x="12741274" y="1793875"/>
          <a:ext cx="6076929" cy="3825872"/>
          <a:chOff x="541388" y="929486"/>
          <a:chExt cx="7544619" cy="4802183"/>
        </a:xfrm>
      </xdr:grpSpPr>
      <xdr:sp macro="" textlink="">
        <xdr:nvSpPr>
          <xdr:cNvPr id="218" name="Rounded Rectangle 1">
            <a:extLst>
              <a:ext uri="{FF2B5EF4-FFF2-40B4-BE49-F238E27FC236}">
                <a16:creationId xmlns:a16="http://schemas.microsoft.com/office/drawing/2014/main" id="{DB34E93B-E172-6DD0-B605-D272824A6897}"/>
              </a:ext>
            </a:extLst>
          </xdr:cNvPr>
          <xdr:cNvSpPr/>
        </xdr:nvSpPr>
        <xdr:spPr>
          <a:xfrm>
            <a:off x="3015438" y="2417006"/>
            <a:ext cx="393632" cy="685800"/>
          </a:xfrm>
          <a:custGeom>
            <a:avLst/>
            <a:gdLst/>
            <a:ahLst/>
            <a:cxnLst/>
            <a:rect l="0" t="0" r="0" b="0"/>
            <a:pathLst>
              <a:path w="393632" h="685800">
                <a:moveTo>
                  <a:pt x="0" y="685800"/>
                </a:moveTo>
                <a:lnTo>
                  <a:pt x="167199" y="685800"/>
                </a:lnTo>
                <a:cubicBezTo>
                  <a:pt x="187526" y="685800"/>
                  <a:pt x="206322" y="675003"/>
                  <a:pt x="216565" y="657445"/>
                </a:cubicBezTo>
                <a:lnTo>
                  <a:pt x="383252" y="371695"/>
                </a:lnTo>
                <a:cubicBezTo>
                  <a:pt x="393632" y="353901"/>
                  <a:pt x="393632" y="331897"/>
                  <a:pt x="383252" y="314104"/>
                </a:cubicBezTo>
                <a:lnTo>
                  <a:pt x="216565" y="28354"/>
                </a:lnTo>
                <a:cubicBezTo>
                  <a:pt x="206322" y="10796"/>
                  <a:pt x="187526" y="0"/>
                  <a:pt x="167199" y="0"/>
                </a:cubicBezTo>
                <a:lnTo>
                  <a:pt x="0" y="0"/>
                </a:lnTo>
              </a:path>
            </a:pathLst>
          </a:custGeom>
          <a:noFill/>
          <a:ln w="14287">
            <a:solidFill>
              <a:srgbClr val="E0CB15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19" name="Rounded Rectangle 2">
            <a:extLst>
              <a:ext uri="{FF2B5EF4-FFF2-40B4-BE49-F238E27FC236}">
                <a16:creationId xmlns:a16="http://schemas.microsoft.com/office/drawing/2014/main" id="{1DCAF469-807D-D25F-F2B1-589F33D394AD}"/>
              </a:ext>
            </a:extLst>
          </xdr:cNvPr>
          <xdr:cNvSpPr/>
        </xdr:nvSpPr>
        <xdr:spPr>
          <a:xfrm>
            <a:off x="3795766" y="2074069"/>
            <a:ext cx="4160053" cy="3657600"/>
          </a:xfrm>
          <a:custGeom>
            <a:avLst/>
            <a:gdLst/>
            <a:ahLst/>
            <a:cxnLst/>
            <a:rect l="0" t="0" r="0" b="0"/>
            <a:pathLst>
              <a:path w="4160053" h="3657600">
                <a:moveTo>
                  <a:pt x="40624" y="1714776"/>
                </a:moveTo>
                <a:cubicBezTo>
                  <a:pt x="0" y="1785366"/>
                  <a:pt x="0" y="1872234"/>
                  <a:pt x="40624" y="1942823"/>
                </a:cubicBezTo>
                <a:lnTo>
                  <a:pt x="961567" y="3543023"/>
                </a:lnTo>
                <a:cubicBezTo>
                  <a:pt x="1002363" y="3613908"/>
                  <a:pt x="1077915" y="3657600"/>
                  <a:pt x="1159706" y="3657600"/>
                </a:cubicBezTo>
                <a:lnTo>
                  <a:pt x="3000346" y="3657600"/>
                </a:lnTo>
                <a:cubicBezTo>
                  <a:pt x="3082128" y="3657600"/>
                  <a:pt x="3157680" y="3613908"/>
                  <a:pt x="3198475" y="3543023"/>
                </a:cubicBezTo>
                <a:lnTo>
                  <a:pt x="4119419" y="1942823"/>
                </a:lnTo>
                <a:cubicBezTo>
                  <a:pt x="4160053" y="1872234"/>
                  <a:pt x="4160053" y="1785366"/>
                  <a:pt x="4119419" y="1714776"/>
                </a:cubicBezTo>
                <a:lnTo>
                  <a:pt x="3198475" y="114576"/>
                </a:lnTo>
                <a:cubicBezTo>
                  <a:pt x="3157680" y="43691"/>
                  <a:pt x="3082128" y="0"/>
                  <a:pt x="3000346" y="0"/>
                </a:cubicBezTo>
                <a:lnTo>
                  <a:pt x="1159706" y="0"/>
                </a:lnTo>
                <a:cubicBezTo>
                  <a:pt x="1077915" y="0"/>
                  <a:pt x="1002363" y="43691"/>
                  <a:pt x="961567" y="114576"/>
                </a:cubicBezTo>
                <a:lnTo>
                  <a:pt x="40624" y="1714776"/>
                </a:lnTo>
                <a:moveTo>
                  <a:pt x="573500" y="2058057"/>
                </a:moveTo>
                <a:lnTo>
                  <a:pt x="1228343" y="915057"/>
                </a:lnTo>
                <a:cubicBezTo>
                  <a:pt x="1269082" y="843962"/>
                  <a:pt x="1344758" y="800100"/>
                  <a:pt x="1426702" y="800100"/>
                </a:cubicBezTo>
                <a:lnTo>
                  <a:pt x="2733341" y="800100"/>
                </a:lnTo>
                <a:cubicBezTo>
                  <a:pt x="2815285" y="800100"/>
                  <a:pt x="2890961" y="843962"/>
                  <a:pt x="2931699" y="915057"/>
                </a:cubicBezTo>
                <a:lnTo>
                  <a:pt x="3586543" y="2058057"/>
                </a:lnTo>
                <a:cubicBezTo>
                  <a:pt x="3626872" y="2128456"/>
                  <a:pt x="3626872" y="2214943"/>
                  <a:pt x="3586543" y="2285342"/>
                </a:cubicBezTo>
                <a:lnTo>
                  <a:pt x="2931699" y="3428342"/>
                </a:lnTo>
                <a:cubicBezTo>
                  <a:pt x="2890961" y="3499437"/>
                  <a:pt x="2815285" y="3543300"/>
                  <a:pt x="2733341" y="3543300"/>
                </a:cubicBezTo>
                <a:lnTo>
                  <a:pt x="1426702" y="3543300"/>
                </a:lnTo>
                <a:cubicBezTo>
                  <a:pt x="1344758" y="3543300"/>
                  <a:pt x="1269082" y="3499437"/>
                  <a:pt x="1228343" y="3428342"/>
                </a:cubicBezTo>
                <a:lnTo>
                  <a:pt x="573500" y="2285342"/>
                </a:lnTo>
                <a:cubicBezTo>
                  <a:pt x="533171" y="2214943"/>
                  <a:pt x="533171" y="2128456"/>
                  <a:pt x="573500" y="2058057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20" name="Rounded Rectangle 3">
            <a:extLst>
              <a:ext uri="{FF2B5EF4-FFF2-40B4-BE49-F238E27FC236}">
                <a16:creationId xmlns:a16="http://schemas.microsoft.com/office/drawing/2014/main" id="{3AE8FEE9-502E-4D64-BF72-DDA65A5AEEE2}"/>
              </a:ext>
            </a:extLst>
          </xdr:cNvPr>
          <xdr:cNvSpPr/>
        </xdr:nvSpPr>
        <xdr:spPr>
          <a:xfrm>
            <a:off x="3795763" y="2074069"/>
            <a:ext cx="4160051" cy="3657600"/>
          </a:xfrm>
          <a:custGeom>
            <a:avLst/>
            <a:gdLst/>
            <a:ahLst/>
            <a:cxnLst/>
            <a:rect l="0" t="0" r="0" b="0"/>
            <a:pathLst>
              <a:path w="4160051" h="3657600">
                <a:moveTo>
                  <a:pt x="40626" y="1714772"/>
                </a:moveTo>
                <a:cubicBezTo>
                  <a:pt x="0" y="1785363"/>
                  <a:pt x="0" y="1872237"/>
                  <a:pt x="40626" y="1942828"/>
                </a:cubicBezTo>
                <a:lnTo>
                  <a:pt x="961574" y="3543027"/>
                </a:lnTo>
                <a:cubicBezTo>
                  <a:pt x="1002369" y="3613909"/>
                  <a:pt x="1077922" y="3657600"/>
                  <a:pt x="1159704" y="3657600"/>
                </a:cubicBezTo>
                <a:lnTo>
                  <a:pt x="3000346" y="3657600"/>
                </a:lnTo>
                <a:cubicBezTo>
                  <a:pt x="3082129" y="3657600"/>
                  <a:pt x="3157682" y="3613909"/>
                  <a:pt x="3198476" y="3543027"/>
                </a:cubicBezTo>
                <a:lnTo>
                  <a:pt x="4119425" y="1942828"/>
                </a:lnTo>
                <a:cubicBezTo>
                  <a:pt x="4160051" y="1872236"/>
                  <a:pt x="4160051" y="1785362"/>
                  <a:pt x="4119425" y="1714771"/>
                </a:cubicBezTo>
                <a:lnTo>
                  <a:pt x="3198476" y="114572"/>
                </a:lnTo>
                <a:cubicBezTo>
                  <a:pt x="3157682" y="43689"/>
                  <a:pt x="3082129" y="0"/>
                  <a:pt x="3000346" y="0"/>
                </a:cubicBezTo>
                <a:lnTo>
                  <a:pt x="1159704" y="0"/>
                </a:lnTo>
                <a:cubicBezTo>
                  <a:pt x="1077921" y="0"/>
                  <a:pt x="1002369" y="43690"/>
                  <a:pt x="961574" y="114572"/>
                </a:cubicBezTo>
                <a:close/>
                <a:moveTo>
                  <a:pt x="573506" y="2058060"/>
                </a:moveTo>
                <a:lnTo>
                  <a:pt x="1228350" y="915060"/>
                </a:lnTo>
                <a:cubicBezTo>
                  <a:pt x="1269085" y="843959"/>
                  <a:pt x="1344760" y="800100"/>
                  <a:pt x="1426704" y="800100"/>
                </a:cubicBezTo>
                <a:lnTo>
                  <a:pt x="2733348" y="800100"/>
                </a:lnTo>
                <a:cubicBezTo>
                  <a:pt x="2815290" y="800100"/>
                  <a:pt x="2890966" y="843959"/>
                  <a:pt x="2931700" y="915060"/>
                </a:cubicBezTo>
                <a:lnTo>
                  <a:pt x="3586544" y="2058060"/>
                </a:lnTo>
                <a:cubicBezTo>
                  <a:pt x="3626874" y="2128452"/>
                  <a:pt x="3626874" y="2214947"/>
                  <a:pt x="3586544" y="2285339"/>
                </a:cubicBezTo>
                <a:lnTo>
                  <a:pt x="2931700" y="3428339"/>
                </a:lnTo>
                <a:cubicBezTo>
                  <a:pt x="2890966" y="3499441"/>
                  <a:pt x="2815290" y="3543300"/>
                  <a:pt x="2733348" y="3543300"/>
                </a:cubicBezTo>
                <a:lnTo>
                  <a:pt x="1426704" y="3543300"/>
                </a:lnTo>
                <a:cubicBezTo>
                  <a:pt x="1344760" y="3543300"/>
                  <a:pt x="1269085" y="3499441"/>
                  <a:pt x="1228350" y="3428339"/>
                </a:cubicBezTo>
                <a:lnTo>
                  <a:pt x="573506" y="2285339"/>
                </a:lnTo>
                <a:cubicBezTo>
                  <a:pt x="533178" y="2214947"/>
                  <a:pt x="533178" y="2128452"/>
                  <a:pt x="573506" y="2058060"/>
                </a:cubicBezTo>
                <a:close/>
              </a:path>
            </a:pathLst>
          </a:custGeom>
          <a:noFill/>
          <a:ln w="14287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grpSp>
        <xdr:nvGrpSpPr>
          <xdr:cNvPr id="221" name="Group 220">
            <a:extLst>
              <a:ext uri="{FF2B5EF4-FFF2-40B4-BE49-F238E27FC236}">
                <a16:creationId xmlns:a16="http://schemas.microsoft.com/office/drawing/2014/main" id="{8E3C67BB-87B3-BB5B-78F2-BBF86071840F}"/>
              </a:ext>
            </a:extLst>
          </xdr:cNvPr>
          <xdr:cNvGrpSpPr/>
        </xdr:nvGrpSpPr>
        <xdr:grpSpPr>
          <a:xfrm>
            <a:off x="3386913" y="2731294"/>
            <a:ext cx="1066800" cy="57150"/>
            <a:chOff x="2446418" y="2085975"/>
            <a:chExt cx="1066800" cy="57150"/>
          </a:xfrm>
        </xdr:grpSpPr>
        <xdr:sp macro="" textlink="">
          <xdr:nvSpPr>
            <xdr:cNvPr id="249" name="Rounded Rectangle 4">
              <a:extLst>
                <a:ext uri="{FF2B5EF4-FFF2-40B4-BE49-F238E27FC236}">
                  <a16:creationId xmlns:a16="http://schemas.microsoft.com/office/drawing/2014/main" id="{9B64C47F-81C3-0E20-7452-A6DC26C92496}"/>
                </a:ext>
              </a:extLst>
            </xdr:cNvPr>
            <xdr:cNvSpPr/>
          </xdr:nvSpPr>
          <xdr:spPr>
            <a:xfrm>
              <a:off x="2474993" y="2114550"/>
              <a:ext cx="1009650" cy="9525"/>
            </a:xfrm>
            <a:custGeom>
              <a:avLst/>
              <a:gdLst/>
              <a:ahLst/>
              <a:cxnLst/>
              <a:rect l="0" t="0" r="0" b="0"/>
              <a:pathLst>
                <a:path w="1009650" h="9525">
                  <a:moveTo>
                    <a:pt x="0" y="0"/>
                  </a:moveTo>
                  <a:lnTo>
                    <a:pt x="1009650" y="0"/>
                  </a:lnTo>
                </a:path>
              </a:pathLst>
            </a:custGeom>
            <a:noFill/>
            <a:ln w="14287">
              <a:solidFill>
                <a:srgbClr val="E0CB15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  <xdr:sp macro="" textlink="">
          <xdr:nvSpPr>
            <xdr:cNvPr id="250" name="Rounded Rectangle 5">
              <a:extLst>
                <a:ext uri="{FF2B5EF4-FFF2-40B4-BE49-F238E27FC236}">
                  <a16:creationId xmlns:a16="http://schemas.microsoft.com/office/drawing/2014/main" id="{AB30349B-C875-0A9A-5DD8-04FA9C6EED33}"/>
                </a:ext>
              </a:extLst>
            </xdr:cNvPr>
            <xdr:cNvSpPr/>
          </xdr:nvSpPr>
          <xdr:spPr>
            <a:xfrm>
              <a:off x="2446418" y="2085975"/>
              <a:ext cx="57150" cy="57150"/>
            </a:xfrm>
            <a:custGeom>
              <a:avLst/>
              <a:gdLst/>
              <a:ahLst/>
              <a:cxnLst/>
              <a:rect l="0" t="0" r="0" b="0"/>
              <a:pathLst>
                <a:path w="57150" h="57150">
                  <a:moveTo>
                    <a:pt x="0" y="28575"/>
                  </a:moveTo>
                  <a:cubicBezTo>
                    <a:pt x="0" y="44356"/>
                    <a:pt x="12793" y="57150"/>
                    <a:pt x="28575" y="57150"/>
                  </a:cubicBezTo>
                  <a:cubicBezTo>
                    <a:pt x="44356" y="57150"/>
                    <a:pt x="57150" y="44356"/>
                    <a:pt x="57150" y="28575"/>
                  </a:cubicBezTo>
                  <a:cubicBezTo>
                    <a:pt x="57150" y="12793"/>
                    <a:pt x="44356" y="0"/>
                    <a:pt x="28575" y="0"/>
                  </a:cubicBezTo>
                  <a:cubicBezTo>
                    <a:pt x="12793" y="0"/>
                    <a:pt x="0" y="12793"/>
                    <a:pt x="0" y="28575"/>
                  </a:cubicBezTo>
                  <a:close/>
                </a:path>
              </a:pathLst>
            </a:custGeom>
            <a:solidFill>
              <a:srgbClr val="E0CB15"/>
            </a:solidFill>
            <a:ln w="14287">
              <a:solidFill>
                <a:srgbClr val="E0CB15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  <xdr:sp macro="" textlink="">
          <xdr:nvSpPr>
            <xdr:cNvPr id="251" name="Rounded Rectangle 6">
              <a:extLst>
                <a:ext uri="{FF2B5EF4-FFF2-40B4-BE49-F238E27FC236}">
                  <a16:creationId xmlns:a16="http://schemas.microsoft.com/office/drawing/2014/main" id="{02DEA0C1-2383-1A99-E9D3-5B614B0C64D3}"/>
                </a:ext>
              </a:extLst>
            </xdr:cNvPr>
            <xdr:cNvSpPr/>
          </xdr:nvSpPr>
          <xdr:spPr>
            <a:xfrm>
              <a:off x="3456068" y="2085975"/>
              <a:ext cx="57150" cy="57150"/>
            </a:xfrm>
            <a:custGeom>
              <a:avLst/>
              <a:gdLst/>
              <a:ahLst/>
              <a:cxnLst/>
              <a:rect l="0" t="0" r="0" b="0"/>
              <a:pathLst>
                <a:path w="57150" h="57150">
                  <a:moveTo>
                    <a:pt x="0" y="28575"/>
                  </a:moveTo>
                  <a:cubicBezTo>
                    <a:pt x="0" y="44356"/>
                    <a:pt x="12793" y="57150"/>
                    <a:pt x="28575" y="57150"/>
                  </a:cubicBezTo>
                  <a:cubicBezTo>
                    <a:pt x="44356" y="57150"/>
                    <a:pt x="57150" y="44356"/>
                    <a:pt x="57150" y="28575"/>
                  </a:cubicBezTo>
                  <a:cubicBezTo>
                    <a:pt x="57150" y="12793"/>
                    <a:pt x="44356" y="0"/>
                    <a:pt x="28575" y="0"/>
                  </a:cubicBezTo>
                  <a:cubicBezTo>
                    <a:pt x="12793" y="0"/>
                    <a:pt x="0" y="12793"/>
                    <a:pt x="0" y="28575"/>
                  </a:cubicBezTo>
                  <a:close/>
                </a:path>
              </a:pathLst>
            </a:custGeom>
            <a:solidFill>
              <a:srgbClr val="E0CB15"/>
            </a:solidFill>
            <a:ln w="14287">
              <a:solidFill>
                <a:srgbClr val="E0CB15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</xdr:grpSp>
      <xdr:sp macro="" textlink="">
        <xdr:nvSpPr>
          <xdr:cNvPr id="222" name="Rounded Rectangle 8">
            <a:extLst>
              <a:ext uri="{FF2B5EF4-FFF2-40B4-BE49-F238E27FC236}">
                <a16:creationId xmlns:a16="http://schemas.microsoft.com/office/drawing/2014/main" id="{37C7C87A-5C00-B4FE-A9B9-F0CBA7961FFB}"/>
              </a:ext>
            </a:extLst>
          </xdr:cNvPr>
          <xdr:cNvSpPr/>
        </xdr:nvSpPr>
        <xdr:spPr>
          <a:xfrm>
            <a:off x="3015438" y="3560006"/>
            <a:ext cx="393632" cy="685800"/>
          </a:xfrm>
          <a:custGeom>
            <a:avLst/>
            <a:gdLst/>
            <a:ahLst/>
            <a:cxnLst/>
            <a:rect l="0" t="0" r="0" b="0"/>
            <a:pathLst>
              <a:path w="393632" h="685800">
                <a:moveTo>
                  <a:pt x="0" y="685800"/>
                </a:moveTo>
                <a:lnTo>
                  <a:pt x="167199" y="685800"/>
                </a:lnTo>
                <a:cubicBezTo>
                  <a:pt x="187526" y="685800"/>
                  <a:pt x="206322" y="675003"/>
                  <a:pt x="216565" y="657445"/>
                </a:cubicBezTo>
                <a:lnTo>
                  <a:pt x="383252" y="371695"/>
                </a:lnTo>
                <a:cubicBezTo>
                  <a:pt x="393632" y="353901"/>
                  <a:pt x="393632" y="331897"/>
                  <a:pt x="383252" y="314104"/>
                </a:cubicBezTo>
                <a:lnTo>
                  <a:pt x="216565" y="28354"/>
                </a:lnTo>
                <a:cubicBezTo>
                  <a:pt x="206322" y="10796"/>
                  <a:pt x="187526" y="0"/>
                  <a:pt x="167199" y="0"/>
                </a:cubicBezTo>
                <a:lnTo>
                  <a:pt x="0" y="0"/>
                </a:lnTo>
              </a:path>
            </a:pathLst>
          </a:custGeom>
          <a:noFill/>
          <a:ln w="14287">
            <a:solidFill>
              <a:srgbClr val="DE8431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23" name="Rounded Rectangle 9">
            <a:extLst>
              <a:ext uri="{FF2B5EF4-FFF2-40B4-BE49-F238E27FC236}">
                <a16:creationId xmlns:a16="http://schemas.microsoft.com/office/drawing/2014/main" id="{1D3A7C69-C4AC-5E60-B1D7-4AC45909C59B}"/>
              </a:ext>
            </a:extLst>
          </xdr:cNvPr>
          <xdr:cNvSpPr/>
        </xdr:nvSpPr>
        <xdr:spPr>
          <a:xfrm>
            <a:off x="4328935" y="2874169"/>
            <a:ext cx="3093700" cy="2743200"/>
          </a:xfrm>
          <a:custGeom>
            <a:avLst/>
            <a:gdLst/>
            <a:ahLst/>
            <a:cxnLst/>
            <a:rect l="0" t="0" r="0" b="0"/>
            <a:pathLst>
              <a:path w="3093700" h="2743200">
                <a:moveTo>
                  <a:pt x="40328" y="1257957"/>
                </a:moveTo>
                <a:cubicBezTo>
                  <a:pt x="0" y="1328356"/>
                  <a:pt x="0" y="1414843"/>
                  <a:pt x="40328" y="1485242"/>
                </a:cubicBezTo>
                <a:lnTo>
                  <a:pt x="695172" y="2628242"/>
                </a:lnTo>
                <a:cubicBezTo>
                  <a:pt x="735911" y="2699337"/>
                  <a:pt x="811587" y="2743200"/>
                  <a:pt x="893530" y="2743200"/>
                </a:cubicBezTo>
                <a:lnTo>
                  <a:pt x="2200170" y="2743200"/>
                </a:lnTo>
                <a:cubicBezTo>
                  <a:pt x="2282113" y="2743200"/>
                  <a:pt x="2357789" y="2699337"/>
                  <a:pt x="2398528" y="2628242"/>
                </a:cubicBezTo>
                <a:lnTo>
                  <a:pt x="3053372" y="1485242"/>
                </a:lnTo>
                <a:cubicBezTo>
                  <a:pt x="3093700" y="1414843"/>
                  <a:pt x="3093700" y="1328356"/>
                  <a:pt x="3053372" y="1257957"/>
                </a:cubicBezTo>
                <a:lnTo>
                  <a:pt x="2398528" y="114957"/>
                </a:lnTo>
                <a:cubicBezTo>
                  <a:pt x="2357789" y="43862"/>
                  <a:pt x="2282113" y="0"/>
                  <a:pt x="2200170" y="0"/>
                </a:cubicBezTo>
                <a:lnTo>
                  <a:pt x="893530" y="0"/>
                </a:lnTo>
                <a:cubicBezTo>
                  <a:pt x="811587" y="0"/>
                  <a:pt x="735911" y="43862"/>
                  <a:pt x="695172" y="114957"/>
                </a:cubicBezTo>
                <a:lnTo>
                  <a:pt x="40328" y="1257957"/>
                </a:lnTo>
                <a:moveTo>
                  <a:pt x="564203" y="1600857"/>
                </a:moveTo>
                <a:lnTo>
                  <a:pt x="957110" y="915057"/>
                </a:lnTo>
                <a:cubicBezTo>
                  <a:pt x="997848" y="843962"/>
                  <a:pt x="1073524" y="800100"/>
                  <a:pt x="1155468" y="800100"/>
                </a:cubicBezTo>
                <a:lnTo>
                  <a:pt x="1938232" y="800100"/>
                </a:lnTo>
                <a:cubicBezTo>
                  <a:pt x="2020176" y="800100"/>
                  <a:pt x="2095852" y="843962"/>
                  <a:pt x="2136590" y="915057"/>
                </a:cubicBezTo>
                <a:lnTo>
                  <a:pt x="2529497" y="1600857"/>
                </a:lnTo>
                <a:cubicBezTo>
                  <a:pt x="2569825" y="1671256"/>
                  <a:pt x="2569825" y="1757743"/>
                  <a:pt x="2529497" y="1828142"/>
                </a:cubicBezTo>
                <a:lnTo>
                  <a:pt x="2136590" y="2513942"/>
                </a:lnTo>
                <a:cubicBezTo>
                  <a:pt x="2095852" y="2585037"/>
                  <a:pt x="2020176" y="2628900"/>
                  <a:pt x="1938232" y="2628900"/>
                </a:cubicBezTo>
                <a:lnTo>
                  <a:pt x="1155468" y="2628900"/>
                </a:lnTo>
                <a:cubicBezTo>
                  <a:pt x="1073524" y="2628900"/>
                  <a:pt x="997848" y="2585037"/>
                  <a:pt x="957110" y="2513942"/>
                </a:cubicBezTo>
                <a:lnTo>
                  <a:pt x="564203" y="1828142"/>
                </a:lnTo>
                <a:cubicBezTo>
                  <a:pt x="523884" y="1757743"/>
                  <a:pt x="523884" y="1671256"/>
                  <a:pt x="564203" y="1600857"/>
                </a:cubicBezTo>
              </a:path>
            </a:pathLst>
          </a:custGeom>
          <a:solidFill>
            <a:srgbClr val="DE8431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24" name="Rounded Rectangle 10">
            <a:extLst>
              <a:ext uri="{FF2B5EF4-FFF2-40B4-BE49-F238E27FC236}">
                <a16:creationId xmlns:a16="http://schemas.microsoft.com/office/drawing/2014/main" id="{56C709D9-9E89-36DE-DE62-AF873689B2D7}"/>
              </a:ext>
            </a:extLst>
          </xdr:cNvPr>
          <xdr:cNvSpPr/>
        </xdr:nvSpPr>
        <xdr:spPr>
          <a:xfrm>
            <a:off x="4328940" y="2874169"/>
            <a:ext cx="3093696" cy="2743200"/>
          </a:xfrm>
          <a:custGeom>
            <a:avLst/>
            <a:gdLst/>
            <a:ahLst/>
            <a:cxnLst/>
            <a:rect l="0" t="0" r="0" b="0"/>
            <a:pathLst>
              <a:path w="3093696" h="2743200">
                <a:moveTo>
                  <a:pt x="40328" y="1257960"/>
                </a:moveTo>
                <a:cubicBezTo>
                  <a:pt x="0" y="1328352"/>
                  <a:pt x="0" y="1414847"/>
                  <a:pt x="40328" y="1485239"/>
                </a:cubicBezTo>
                <a:lnTo>
                  <a:pt x="695172" y="2628239"/>
                </a:lnTo>
                <a:cubicBezTo>
                  <a:pt x="735908" y="2699341"/>
                  <a:pt x="811583" y="2743200"/>
                  <a:pt x="893525" y="2743200"/>
                </a:cubicBezTo>
                <a:lnTo>
                  <a:pt x="2200170" y="2743200"/>
                </a:lnTo>
                <a:cubicBezTo>
                  <a:pt x="2282112" y="2743200"/>
                  <a:pt x="2357788" y="2699341"/>
                  <a:pt x="2398522" y="2628239"/>
                </a:cubicBezTo>
                <a:lnTo>
                  <a:pt x="3053366" y="1485239"/>
                </a:lnTo>
                <a:cubicBezTo>
                  <a:pt x="3093696" y="1414847"/>
                  <a:pt x="3093696" y="1328352"/>
                  <a:pt x="3053366" y="1257960"/>
                </a:cubicBezTo>
                <a:lnTo>
                  <a:pt x="2398522" y="114960"/>
                </a:lnTo>
                <a:cubicBezTo>
                  <a:pt x="2357788" y="43859"/>
                  <a:pt x="2282112" y="0"/>
                  <a:pt x="2200170" y="0"/>
                </a:cubicBezTo>
                <a:lnTo>
                  <a:pt x="893525" y="0"/>
                </a:lnTo>
                <a:cubicBezTo>
                  <a:pt x="811582" y="0"/>
                  <a:pt x="735907" y="43859"/>
                  <a:pt x="695172" y="114960"/>
                </a:cubicBezTo>
                <a:close/>
                <a:moveTo>
                  <a:pt x="564203" y="1600860"/>
                </a:moveTo>
                <a:lnTo>
                  <a:pt x="957110" y="915060"/>
                </a:lnTo>
                <a:cubicBezTo>
                  <a:pt x="997844" y="843959"/>
                  <a:pt x="1073519" y="800100"/>
                  <a:pt x="1155463" y="800100"/>
                </a:cubicBezTo>
                <a:lnTo>
                  <a:pt x="1938232" y="800100"/>
                </a:lnTo>
                <a:cubicBezTo>
                  <a:pt x="2020175" y="800100"/>
                  <a:pt x="2095850" y="843959"/>
                  <a:pt x="2136585" y="915060"/>
                </a:cubicBezTo>
                <a:lnTo>
                  <a:pt x="2529491" y="1600860"/>
                </a:lnTo>
                <a:cubicBezTo>
                  <a:pt x="2569821" y="1671252"/>
                  <a:pt x="2569821" y="1757747"/>
                  <a:pt x="2529491" y="1828139"/>
                </a:cubicBezTo>
                <a:lnTo>
                  <a:pt x="2136585" y="2513939"/>
                </a:lnTo>
                <a:cubicBezTo>
                  <a:pt x="2095850" y="2585041"/>
                  <a:pt x="2020175" y="2628900"/>
                  <a:pt x="1938232" y="2628900"/>
                </a:cubicBezTo>
                <a:lnTo>
                  <a:pt x="1155463" y="2628900"/>
                </a:lnTo>
                <a:cubicBezTo>
                  <a:pt x="1073520" y="2628900"/>
                  <a:pt x="997845" y="2585041"/>
                  <a:pt x="957110" y="2513939"/>
                </a:cubicBezTo>
                <a:lnTo>
                  <a:pt x="564203" y="1828139"/>
                </a:lnTo>
                <a:cubicBezTo>
                  <a:pt x="523875" y="1757747"/>
                  <a:pt x="523875" y="1671252"/>
                  <a:pt x="564203" y="1600860"/>
                </a:cubicBezTo>
                <a:close/>
              </a:path>
            </a:pathLst>
          </a:custGeom>
          <a:noFill/>
          <a:ln w="14287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grpSp>
        <xdr:nvGrpSpPr>
          <xdr:cNvPr id="225" name="Group 224">
            <a:extLst>
              <a:ext uri="{FF2B5EF4-FFF2-40B4-BE49-F238E27FC236}">
                <a16:creationId xmlns:a16="http://schemas.microsoft.com/office/drawing/2014/main" id="{028D7AA6-4AB0-0E14-54F9-D0B72243F7F7}"/>
              </a:ext>
            </a:extLst>
          </xdr:cNvPr>
          <xdr:cNvGrpSpPr/>
        </xdr:nvGrpSpPr>
        <xdr:grpSpPr>
          <a:xfrm>
            <a:off x="3386913" y="3874294"/>
            <a:ext cx="1143000" cy="57150"/>
            <a:chOff x="2446418" y="3228975"/>
            <a:chExt cx="1143000" cy="57150"/>
          </a:xfrm>
        </xdr:grpSpPr>
        <xdr:sp macro="" textlink="">
          <xdr:nvSpPr>
            <xdr:cNvPr id="246" name="Rounded Rectangle 11">
              <a:extLst>
                <a:ext uri="{FF2B5EF4-FFF2-40B4-BE49-F238E27FC236}">
                  <a16:creationId xmlns:a16="http://schemas.microsoft.com/office/drawing/2014/main" id="{74A4CCE4-0B71-6325-3085-BDEF309CF17E}"/>
                </a:ext>
              </a:extLst>
            </xdr:cNvPr>
            <xdr:cNvSpPr/>
          </xdr:nvSpPr>
          <xdr:spPr>
            <a:xfrm>
              <a:off x="2474993" y="3257550"/>
              <a:ext cx="1085850" cy="9525"/>
            </a:xfrm>
            <a:custGeom>
              <a:avLst/>
              <a:gdLst/>
              <a:ahLst/>
              <a:cxnLst/>
              <a:rect l="0" t="0" r="0" b="0"/>
              <a:pathLst>
                <a:path w="1085850" h="9525">
                  <a:moveTo>
                    <a:pt x="0" y="0"/>
                  </a:moveTo>
                  <a:lnTo>
                    <a:pt x="1085850" y="0"/>
                  </a:lnTo>
                </a:path>
              </a:pathLst>
            </a:custGeom>
            <a:noFill/>
            <a:ln w="14287">
              <a:solidFill>
                <a:srgbClr val="DE8431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  <xdr:sp macro="" textlink="">
          <xdr:nvSpPr>
            <xdr:cNvPr id="247" name="Rounded Rectangle 12">
              <a:extLst>
                <a:ext uri="{FF2B5EF4-FFF2-40B4-BE49-F238E27FC236}">
                  <a16:creationId xmlns:a16="http://schemas.microsoft.com/office/drawing/2014/main" id="{9C21FA7E-1472-6DF3-E83D-36604B370A85}"/>
                </a:ext>
              </a:extLst>
            </xdr:cNvPr>
            <xdr:cNvSpPr/>
          </xdr:nvSpPr>
          <xdr:spPr>
            <a:xfrm>
              <a:off x="2446418" y="3228975"/>
              <a:ext cx="57150" cy="57150"/>
            </a:xfrm>
            <a:custGeom>
              <a:avLst/>
              <a:gdLst/>
              <a:ahLst/>
              <a:cxnLst/>
              <a:rect l="0" t="0" r="0" b="0"/>
              <a:pathLst>
                <a:path w="57150" h="57150">
                  <a:moveTo>
                    <a:pt x="0" y="28575"/>
                  </a:moveTo>
                  <a:cubicBezTo>
                    <a:pt x="0" y="44356"/>
                    <a:pt x="12793" y="57150"/>
                    <a:pt x="28575" y="57150"/>
                  </a:cubicBezTo>
                  <a:cubicBezTo>
                    <a:pt x="44356" y="57150"/>
                    <a:pt x="57150" y="44356"/>
                    <a:pt x="57150" y="28575"/>
                  </a:cubicBezTo>
                  <a:cubicBezTo>
                    <a:pt x="57150" y="12793"/>
                    <a:pt x="44356" y="0"/>
                    <a:pt x="28575" y="0"/>
                  </a:cubicBezTo>
                  <a:cubicBezTo>
                    <a:pt x="12793" y="0"/>
                    <a:pt x="0" y="12793"/>
                    <a:pt x="0" y="28575"/>
                  </a:cubicBezTo>
                  <a:close/>
                </a:path>
              </a:pathLst>
            </a:custGeom>
            <a:solidFill>
              <a:srgbClr val="DE8431"/>
            </a:solidFill>
            <a:ln w="14287">
              <a:solidFill>
                <a:srgbClr val="DE8431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  <xdr:sp macro="" textlink="">
          <xdr:nvSpPr>
            <xdr:cNvPr id="248" name="Rounded Rectangle 13">
              <a:extLst>
                <a:ext uri="{FF2B5EF4-FFF2-40B4-BE49-F238E27FC236}">
                  <a16:creationId xmlns:a16="http://schemas.microsoft.com/office/drawing/2014/main" id="{CD513039-2C32-CB0D-C34D-D1B25572125D}"/>
                </a:ext>
              </a:extLst>
            </xdr:cNvPr>
            <xdr:cNvSpPr/>
          </xdr:nvSpPr>
          <xdr:spPr>
            <a:xfrm>
              <a:off x="3532268" y="3228975"/>
              <a:ext cx="57150" cy="57150"/>
            </a:xfrm>
            <a:custGeom>
              <a:avLst/>
              <a:gdLst/>
              <a:ahLst/>
              <a:cxnLst/>
              <a:rect l="0" t="0" r="0" b="0"/>
              <a:pathLst>
                <a:path w="57150" h="57150">
                  <a:moveTo>
                    <a:pt x="0" y="28575"/>
                  </a:moveTo>
                  <a:cubicBezTo>
                    <a:pt x="0" y="44356"/>
                    <a:pt x="12793" y="57150"/>
                    <a:pt x="28575" y="57150"/>
                  </a:cubicBezTo>
                  <a:cubicBezTo>
                    <a:pt x="44356" y="57150"/>
                    <a:pt x="57150" y="44356"/>
                    <a:pt x="57150" y="28575"/>
                  </a:cubicBezTo>
                  <a:cubicBezTo>
                    <a:pt x="57150" y="12793"/>
                    <a:pt x="44356" y="0"/>
                    <a:pt x="28575" y="0"/>
                  </a:cubicBezTo>
                  <a:cubicBezTo>
                    <a:pt x="12793" y="0"/>
                    <a:pt x="0" y="12793"/>
                    <a:pt x="0" y="28575"/>
                  </a:cubicBezTo>
                  <a:close/>
                </a:path>
              </a:pathLst>
            </a:custGeom>
            <a:solidFill>
              <a:srgbClr val="DE8431"/>
            </a:solidFill>
            <a:ln w="14287">
              <a:solidFill>
                <a:srgbClr val="DE8431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</xdr:grpSp>
      <xdr:sp macro="" textlink="">
        <xdr:nvSpPr>
          <xdr:cNvPr id="226" name="Rounded Rectangle 15">
            <a:extLst>
              <a:ext uri="{FF2B5EF4-FFF2-40B4-BE49-F238E27FC236}">
                <a16:creationId xmlns:a16="http://schemas.microsoft.com/office/drawing/2014/main" id="{438EAB19-DD5D-7A9C-9BAD-7C66469E1FA6}"/>
              </a:ext>
            </a:extLst>
          </xdr:cNvPr>
          <xdr:cNvSpPr/>
        </xdr:nvSpPr>
        <xdr:spPr>
          <a:xfrm>
            <a:off x="3015438" y="4703006"/>
            <a:ext cx="393632" cy="685800"/>
          </a:xfrm>
          <a:custGeom>
            <a:avLst/>
            <a:gdLst/>
            <a:ahLst/>
            <a:cxnLst/>
            <a:rect l="0" t="0" r="0" b="0"/>
            <a:pathLst>
              <a:path w="393632" h="685800">
                <a:moveTo>
                  <a:pt x="0" y="685800"/>
                </a:moveTo>
                <a:lnTo>
                  <a:pt x="167199" y="685800"/>
                </a:lnTo>
                <a:cubicBezTo>
                  <a:pt x="187526" y="685800"/>
                  <a:pt x="206322" y="675003"/>
                  <a:pt x="216565" y="657445"/>
                </a:cubicBezTo>
                <a:lnTo>
                  <a:pt x="383252" y="371695"/>
                </a:lnTo>
                <a:cubicBezTo>
                  <a:pt x="393632" y="353901"/>
                  <a:pt x="393632" y="331897"/>
                  <a:pt x="383252" y="314104"/>
                </a:cubicBezTo>
                <a:lnTo>
                  <a:pt x="216565" y="28354"/>
                </a:lnTo>
                <a:cubicBezTo>
                  <a:pt x="206322" y="10796"/>
                  <a:pt x="187526" y="0"/>
                  <a:pt x="167199" y="0"/>
                </a:cubicBezTo>
                <a:lnTo>
                  <a:pt x="0" y="0"/>
                </a:lnTo>
              </a:path>
            </a:pathLst>
          </a:custGeom>
          <a:noFill/>
          <a:ln w="14287">
            <a:solidFill>
              <a:srgbClr val="E55753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27" name="Rounded Rectangle 16">
            <a:extLst>
              <a:ext uri="{FF2B5EF4-FFF2-40B4-BE49-F238E27FC236}">
                <a16:creationId xmlns:a16="http://schemas.microsoft.com/office/drawing/2014/main" id="{1FAD61B1-955C-3F31-8162-A64F631C0244}"/>
              </a:ext>
            </a:extLst>
          </xdr:cNvPr>
          <xdr:cNvSpPr/>
        </xdr:nvSpPr>
        <xdr:spPr>
          <a:xfrm>
            <a:off x="4852810" y="3674306"/>
            <a:ext cx="2045950" cy="1828800"/>
          </a:xfrm>
          <a:custGeom>
            <a:avLst/>
            <a:gdLst/>
            <a:ahLst/>
            <a:cxnLst/>
            <a:rect l="0" t="0" r="0" b="0"/>
            <a:pathLst>
              <a:path w="2045950" h="1828800">
                <a:moveTo>
                  <a:pt x="40328" y="1028042"/>
                </a:moveTo>
                <a:cubicBezTo>
                  <a:pt x="0" y="957643"/>
                  <a:pt x="0" y="871156"/>
                  <a:pt x="40328" y="800757"/>
                </a:cubicBezTo>
                <a:lnTo>
                  <a:pt x="433235" y="114957"/>
                </a:lnTo>
                <a:cubicBezTo>
                  <a:pt x="473973" y="43862"/>
                  <a:pt x="549649" y="0"/>
                  <a:pt x="631593" y="0"/>
                </a:cubicBezTo>
                <a:lnTo>
                  <a:pt x="1414357" y="0"/>
                </a:lnTo>
                <a:cubicBezTo>
                  <a:pt x="1496301" y="0"/>
                  <a:pt x="1571977" y="43862"/>
                  <a:pt x="1612715" y="114957"/>
                </a:cubicBezTo>
                <a:lnTo>
                  <a:pt x="2005622" y="800757"/>
                </a:lnTo>
                <a:cubicBezTo>
                  <a:pt x="2045950" y="871156"/>
                  <a:pt x="2045950" y="957643"/>
                  <a:pt x="2005622" y="1028042"/>
                </a:cubicBezTo>
                <a:lnTo>
                  <a:pt x="1612715" y="1713842"/>
                </a:lnTo>
                <a:cubicBezTo>
                  <a:pt x="1571977" y="1784937"/>
                  <a:pt x="1496301" y="1828800"/>
                  <a:pt x="1414357" y="1828800"/>
                </a:cubicBezTo>
                <a:lnTo>
                  <a:pt x="631593" y="1828800"/>
                </a:lnTo>
                <a:cubicBezTo>
                  <a:pt x="549649" y="1828800"/>
                  <a:pt x="473973" y="1784937"/>
                  <a:pt x="433235" y="1713842"/>
                </a:cubicBezTo>
                <a:lnTo>
                  <a:pt x="40328" y="1028042"/>
                </a:lnTo>
              </a:path>
            </a:pathLst>
          </a:custGeom>
          <a:solidFill>
            <a:srgbClr val="E55753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28" name="Rounded Rectangle 17">
            <a:extLst>
              <a:ext uri="{FF2B5EF4-FFF2-40B4-BE49-F238E27FC236}">
                <a16:creationId xmlns:a16="http://schemas.microsoft.com/office/drawing/2014/main" id="{5F30FF39-EC25-49C5-4420-972CFF688EBF}"/>
              </a:ext>
            </a:extLst>
          </xdr:cNvPr>
          <xdr:cNvSpPr/>
        </xdr:nvSpPr>
        <xdr:spPr>
          <a:xfrm>
            <a:off x="4852815" y="3674306"/>
            <a:ext cx="2045946" cy="1828800"/>
          </a:xfrm>
          <a:custGeom>
            <a:avLst/>
            <a:gdLst/>
            <a:ahLst/>
            <a:cxnLst/>
            <a:rect l="0" t="0" r="0" b="0"/>
            <a:pathLst>
              <a:path w="2045946" h="1828800">
                <a:moveTo>
                  <a:pt x="40328" y="1028039"/>
                </a:moveTo>
                <a:cubicBezTo>
                  <a:pt x="0" y="957647"/>
                  <a:pt x="0" y="871152"/>
                  <a:pt x="40328" y="800760"/>
                </a:cubicBezTo>
                <a:lnTo>
                  <a:pt x="433235" y="114960"/>
                </a:lnTo>
                <a:cubicBezTo>
                  <a:pt x="473970" y="43858"/>
                  <a:pt x="549645" y="0"/>
                  <a:pt x="631588" y="0"/>
                </a:cubicBezTo>
                <a:lnTo>
                  <a:pt x="1414357" y="0"/>
                </a:lnTo>
                <a:cubicBezTo>
                  <a:pt x="1496300" y="0"/>
                  <a:pt x="1571975" y="43859"/>
                  <a:pt x="1612711" y="114960"/>
                </a:cubicBezTo>
                <a:lnTo>
                  <a:pt x="2005617" y="800760"/>
                </a:lnTo>
                <a:cubicBezTo>
                  <a:pt x="2045946" y="871152"/>
                  <a:pt x="2045946" y="957647"/>
                  <a:pt x="2005617" y="1028039"/>
                </a:cubicBezTo>
                <a:lnTo>
                  <a:pt x="1612710" y="1713839"/>
                </a:lnTo>
                <a:cubicBezTo>
                  <a:pt x="1571975" y="1784941"/>
                  <a:pt x="1496300" y="1828800"/>
                  <a:pt x="1414357" y="1828800"/>
                </a:cubicBezTo>
                <a:lnTo>
                  <a:pt x="631588" y="1828800"/>
                </a:lnTo>
                <a:cubicBezTo>
                  <a:pt x="549645" y="1828800"/>
                  <a:pt x="473970" y="1784940"/>
                  <a:pt x="433235" y="1713839"/>
                </a:cubicBezTo>
                <a:lnTo>
                  <a:pt x="40328" y="1028039"/>
                </a:lnTo>
                <a:close/>
              </a:path>
            </a:pathLst>
          </a:custGeom>
          <a:noFill/>
          <a:ln w="14287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grpSp>
        <xdr:nvGrpSpPr>
          <xdr:cNvPr id="229" name="Group 228">
            <a:extLst>
              <a:ext uri="{FF2B5EF4-FFF2-40B4-BE49-F238E27FC236}">
                <a16:creationId xmlns:a16="http://schemas.microsoft.com/office/drawing/2014/main" id="{CB28CC1C-59F1-DD72-654D-2D816868ABAC}"/>
              </a:ext>
            </a:extLst>
          </xdr:cNvPr>
          <xdr:cNvGrpSpPr/>
        </xdr:nvGrpSpPr>
        <xdr:grpSpPr>
          <a:xfrm>
            <a:off x="3386913" y="5017294"/>
            <a:ext cx="1733550" cy="57150"/>
            <a:chOff x="2446418" y="4371975"/>
            <a:chExt cx="1733550" cy="57150"/>
          </a:xfrm>
        </xdr:grpSpPr>
        <xdr:sp macro="" textlink="">
          <xdr:nvSpPr>
            <xdr:cNvPr id="243" name="Rounded Rectangle 18">
              <a:extLst>
                <a:ext uri="{FF2B5EF4-FFF2-40B4-BE49-F238E27FC236}">
                  <a16:creationId xmlns:a16="http://schemas.microsoft.com/office/drawing/2014/main" id="{BAFDA0AC-836D-79B9-610C-DD4EE3757D38}"/>
                </a:ext>
              </a:extLst>
            </xdr:cNvPr>
            <xdr:cNvSpPr/>
          </xdr:nvSpPr>
          <xdr:spPr>
            <a:xfrm>
              <a:off x="2474993" y="4400550"/>
              <a:ext cx="1676400" cy="9525"/>
            </a:xfrm>
            <a:custGeom>
              <a:avLst/>
              <a:gdLst/>
              <a:ahLst/>
              <a:cxnLst/>
              <a:rect l="0" t="0" r="0" b="0"/>
              <a:pathLst>
                <a:path w="1676400" h="9525">
                  <a:moveTo>
                    <a:pt x="0" y="0"/>
                  </a:moveTo>
                  <a:lnTo>
                    <a:pt x="1676400" y="0"/>
                  </a:lnTo>
                </a:path>
              </a:pathLst>
            </a:custGeom>
            <a:noFill/>
            <a:ln w="14287">
              <a:solidFill>
                <a:srgbClr val="E55753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  <xdr:sp macro="" textlink="">
          <xdr:nvSpPr>
            <xdr:cNvPr id="244" name="Rounded Rectangle 19">
              <a:extLst>
                <a:ext uri="{FF2B5EF4-FFF2-40B4-BE49-F238E27FC236}">
                  <a16:creationId xmlns:a16="http://schemas.microsoft.com/office/drawing/2014/main" id="{05B51EAB-7025-BB64-70C7-39126FDED997}"/>
                </a:ext>
              </a:extLst>
            </xdr:cNvPr>
            <xdr:cNvSpPr/>
          </xdr:nvSpPr>
          <xdr:spPr>
            <a:xfrm>
              <a:off x="2446418" y="4371975"/>
              <a:ext cx="57150" cy="57150"/>
            </a:xfrm>
            <a:custGeom>
              <a:avLst/>
              <a:gdLst/>
              <a:ahLst/>
              <a:cxnLst/>
              <a:rect l="0" t="0" r="0" b="0"/>
              <a:pathLst>
                <a:path w="57150" h="57150">
                  <a:moveTo>
                    <a:pt x="0" y="28575"/>
                  </a:moveTo>
                  <a:cubicBezTo>
                    <a:pt x="0" y="44356"/>
                    <a:pt x="12793" y="57150"/>
                    <a:pt x="28575" y="57150"/>
                  </a:cubicBezTo>
                  <a:cubicBezTo>
                    <a:pt x="44356" y="57150"/>
                    <a:pt x="57150" y="44356"/>
                    <a:pt x="57150" y="28575"/>
                  </a:cubicBezTo>
                  <a:cubicBezTo>
                    <a:pt x="57150" y="12793"/>
                    <a:pt x="44356" y="0"/>
                    <a:pt x="28575" y="0"/>
                  </a:cubicBezTo>
                  <a:cubicBezTo>
                    <a:pt x="12793" y="0"/>
                    <a:pt x="0" y="12793"/>
                    <a:pt x="0" y="28575"/>
                  </a:cubicBezTo>
                  <a:close/>
                </a:path>
              </a:pathLst>
            </a:custGeom>
            <a:solidFill>
              <a:srgbClr val="E55753"/>
            </a:solidFill>
            <a:ln w="14287">
              <a:solidFill>
                <a:srgbClr val="E55753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  <xdr:sp macro="" textlink="">
          <xdr:nvSpPr>
            <xdr:cNvPr id="245" name="Rounded Rectangle 20">
              <a:extLst>
                <a:ext uri="{FF2B5EF4-FFF2-40B4-BE49-F238E27FC236}">
                  <a16:creationId xmlns:a16="http://schemas.microsoft.com/office/drawing/2014/main" id="{10391597-9BF7-E4A1-FE46-82B855A813AF}"/>
                </a:ext>
              </a:extLst>
            </xdr:cNvPr>
            <xdr:cNvSpPr/>
          </xdr:nvSpPr>
          <xdr:spPr>
            <a:xfrm>
              <a:off x="4122818" y="4371975"/>
              <a:ext cx="57150" cy="57150"/>
            </a:xfrm>
            <a:custGeom>
              <a:avLst/>
              <a:gdLst/>
              <a:ahLst/>
              <a:cxnLst/>
              <a:rect l="0" t="0" r="0" b="0"/>
              <a:pathLst>
                <a:path w="57150" h="57150">
                  <a:moveTo>
                    <a:pt x="0" y="28575"/>
                  </a:moveTo>
                  <a:cubicBezTo>
                    <a:pt x="0" y="44356"/>
                    <a:pt x="12793" y="57150"/>
                    <a:pt x="28575" y="57150"/>
                  </a:cubicBezTo>
                  <a:cubicBezTo>
                    <a:pt x="44356" y="57150"/>
                    <a:pt x="57150" y="44356"/>
                    <a:pt x="57150" y="28575"/>
                  </a:cubicBezTo>
                  <a:cubicBezTo>
                    <a:pt x="57150" y="12793"/>
                    <a:pt x="44356" y="0"/>
                    <a:pt x="28575" y="0"/>
                  </a:cubicBezTo>
                  <a:cubicBezTo>
                    <a:pt x="12793" y="0"/>
                    <a:pt x="0" y="12793"/>
                    <a:pt x="0" y="28575"/>
                  </a:cubicBezTo>
                  <a:close/>
                </a:path>
              </a:pathLst>
            </a:custGeom>
            <a:solidFill>
              <a:srgbClr val="E55753"/>
            </a:solidFill>
            <a:ln w="14287">
              <a:solidFill>
                <a:srgbClr val="E55753"/>
              </a:solidFill>
            </a:ln>
          </xdr:spPr>
          <xdr:txBody>
            <a:bodyPr wrap="square" rtlCol="0" anchor="ctr"/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ysClr val="windowText" lastClr="000000"/>
                  </a:solidFill>
                  <a:latin typeface="Calibri"/>
                </a:defRPr>
              </a:lvl9pPr>
            </a:lstStyle>
            <a:p>
              <a:pPr algn="ctr"/>
              <a:endParaRPr/>
            </a:p>
          </xdr:txBody>
        </xdr:sp>
      </xdr:grpSp>
      <xdr:sp macro="" textlink="">
        <xdr:nvSpPr>
          <xdr:cNvPr id="230" name="TextBox 22">
            <a:extLst>
              <a:ext uri="{FF2B5EF4-FFF2-40B4-BE49-F238E27FC236}">
                <a16:creationId xmlns:a16="http://schemas.microsoft.com/office/drawing/2014/main" id="{AB685AF2-A1B8-B7A0-EB27-8AF125C388E7}"/>
              </a:ext>
            </a:extLst>
          </xdr:cNvPr>
          <xdr:cNvSpPr txBox="1"/>
        </xdr:nvSpPr>
        <xdr:spPr>
          <a:xfrm>
            <a:off x="5527187" y="3158815"/>
            <a:ext cx="844890" cy="298234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sz="1500" b="0">
                <a:solidFill>
                  <a:srgbClr val="FFFFFF"/>
                </a:solidFill>
                <a:latin typeface="Roboto"/>
              </a:rPr>
              <a:t>87</a:t>
            </a:r>
            <a:r>
              <a:rPr lang="en-GB" sz="1500" b="0">
                <a:solidFill>
                  <a:srgbClr val="FFFFFF"/>
                </a:solidFill>
                <a:latin typeface="Roboto"/>
              </a:rPr>
              <a:t>%</a:t>
            </a:r>
            <a:endParaRPr sz="1500" b="0">
              <a:solidFill>
                <a:srgbClr val="FFFFFF"/>
              </a:solidFill>
              <a:latin typeface="Roboto"/>
            </a:endParaRPr>
          </a:p>
        </xdr:txBody>
      </xdr:sp>
      <xdr:sp macro="" textlink="">
        <xdr:nvSpPr>
          <xdr:cNvPr id="231" name="TextBox 23">
            <a:extLst>
              <a:ext uri="{FF2B5EF4-FFF2-40B4-BE49-F238E27FC236}">
                <a16:creationId xmlns:a16="http://schemas.microsoft.com/office/drawing/2014/main" id="{C0384AAE-05AF-FA95-F312-88EE6B83ABA7}"/>
              </a:ext>
            </a:extLst>
          </xdr:cNvPr>
          <xdr:cNvSpPr txBox="1"/>
        </xdr:nvSpPr>
        <xdr:spPr>
          <a:xfrm>
            <a:off x="541388" y="5470992"/>
            <a:ext cx="2157283" cy="21864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0">
                <a:solidFill>
                  <a:srgbClr val="484848"/>
                </a:solidFill>
                <a:latin typeface="Roboto"/>
              </a:rPr>
              <a:t>Room for improvement</a:t>
            </a:r>
          </a:p>
        </xdr:txBody>
      </xdr:sp>
      <xdr:sp macro="" textlink="">
        <xdr:nvSpPr>
          <xdr:cNvPr id="232" name="TextBox 24">
            <a:extLst>
              <a:ext uri="{FF2B5EF4-FFF2-40B4-BE49-F238E27FC236}">
                <a16:creationId xmlns:a16="http://schemas.microsoft.com/office/drawing/2014/main" id="{C7CF616C-9731-8498-7E59-140000774E99}"/>
              </a:ext>
            </a:extLst>
          </xdr:cNvPr>
          <xdr:cNvSpPr txBox="1"/>
        </xdr:nvSpPr>
        <xdr:spPr>
          <a:xfrm>
            <a:off x="1562628" y="3267010"/>
            <a:ext cx="1136045" cy="218643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0">
                <a:solidFill>
                  <a:srgbClr val="484848"/>
                </a:solidFill>
                <a:latin typeface="Roboto"/>
              </a:rPr>
              <a:t>Desired goal</a:t>
            </a:r>
          </a:p>
        </xdr:txBody>
      </xdr:sp>
      <xdr:sp macro="" textlink="">
        <xdr:nvSpPr>
          <xdr:cNvPr id="233" name="TextBox 25">
            <a:extLst>
              <a:ext uri="{FF2B5EF4-FFF2-40B4-BE49-F238E27FC236}">
                <a16:creationId xmlns:a16="http://schemas.microsoft.com/office/drawing/2014/main" id="{D4807B49-F2DE-62F6-66D3-C5EAC4000D10}"/>
              </a:ext>
            </a:extLst>
          </xdr:cNvPr>
          <xdr:cNvSpPr txBox="1"/>
        </xdr:nvSpPr>
        <xdr:spPr>
          <a:xfrm>
            <a:off x="1573752" y="2666414"/>
            <a:ext cx="1079744" cy="46166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500" b="1">
                <a:solidFill>
                  <a:srgbClr val="E0CB15"/>
                </a:solidFill>
                <a:latin typeface="Roboto"/>
              </a:rPr>
              <a:t>Target Value</a:t>
            </a:r>
          </a:p>
        </xdr:txBody>
      </xdr:sp>
      <xdr:sp macro="" textlink="">
        <xdr:nvSpPr>
          <xdr:cNvPr id="234" name="TextBox 26">
            <a:extLst>
              <a:ext uri="{FF2B5EF4-FFF2-40B4-BE49-F238E27FC236}">
                <a16:creationId xmlns:a16="http://schemas.microsoft.com/office/drawing/2014/main" id="{DB2266E6-0912-00B0-094C-E684D20B127D}"/>
              </a:ext>
            </a:extLst>
          </xdr:cNvPr>
          <xdr:cNvSpPr txBox="1"/>
        </xdr:nvSpPr>
        <xdr:spPr>
          <a:xfrm>
            <a:off x="1573181" y="3809414"/>
            <a:ext cx="1080344" cy="46166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500" b="1">
                <a:solidFill>
                  <a:srgbClr val="DE8431"/>
                </a:solidFill>
                <a:latin typeface="Roboto"/>
              </a:rPr>
              <a:t>Actual Value</a:t>
            </a:r>
          </a:p>
        </xdr:txBody>
      </xdr:sp>
      <xdr:sp macro="" textlink="">
        <xdr:nvSpPr>
          <xdr:cNvPr id="235" name="TextBox 27">
            <a:extLst>
              <a:ext uri="{FF2B5EF4-FFF2-40B4-BE49-F238E27FC236}">
                <a16:creationId xmlns:a16="http://schemas.microsoft.com/office/drawing/2014/main" id="{3C301640-5649-A44E-6604-605FC09C4EBD}"/>
              </a:ext>
            </a:extLst>
          </xdr:cNvPr>
          <xdr:cNvSpPr txBox="1"/>
        </xdr:nvSpPr>
        <xdr:spPr>
          <a:xfrm>
            <a:off x="5293638" y="2318219"/>
            <a:ext cx="1135051" cy="30988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sz="1500" b="0">
                <a:solidFill>
                  <a:srgbClr val="FFFFFF"/>
                </a:solidFill>
                <a:latin typeface="Roboto"/>
              </a:rPr>
              <a:t>100</a:t>
            </a:r>
            <a:r>
              <a:rPr lang="en-GB" sz="1500" b="0">
                <a:solidFill>
                  <a:srgbClr val="FFFFFF"/>
                </a:solidFill>
                <a:latin typeface="Roboto"/>
              </a:rPr>
              <a:t>%</a:t>
            </a:r>
            <a:endParaRPr sz="1500" b="0">
              <a:solidFill>
                <a:srgbClr val="FFFFFF"/>
              </a:solidFill>
              <a:latin typeface="Roboto"/>
            </a:endParaRPr>
          </a:p>
        </xdr:txBody>
      </xdr:sp>
      <xdr:sp macro="" textlink="">
        <xdr:nvSpPr>
          <xdr:cNvPr id="236" name="TextBox 28">
            <a:extLst>
              <a:ext uri="{FF2B5EF4-FFF2-40B4-BE49-F238E27FC236}">
                <a16:creationId xmlns:a16="http://schemas.microsoft.com/office/drawing/2014/main" id="{11D9B485-9C61-8D18-BA4A-5CC9922CC02C}"/>
              </a:ext>
            </a:extLst>
          </xdr:cNvPr>
          <xdr:cNvSpPr txBox="1"/>
        </xdr:nvSpPr>
        <xdr:spPr>
          <a:xfrm>
            <a:off x="911784" y="4344731"/>
            <a:ext cx="1811935" cy="218830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0">
                <a:solidFill>
                  <a:srgbClr val="484848"/>
                </a:solidFill>
                <a:latin typeface="Roboto"/>
              </a:rPr>
              <a:t>Current achievement</a:t>
            </a:r>
          </a:p>
        </xdr:txBody>
      </xdr:sp>
      <xdr:sp macro="" textlink="">
        <xdr:nvSpPr>
          <xdr:cNvPr id="237" name="TextBox 29">
            <a:extLst>
              <a:ext uri="{FF2B5EF4-FFF2-40B4-BE49-F238E27FC236}">
                <a16:creationId xmlns:a16="http://schemas.microsoft.com/office/drawing/2014/main" id="{FFD271F2-BE3B-FD68-C4E5-584434D049C5}"/>
              </a:ext>
            </a:extLst>
          </xdr:cNvPr>
          <xdr:cNvSpPr txBox="1"/>
        </xdr:nvSpPr>
        <xdr:spPr>
          <a:xfrm>
            <a:off x="5487183" y="4493455"/>
            <a:ext cx="907991" cy="298234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sz="1500" b="0">
                <a:solidFill>
                  <a:srgbClr val="FFFFFF"/>
                </a:solidFill>
                <a:latin typeface="Roboto"/>
              </a:rPr>
              <a:t>13</a:t>
            </a:r>
            <a:r>
              <a:rPr lang="en-GB" sz="1500" b="0">
                <a:solidFill>
                  <a:srgbClr val="FFFFFF"/>
                </a:solidFill>
                <a:latin typeface="Roboto"/>
              </a:rPr>
              <a:t>%</a:t>
            </a:r>
            <a:endParaRPr sz="1500" b="0">
              <a:solidFill>
                <a:srgbClr val="FFFFFF"/>
              </a:solidFill>
              <a:latin typeface="Roboto"/>
            </a:endParaRPr>
          </a:p>
        </xdr:txBody>
      </xdr:sp>
      <xdr:sp macro="" textlink="">
        <xdr:nvSpPr>
          <xdr:cNvPr id="238" name="Rounded Rectangle 30">
            <a:extLst>
              <a:ext uri="{FF2B5EF4-FFF2-40B4-BE49-F238E27FC236}">
                <a16:creationId xmlns:a16="http://schemas.microsoft.com/office/drawing/2014/main" id="{98C6A92F-7834-6500-D49D-1C8CEFE3F893}"/>
              </a:ext>
            </a:extLst>
          </xdr:cNvPr>
          <xdr:cNvSpPr/>
        </xdr:nvSpPr>
        <xdr:spPr>
          <a:xfrm>
            <a:off x="2796456" y="4836131"/>
            <a:ext cx="438106" cy="419058"/>
          </a:xfrm>
          <a:custGeom>
            <a:avLst/>
            <a:gdLst/>
            <a:ahLst/>
            <a:cxnLst/>
            <a:rect l="0" t="0" r="0" b="0"/>
            <a:pathLst>
              <a:path w="438106" h="419058">
                <a:moveTo>
                  <a:pt x="438106" y="419058"/>
                </a:moveTo>
                <a:lnTo>
                  <a:pt x="0" y="419058"/>
                </a:lnTo>
                <a:moveTo>
                  <a:pt x="361837" y="419058"/>
                </a:moveTo>
                <a:lnTo>
                  <a:pt x="361837" y="371437"/>
                </a:lnTo>
                <a:cubicBezTo>
                  <a:pt x="361837" y="366177"/>
                  <a:pt x="366101" y="361913"/>
                  <a:pt x="371361" y="361913"/>
                </a:cubicBezTo>
                <a:lnTo>
                  <a:pt x="409457" y="361913"/>
                </a:lnTo>
                <a:cubicBezTo>
                  <a:pt x="414717" y="361913"/>
                  <a:pt x="418981" y="366177"/>
                  <a:pt x="418981" y="371437"/>
                </a:cubicBezTo>
                <a:lnTo>
                  <a:pt x="418981" y="419058"/>
                </a:lnTo>
                <a:moveTo>
                  <a:pt x="247549" y="419058"/>
                </a:moveTo>
                <a:lnTo>
                  <a:pt x="247549" y="295245"/>
                </a:lnTo>
                <a:cubicBezTo>
                  <a:pt x="247549" y="289985"/>
                  <a:pt x="251813" y="285721"/>
                  <a:pt x="257073" y="285721"/>
                </a:cubicBezTo>
                <a:lnTo>
                  <a:pt x="295169" y="285721"/>
                </a:lnTo>
                <a:cubicBezTo>
                  <a:pt x="300429" y="285721"/>
                  <a:pt x="304693" y="289985"/>
                  <a:pt x="304693" y="295245"/>
                </a:cubicBezTo>
                <a:lnTo>
                  <a:pt x="304693" y="419058"/>
                </a:lnTo>
                <a:moveTo>
                  <a:pt x="133260" y="419058"/>
                </a:moveTo>
                <a:lnTo>
                  <a:pt x="133260" y="219053"/>
                </a:lnTo>
                <a:cubicBezTo>
                  <a:pt x="133260" y="213793"/>
                  <a:pt x="137524" y="209529"/>
                  <a:pt x="142784" y="209529"/>
                </a:cubicBezTo>
                <a:lnTo>
                  <a:pt x="180880" y="209529"/>
                </a:lnTo>
                <a:cubicBezTo>
                  <a:pt x="186140" y="209529"/>
                  <a:pt x="190404" y="213793"/>
                  <a:pt x="190404" y="219053"/>
                </a:cubicBezTo>
                <a:lnTo>
                  <a:pt x="190404" y="419058"/>
                </a:lnTo>
                <a:moveTo>
                  <a:pt x="18971" y="419058"/>
                </a:moveTo>
                <a:lnTo>
                  <a:pt x="18971" y="142860"/>
                </a:lnTo>
                <a:cubicBezTo>
                  <a:pt x="18971" y="137600"/>
                  <a:pt x="23235" y="133336"/>
                  <a:pt x="28495" y="133336"/>
                </a:cubicBezTo>
                <a:lnTo>
                  <a:pt x="66592" y="133336"/>
                </a:lnTo>
                <a:cubicBezTo>
                  <a:pt x="71852" y="133336"/>
                  <a:pt x="76116" y="137600"/>
                  <a:pt x="76116" y="142860"/>
                </a:cubicBezTo>
                <a:lnTo>
                  <a:pt x="76116" y="419058"/>
                </a:lnTo>
                <a:moveTo>
                  <a:pt x="390486" y="228577"/>
                </a:moveTo>
                <a:lnTo>
                  <a:pt x="47620" y="0"/>
                </a:lnTo>
                <a:moveTo>
                  <a:pt x="380961" y="152384"/>
                </a:moveTo>
                <a:lnTo>
                  <a:pt x="390486" y="228577"/>
                </a:lnTo>
                <a:lnTo>
                  <a:pt x="314293" y="238101"/>
                </a:lnTo>
              </a:path>
            </a:pathLst>
          </a:custGeom>
          <a:noFill/>
          <a:ln w="14287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39" name="Rounded Rectangle 31">
            <a:extLst>
              <a:ext uri="{FF2B5EF4-FFF2-40B4-BE49-F238E27FC236}">
                <a16:creationId xmlns:a16="http://schemas.microsoft.com/office/drawing/2014/main" id="{FEDD93DB-DB02-1B20-C38A-B46E5F440E22}"/>
              </a:ext>
            </a:extLst>
          </xdr:cNvPr>
          <xdr:cNvSpPr/>
        </xdr:nvSpPr>
        <xdr:spPr>
          <a:xfrm>
            <a:off x="2778099" y="2540681"/>
            <a:ext cx="456387" cy="459743"/>
          </a:xfrm>
          <a:custGeom>
            <a:avLst/>
            <a:gdLst/>
            <a:ahLst/>
            <a:cxnLst/>
            <a:rect l="0" t="0" r="0" b="0"/>
            <a:pathLst>
              <a:path w="456387" h="459743">
                <a:moveTo>
                  <a:pt x="240763" y="215624"/>
                </a:moveTo>
                <a:cubicBezTo>
                  <a:pt x="211779" y="186623"/>
                  <a:pt x="166342" y="182147"/>
                  <a:pt x="132256" y="204933"/>
                </a:cubicBezTo>
                <a:cubicBezTo>
                  <a:pt x="98170" y="227720"/>
                  <a:pt x="84938" y="271418"/>
                  <a:pt x="100657" y="309286"/>
                </a:cubicBezTo>
                <a:cubicBezTo>
                  <a:pt x="116375" y="347154"/>
                  <a:pt x="156664" y="368636"/>
                  <a:pt x="196867" y="360586"/>
                </a:cubicBezTo>
                <a:cubicBezTo>
                  <a:pt x="237069" y="352536"/>
                  <a:pt x="265980" y="317198"/>
                  <a:pt x="265906" y="276197"/>
                </a:cubicBezTo>
                <a:cubicBezTo>
                  <a:pt x="265935" y="266395"/>
                  <a:pt x="264259" y="256662"/>
                  <a:pt x="260954" y="247434"/>
                </a:cubicBezTo>
                <a:moveTo>
                  <a:pt x="320003" y="194481"/>
                </a:moveTo>
                <a:cubicBezTo>
                  <a:pt x="363783" y="268044"/>
                  <a:pt x="342896" y="362963"/>
                  <a:pt x="272279" y="411353"/>
                </a:cubicBezTo>
                <a:cubicBezTo>
                  <a:pt x="201663" y="459743"/>
                  <a:pt x="105603" y="444961"/>
                  <a:pt x="52801" y="377580"/>
                </a:cubicBezTo>
                <a:cubicBezTo>
                  <a:pt x="0" y="310198"/>
                  <a:pt x="8615" y="213391"/>
                  <a:pt x="72486" y="156393"/>
                </a:cubicBezTo>
                <a:cubicBezTo>
                  <a:pt x="136357" y="99395"/>
                  <a:pt x="233517" y="101809"/>
                  <a:pt x="294478" y="161908"/>
                </a:cubicBezTo>
                <a:moveTo>
                  <a:pt x="18281" y="438106"/>
                </a:moveTo>
                <a:lnTo>
                  <a:pt x="65711" y="390676"/>
                </a:lnTo>
                <a:moveTo>
                  <a:pt x="294669" y="390676"/>
                </a:moveTo>
                <a:lnTo>
                  <a:pt x="342099" y="438106"/>
                </a:lnTo>
                <a:moveTo>
                  <a:pt x="321717" y="134670"/>
                </a:moveTo>
                <a:lnTo>
                  <a:pt x="314860" y="60572"/>
                </a:lnTo>
                <a:lnTo>
                  <a:pt x="375433" y="0"/>
                </a:lnTo>
                <a:lnTo>
                  <a:pt x="395814" y="60572"/>
                </a:lnTo>
                <a:lnTo>
                  <a:pt x="456387" y="80954"/>
                </a:lnTo>
                <a:lnTo>
                  <a:pt x="395814" y="141527"/>
                </a:lnTo>
                <a:close/>
                <a:moveTo>
                  <a:pt x="370671" y="85716"/>
                </a:moveTo>
                <a:lnTo>
                  <a:pt x="180190" y="276197"/>
                </a:lnTo>
              </a:path>
            </a:pathLst>
          </a:custGeom>
          <a:noFill/>
          <a:ln w="14287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  <xdr:sp macro="" textlink="">
        <xdr:nvSpPr>
          <xdr:cNvPr id="240" name="TextBox 32">
            <a:extLst>
              <a:ext uri="{FF2B5EF4-FFF2-40B4-BE49-F238E27FC236}">
                <a16:creationId xmlns:a16="http://schemas.microsoft.com/office/drawing/2014/main" id="{E8B7658A-A348-B9C8-EC23-FEC95719B070}"/>
              </a:ext>
            </a:extLst>
          </xdr:cNvPr>
          <xdr:cNvSpPr txBox="1"/>
        </xdr:nvSpPr>
        <xdr:spPr>
          <a:xfrm>
            <a:off x="1649041" y="4952415"/>
            <a:ext cx="1004504" cy="298744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500" b="1">
                <a:solidFill>
                  <a:srgbClr val="E55753"/>
                </a:solidFill>
                <a:latin typeface="Roboto"/>
              </a:rPr>
              <a:t>Shortfall</a:t>
            </a:r>
          </a:p>
        </xdr:txBody>
      </xdr:sp>
      <xdr:sp macro="" textlink="">
        <xdr:nvSpPr>
          <xdr:cNvPr id="241" name="TextBox 33">
            <a:extLst>
              <a:ext uri="{FF2B5EF4-FFF2-40B4-BE49-F238E27FC236}">
                <a16:creationId xmlns:a16="http://schemas.microsoft.com/office/drawing/2014/main" id="{7A8B61B6-002B-1509-A96E-72FA405123E9}"/>
              </a:ext>
            </a:extLst>
          </xdr:cNvPr>
          <xdr:cNvSpPr txBox="1"/>
        </xdr:nvSpPr>
        <xdr:spPr>
          <a:xfrm>
            <a:off x="3604508" y="929486"/>
            <a:ext cx="4481499" cy="357545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lang="en-GB" sz="1800" b="1">
                <a:solidFill>
                  <a:srgbClr val="484848"/>
                </a:solidFill>
                <a:latin typeface="Roboto"/>
              </a:rPr>
              <a:t>Customer</a:t>
            </a:r>
            <a:r>
              <a:rPr sz="1800" b="1">
                <a:solidFill>
                  <a:srgbClr val="484848"/>
                </a:solidFill>
                <a:latin typeface="Roboto"/>
              </a:rPr>
              <a:t>Target</a:t>
            </a:r>
          </a:p>
        </xdr:txBody>
      </xdr:sp>
      <xdr:sp macro="" textlink="">
        <xdr:nvSpPr>
          <xdr:cNvPr id="242" name="Rounded Rectangle 34">
            <a:extLst>
              <a:ext uri="{FF2B5EF4-FFF2-40B4-BE49-F238E27FC236}">
                <a16:creationId xmlns:a16="http://schemas.microsoft.com/office/drawing/2014/main" id="{7C0FFD6E-D349-D5DB-5678-441574CAB5C0}"/>
              </a:ext>
            </a:extLst>
          </xdr:cNvPr>
          <xdr:cNvSpPr/>
        </xdr:nvSpPr>
        <xdr:spPr>
          <a:xfrm>
            <a:off x="2796380" y="3683644"/>
            <a:ext cx="438106" cy="438106"/>
          </a:xfrm>
          <a:custGeom>
            <a:avLst/>
            <a:gdLst/>
            <a:ahLst/>
            <a:cxnLst/>
            <a:rect l="0" t="0" r="0" b="0"/>
            <a:pathLst>
              <a:path w="438106" h="438106">
                <a:moveTo>
                  <a:pt x="0" y="219053"/>
                </a:moveTo>
                <a:cubicBezTo>
                  <a:pt x="0" y="340032"/>
                  <a:pt x="98073" y="438106"/>
                  <a:pt x="219053" y="438106"/>
                </a:cubicBezTo>
                <a:cubicBezTo>
                  <a:pt x="340032" y="438106"/>
                  <a:pt x="438106" y="340032"/>
                  <a:pt x="438106" y="219053"/>
                </a:cubicBezTo>
                <a:cubicBezTo>
                  <a:pt x="438106" y="98073"/>
                  <a:pt x="340032" y="0"/>
                  <a:pt x="219053" y="0"/>
                </a:cubicBezTo>
                <a:cubicBezTo>
                  <a:pt x="98073" y="0"/>
                  <a:pt x="0" y="98073"/>
                  <a:pt x="0" y="219053"/>
                </a:cubicBezTo>
                <a:close/>
                <a:moveTo>
                  <a:pt x="245987" y="245987"/>
                </a:moveTo>
                <a:cubicBezTo>
                  <a:pt x="231038" y="260424"/>
                  <a:pt x="207278" y="260218"/>
                  <a:pt x="192583" y="245523"/>
                </a:cubicBezTo>
                <a:cubicBezTo>
                  <a:pt x="177888" y="230828"/>
                  <a:pt x="177681" y="207067"/>
                  <a:pt x="192119" y="192119"/>
                </a:cubicBezTo>
                <a:cubicBezTo>
                  <a:pt x="206995" y="177242"/>
                  <a:pt x="347018" y="91164"/>
                  <a:pt x="347018" y="91164"/>
                </a:cubicBezTo>
                <a:cubicBezTo>
                  <a:pt x="347018" y="91164"/>
                  <a:pt x="260958" y="231110"/>
                  <a:pt x="245987" y="245987"/>
                </a:cubicBezTo>
                <a:close/>
                <a:moveTo>
                  <a:pt x="85716" y="219053"/>
                </a:moveTo>
                <a:lnTo>
                  <a:pt x="57144" y="219053"/>
                </a:lnTo>
                <a:moveTo>
                  <a:pt x="124765" y="124765"/>
                </a:moveTo>
                <a:lnTo>
                  <a:pt x="104574" y="104574"/>
                </a:lnTo>
                <a:moveTo>
                  <a:pt x="219053" y="85716"/>
                </a:moveTo>
                <a:lnTo>
                  <a:pt x="219053" y="57144"/>
                </a:lnTo>
                <a:moveTo>
                  <a:pt x="380961" y="219053"/>
                </a:moveTo>
                <a:lnTo>
                  <a:pt x="352389" y="219053"/>
                </a:lnTo>
                <a:moveTo>
                  <a:pt x="383495" y="363818"/>
                </a:moveTo>
                <a:cubicBezTo>
                  <a:pt x="335217" y="330502"/>
                  <a:pt x="277700" y="313180"/>
                  <a:pt x="219053" y="314293"/>
                </a:cubicBezTo>
                <a:cubicBezTo>
                  <a:pt x="160406" y="313180"/>
                  <a:pt x="102888" y="330502"/>
                  <a:pt x="54610" y="363818"/>
                </a:cubicBezTo>
              </a:path>
            </a:pathLst>
          </a:custGeom>
          <a:noFill/>
          <a:ln w="14287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/>
          </a:p>
        </xdr:txBody>
      </xdr:sp>
    </xdr:grpSp>
    <xdr:clientData/>
  </xdr:twoCellAnchor>
  <xdr:twoCellAnchor>
    <xdr:from>
      <xdr:col>0</xdr:col>
      <xdr:colOff>0</xdr:colOff>
      <xdr:row>0</xdr:row>
      <xdr:rowOff>2117</xdr:rowOff>
    </xdr:from>
    <xdr:to>
      <xdr:col>27</xdr:col>
      <xdr:colOff>434975</xdr:colOff>
      <xdr:row>6</xdr:row>
      <xdr:rowOff>23812</xdr:rowOff>
    </xdr:to>
    <xdr:sp macro="" textlink="">
      <xdr:nvSpPr>
        <xdr:cNvPr id="252" name="Rectangle 251">
          <a:extLst>
            <a:ext uri="{FF2B5EF4-FFF2-40B4-BE49-F238E27FC236}">
              <a16:creationId xmlns:a16="http://schemas.microsoft.com/office/drawing/2014/main" id="{EA301A27-64AF-7EEA-F13E-41DB8BE87080}"/>
            </a:ext>
          </a:extLst>
        </xdr:cNvPr>
        <xdr:cNvSpPr/>
      </xdr:nvSpPr>
      <xdr:spPr>
        <a:xfrm>
          <a:off x="0" y="2117"/>
          <a:ext cx="22937788" cy="1164695"/>
        </a:xfrm>
        <a:prstGeom prst="rect">
          <a:avLst/>
        </a:prstGeom>
        <a:gradFill flip="none" rotWithShape="1">
          <a:gsLst>
            <a:gs pos="0">
              <a:schemeClr val="accent4">
                <a:lumMod val="75000"/>
              </a:schemeClr>
            </a:gs>
            <a:gs pos="50000">
              <a:schemeClr val="accent4">
                <a:lumMod val="60000"/>
                <a:lumOff val="40000"/>
              </a:schemeClr>
            </a:gs>
            <a:gs pos="100000">
              <a:schemeClr val="accent4">
                <a:lumMod val="75000"/>
              </a:schemeClr>
            </a:gs>
          </a:gsLst>
          <a:lin ang="27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6000" b="1"/>
            <a:t>KPI</a:t>
          </a:r>
          <a:r>
            <a:rPr lang="en-US" sz="6000" b="1" baseline="0"/>
            <a:t> Dashboard</a:t>
          </a:r>
          <a:endParaRPr lang="en-US" sz="6000" b="1"/>
        </a:p>
      </xdr:txBody>
    </xdr:sp>
    <xdr:clientData/>
  </xdr:twoCellAnchor>
  <xdr:twoCellAnchor>
    <xdr:from>
      <xdr:col>17</xdr:col>
      <xdr:colOff>771523</xdr:colOff>
      <xdr:row>37</xdr:row>
      <xdr:rowOff>7938</xdr:rowOff>
    </xdr:from>
    <xdr:to>
      <xdr:col>25</xdr:col>
      <xdr:colOff>492125</xdr:colOff>
      <xdr:row>64</xdr:row>
      <xdr:rowOff>114670</xdr:rowOff>
    </xdr:to>
    <xdr:grpSp>
      <xdr:nvGrpSpPr>
        <xdr:cNvPr id="598" name="Group 597">
          <a:extLst>
            <a:ext uri="{FF2B5EF4-FFF2-40B4-BE49-F238E27FC236}">
              <a16:creationId xmlns:a16="http://schemas.microsoft.com/office/drawing/2014/main" id="{D7618BCB-EB05-1FF0-51A7-50414192EEEA}"/>
            </a:ext>
          </a:extLst>
        </xdr:cNvPr>
        <xdr:cNvGrpSpPr/>
      </xdr:nvGrpSpPr>
      <xdr:grpSpPr>
        <a:xfrm>
          <a:off x="15020923" y="7761288"/>
          <a:ext cx="6426202" cy="5764582"/>
          <a:chOff x="2201175" y="1121032"/>
          <a:chExt cx="4020532" cy="4949416"/>
        </a:xfrm>
      </xdr:grpSpPr>
      <xdr:sp macro="" textlink="">
        <xdr:nvSpPr>
          <xdr:cNvPr id="599" name="Rounded Rectangle 1">
            <a:extLst>
              <a:ext uri="{FF2B5EF4-FFF2-40B4-BE49-F238E27FC236}">
                <a16:creationId xmlns:a16="http://schemas.microsoft.com/office/drawing/2014/main" id="{EF642BDB-D004-3180-1367-66265C76D9A3}"/>
              </a:ext>
            </a:extLst>
          </xdr:cNvPr>
          <xdr:cNvSpPr/>
        </xdr:nvSpPr>
        <xdr:spPr>
          <a:xfrm>
            <a:off x="3063217" y="3799299"/>
            <a:ext cx="3017520" cy="1531620"/>
          </a:xfrm>
          <a:custGeom>
            <a:avLst/>
            <a:gdLst/>
            <a:ahLst/>
            <a:cxnLst/>
            <a:rect l="0" t="0" r="0" b="0"/>
            <a:pathLst>
              <a:path w="3017520" h="1531620">
                <a:moveTo>
                  <a:pt x="0" y="342900"/>
                </a:moveTo>
                <a:lnTo>
                  <a:pt x="274320" y="167640"/>
                </a:lnTo>
                <a:lnTo>
                  <a:pt x="548640" y="594360"/>
                </a:lnTo>
                <a:lnTo>
                  <a:pt x="822960" y="548640"/>
                </a:lnTo>
                <a:lnTo>
                  <a:pt x="1097280" y="0"/>
                </a:lnTo>
                <a:lnTo>
                  <a:pt x="1371600" y="845820"/>
                </a:lnTo>
                <a:lnTo>
                  <a:pt x="1645920" y="1066800"/>
                </a:lnTo>
                <a:lnTo>
                  <a:pt x="1920240" y="1531620"/>
                </a:lnTo>
                <a:lnTo>
                  <a:pt x="2194560" y="929640"/>
                </a:lnTo>
                <a:lnTo>
                  <a:pt x="2468880" y="563880"/>
                </a:lnTo>
                <a:lnTo>
                  <a:pt x="2743200" y="91440"/>
                </a:lnTo>
                <a:lnTo>
                  <a:pt x="3017520" y="160020"/>
                </a:lnTo>
              </a:path>
            </a:pathLst>
          </a:custGeom>
          <a:noFill/>
          <a:ln w="11430">
            <a:solidFill>
              <a:srgbClr val="4F92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0" name="Rounded Rectangle 2">
            <a:extLst>
              <a:ext uri="{FF2B5EF4-FFF2-40B4-BE49-F238E27FC236}">
                <a16:creationId xmlns:a16="http://schemas.microsoft.com/office/drawing/2014/main" id="{71AA7009-3DE1-0E8D-DAD5-B5F5887AEE5F}"/>
              </a:ext>
            </a:extLst>
          </xdr:cNvPr>
          <xdr:cNvSpPr/>
        </xdr:nvSpPr>
        <xdr:spPr>
          <a:xfrm>
            <a:off x="3033432" y="411241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1" name="Rounded Rectangle 3">
            <a:extLst>
              <a:ext uri="{FF2B5EF4-FFF2-40B4-BE49-F238E27FC236}">
                <a16:creationId xmlns:a16="http://schemas.microsoft.com/office/drawing/2014/main" id="{C124B5EC-9631-A8A9-D0B9-56F9959148F5}"/>
              </a:ext>
            </a:extLst>
          </xdr:cNvPr>
          <xdr:cNvSpPr/>
        </xdr:nvSpPr>
        <xdr:spPr>
          <a:xfrm>
            <a:off x="3033432" y="411241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2" name="Rounded Rectangle 4">
            <a:extLst>
              <a:ext uri="{FF2B5EF4-FFF2-40B4-BE49-F238E27FC236}">
                <a16:creationId xmlns:a16="http://schemas.microsoft.com/office/drawing/2014/main" id="{DEADC54F-BB84-962F-1208-C877E82EADEF}"/>
              </a:ext>
            </a:extLst>
          </xdr:cNvPr>
          <xdr:cNvSpPr/>
        </xdr:nvSpPr>
        <xdr:spPr>
          <a:xfrm>
            <a:off x="3307752" y="393715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3" name="Rounded Rectangle 5">
            <a:extLst>
              <a:ext uri="{FF2B5EF4-FFF2-40B4-BE49-F238E27FC236}">
                <a16:creationId xmlns:a16="http://schemas.microsoft.com/office/drawing/2014/main" id="{DD8F9828-754F-47E9-41B1-E9B65E2E0E7F}"/>
              </a:ext>
            </a:extLst>
          </xdr:cNvPr>
          <xdr:cNvSpPr/>
        </xdr:nvSpPr>
        <xdr:spPr>
          <a:xfrm>
            <a:off x="3307752" y="393715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4" name="Rounded Rectangle 6">
            <a:extLst>
              <a:ext uri="{FF2B5EF4-FFF2-40B4-BE49-F238E27FC236}">
                <a16:creationId xmlns:a16="http://schemas.microsoft.com/office/drawing/2014/main" id="{41359CAD-DE53-6A82-139B-0F8618974C95}"/>
              </a:ext>
            </a:extLst>
          </xdr:cNvPr>
          <xdr:cNvSpPr/>
        </xdr:nvSpPr>
        <xdr:spPr>
          <a:xfrm>
            <a:off x="3582072" y="436387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5" name="Rounded Rectangle 7">
            <a:extLst>
              <a:ext uri="{FF2B5EF4-FFF2-40B4-BE49-F238E27FC236}">
                <a16:creationId xmlns:a16="http://schemas.microsoft.com/office/drawing/2014/main" id="{CFA9DF65-A443-B43E-7652-DDA558905DE5}"/>
              </a:ext>
            </a:extLst>
          </xdr:cNvPr>
          <xdr:cNvSpPr/>
        </xdr:nvSpPr>
        <xdr:spPr>
          <a:xfrm>
            <a:off x="3582072" y="436387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6" name="Rounded Rectangle 8">
            <a:extLst>
              <a:ext uri="{FF2B5EF4-FFF2-40B4-BE49-F238E27FC236}">
                <a16:creationId xmlns:a16="http://schemas.microsoft.com/office/drawing/2014/main" id="{86C78E68-116F-827A-6DA8-35A5BF31FE5E}"/>
              </a:ext>
            </a:extLst>
          </xdr:cNvPr>
          <xdr:cNvSpPr/>
        </xdr:nvSpPr>
        <xdr:spPr>
          <a:xfrm>
            <a:off x="3856392" y="431815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7" name="Rounded Rectangle 9">
            <a:extLst>
              <a:ext uri="{FF2B5EF4-FFF2-40B4-BE49-F238E27FC236}">
                <a16:creationId xmlns:a16="http://schemas.microsoft.com/office/drawing/2014/main" id="{3D32547B-98E0-98F0-0F71-B43863E03A82}"/>
              </a:ext>
            </a:extLst>
          </xdr:cNvPr>
          <xdr:cNvSpPr/>
        </xdr:nvSpPr>
        <xdr:spPr>
          <a:xfrm>
            <a:off x="3856392" y="431815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8" name="Rounded Rectangle 10">
            <a:extLst>
              <a:ext uri="{FF2B5EF4-FFF2-40B4-BE49-F238E27FC236}">
                <a16:creationId xmlns:a16="http://schemas.microsoft.com/office/drawing/2014/main" id="{C3846D2F-BFA5-80B5-9C41-E657A345EA6A}"/>
              </a:ext>
            </a:extLst>
          </xdr:cNvPr>
          <xdr:cNvSpPr/>
        </xdr:nvSpPr>
        <xdr:spPr>
          <a:xfrm>
            <a:off x="4130712" y="376951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09" name="Rounded Rectangle 11">
            <a:extLst>
              <a:ext uri="{FF2B5EF4-FFF2-40B4-BE49-F238E27FC236}">
                <a16:creationId xmlns:a16="http://schemas.microsoft.com/office/drawing/2014/main" id="{8AB787E1-C6D3-A1DA-D5EB-00EACE6DB4FE}"/>
              </a:ext>
            </a:extLst>
          </xdr:cNvPr>
          <xdr:cNvSpPr/>
        </xdr:nvSpPr>
        <xdr:spPr>
          <a:xfrm>
            <a:off x="4130712" y="376951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0" name="Rounded Rectangle 12">
            <a:extLst>
              <a:ext uri="{FF2B5EF4-FFF2-40B4-BE49-F238E27FC236}">
                <a16:creationId xmlns:a16="http://schemas.microsoft.com/office/drawing/2014/main" id="{F5F0D396-0EEE-A5DE-7D2C-180B3D5170C5}"/>
              </a:ext>
            </a:extLst>
          </xdr:cNvPr>
          <xdr:cNvSpPr/>
        </xdr:nvSpPr>
        <xdr:spPr>
          <a:xfrm>
            <a:off x="4405032" y="461533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1" name="Rounded Rectangle 13">
            <a:extLst>
              <a:ext uri="{FF2B5EF4-FFF2-40B4-BE49-F238E27FC236}">
                <a16:creationId xmlns:a16="http://schemas.microsoft.com/office/drawing/2014/main" id="{2A06F569-A24B-A161-042C-CE07F67215EA}"/>
              </a:ext>
            </a:extLst>
          </xdr:cNvPr>
          <xdr:cNvSpPr/>
        </xdr:nvSpPr>
        <xdr:spPr>
          <a:xfrm>
            <a:off x="4405032" y="461533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2" name="Rounded Rectangle 14">
            <a:extLst>
              <a:ext uri="{FF2B5EF4-FFF2-40B4-BE49-F238E27FC236}">
                <a16:creationId xmlns:a16="http://schemas.microsoft.com/office/drawing/2014/main" id="{7832B0AC-ED5A-7CF7-DDC8-C4D1027408C1}"/>
              </a:ext>
            </a:extLst>
          </xdr:cNvPr>
          <xdr:cNvSpPr/>
        </xdr:nvSpPr>
        <xdr:spPr>
          <a:xfrm>
            <a:off x="4679352" y="483631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3" name="Rounded Rectangle 15">
            <a:extLst>
              <a:ext uri="{FF2B5EF4-FFF2-40B4-BE49-F238E27FC236}">
                <a16:creationId xmlns:a16="http://schemas.microsoft.com/office/drawing/2014/main" id="{A92AF489-40BA-28D6-D036-3B1A13690A63}"/>
              </a:ext>
            </a:extLst>
          </xdr:cNvPr>
          <xdr:cNvSpPr/>
        </xdr:nvSpPr>
        <xdr:spPr>
          <a:xfrm>
            <a:off x="4679352" y="483631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4" name="Rounded Rectangle 16">
            <a:extLst>
              <a:ext uri="{FF2B5EF4-FFF2-40B4-BE49-F238E27FC236}">
                <a16:creationId xmlns:a16="http://schemas.microsoft.com/office/drawing/2014/main" id="{0BDEE22F-0B35-7303-29B0-EA36D6BBDB14}"/>
              </a:ext>
            </a:extLst>
          </xdr:cNvPr>
          <xdr:cNvSpPr/>
        </xdr:nvSpPr>
        <xdr:spPr>
          <a:xfrm>
            <a:off x="4953672" y="530113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5" name="Rounded Rectangle 17">
            <a:extLst>
              <a:ext uri="{FF2B5EF4-FFF2-40B4-BE49-F238E27FC236}">
                <a16:creationId xmlns:a16="http://schemas.microsoft.com/office/drawing/2014/main" id="{6E8B0D4D-E468-BF10-6AFC-3B798A31F061}"/>
              </a:ext>
            </a:extLst>
          </xdr:cNvPr>
          <xdr:cNvSpPr/>
        </xdr:nvSpPr>
        <xdr:spPr>
          <a:xfrm>
            <a:off x="4953672" y="530113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6" name="Rounded Rectangle 18">
            <a:extLst>
              <a:ext uri="{FF2B5EF4-FFF2-40B4-BE49-F238E27FC236}">
                <a16:creationId xmlns:a16="http://schemas.microsoft.com/office/drawing/2014/main" id="{B99488F9-6EF3-8852-1818-2FE09A26446D}"/>
              </a:ext>
            </a:extLst>
          </xdr:cNvPr>
          <xdr:cNvSpPr/>
        </xdr:nvSpPr>
        <xdr:spPr>
          <a:xfrm>
            <a:off x="5227992" y="469915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7" name="Rounded Rectangle 19">
            <a:extLst>
              <a:ext uri="{FF2B5EF4-FFF2-40B4-BE49-F238E27FC236}">
                <a16:creationId xmlns:a16="http://schemas.microsoft.com/office/drawing/2014/main" id="{8F9E24A4-BF19-E46E-9860-F0B57BA2D5F6}"/>
              </a:ext>
            </a:extLst>
          </xdr:cNvPr>
          <xdr:cNvSpPr/>
        </xdr:nvSpPr>
        <xdr:spPr>
          <a:xfrm>
            <a:off x="5227992" y="469915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8" name="Rounded Rectangle 20">
            <a:extLst>
              <a:ext uri="{FF2B5EF4-FFF2-40B4-BE49-F238E27FC236}">
                <a16:creationId xmlns:a16="http://schemas.microsoft.com/office/drawing/2014/main" id="{0DBD5F43-3B61-A76E-D806-1FF012A41738}"/>
              </a:ext>
            </a:extLst>
          </xdr:cNvPr>
          <xdr:cNvSpPr/>
        </xdr:nvSpPr>
        <xdr:spPr>
          <a:xfrm>
            <a:off x="5502312" y="433339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19" name="Rounded Rectangle 21">
            <a:extLst>
              <a:ext uri="{FF2B5EF4-FFF2-40B4-BE49-F238E27FC236}">
                <a16:creationId xmlns:a16="http://schemas.microsoft.com/office/drawing/2014/main" id="{D4EA56D6-2F62-9296-E107-D4A6C5A5DAE6}"/>
              </a:ext>
            </a:extLst>
          </xdr:cNvPr>
          <xdr:cNvSpPr/>
        </xdr:nvSpPr>
        <xdr:spPr>
          <a:xfrm>
            <a:off x="5502312" y="433339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0" name="Rounded Rectangle 22">
            <a:extLst>
              <a:ext uri="{FF2B5EF4-FFF2-40B4-BE49-F238E27FC236}">
                <a16:creationId xmlns:a16="http://schemas.microsoft.com/office/drawing/2014/main" id="{65CD2F3C-464A-42A2-38C1-362F979A28A4}"/>
              </a:ext>
            </a:extLst>
          </xdr:cNvPr>
          <xdr:cNvSpPr/>
        </xdr:nvSpPr>
        <xdr:spPr>
          <a:xfrm>
            <a:off x="5776632" y="386095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1" name="Rounded Rectangle 23">
            <a:extLst>
              <a:ext uri="{FF2B5EF4-FFF2-40B4-BE49-F238E27FC236}">
                <a16:creationId xmlns:a16="http://schemas.microsoft.com/office/drawing/2014/main" id="{6BFB1ADE-F9EC-8B82-0327-3B00EDE2A8ED}"/>
              </a:ext>
            </a:extLst>
          </xdr:cNvPr>
          <xdr:cNvSpPr/>
        </xdr:nvSpPr>
        <xdr:spPr>
          <a:xfrm>
            <a:off x="5776632" y="386095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2" name="Rounded Rectangle 24">
            <a:extLst>
              <a:ext uri="{FF2B5EF4-FFF2-40B4-BE49-F238E27FC236}">
                <a16:creationId xmlns:a16="http://schemas.microsoft.com/office/drawing/2014/main" id="{B4A6D176-CCB2-AA67-6028-F63A6DA4D30C}"/>
              </a:ext>
            </a:extLst>
          </xdr:cNvPr>
          <xdr:cNvSpPr/>
        </xdr:nvSpPr>
        <xdr:spPr>
          <a:xfrm>
            <a:off x="6050952" y="392953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3" name="Rounded Rectangle 25">
            <a:extLst>
              <a:ext uri="{FF2B5EF4-FFF2-40B4-BE49-F238E27FC236}">
                <a16:creationId xmlns:a16="http://schemas.microsoft.com/office/drawing/2014/main" id="{B342EF50-6AEA-AA52-56AA-A09E978F75E7}"/>
              </a:ext>
            </a:extLst>
          </xdr:cNvPr>
          <xdr:cNvSpPr/>
        </xdr:nvSpPr>
        <xdr:spPr>
          <a:xfrm>
            <a:off x="6050952" y="392953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4" name="Rounded Rectangle 26">
            <a:extLst>
              <a:ext uri="{FF2B5EF4-FFF2-40B4-BE49-F238E27FC236}">
                <a16:creationId xmlns:a16="http://schemas.microsoft.com/office/drawing/2014/main" id="{FF127BB1-AB39-512F-A032-862118547B26}"/>
              </a:ext>
            </a:extLst>
          </xdr:cNvPr>
          <xdr:cNvSpPr/>
        </xdr:nvSpPr>
        <xdr:spPr>
          <a:xfrm>
            <a:off x="3063217" y="2321019"/>
            <a:ext cx="3017520" cy="1920240"/>
          </a:xfrm>
          <a:custGeom>
            <a:avLst/>
            <a:gdLst/>
            <a:ahLst/>
            <a:cxnLst/>
            <a:rect l="0" t="0" r="0" b="0"/>
            <a:pathLst>
              <a:path w="3017520" h="1920240">
                <a:moveTo>
                  <a:pt x="0" y="800100"/>
                </a:moveTo>
                <a:lnTo>
                  <a:pt x="274320" y="624840"/>
                </a:lnTo>
                <a:lnTo>
                  <a:pt x="548640" y="434340"/>
                </a:lnTo>
                <a:lnTo>
                  <a:pt x="822960" y="1478280"/>
                </a:lnTo>
                <a:lnTo>
                  <a:pt x="1097280" y="1638300"/>
                </a:lnTo>
                <a:lnTo>
                  <a:pt x="1371600" y="1737360"/>
                </a:lnTo>
                <a:lnTo>
                  <a:pt x="1645920" y="1851660"/>
                </a:lnTo>
                <a:lnTo>
                  <a:pt x="1920240" y="1920240"/>
                </a:lnTo>
                <a:lnTo>
                  <a:pt x="2194560" y="1158240"/>
                </a:lnTo>
                <a:lnTo>
                  <a:pt x="2468880" y="716280"/>
                </a:lnTo>
                <a:lnTo>
                  <a:pt x="2743200" y="266700"/>
                </a:lnTo>
                <a:lnTo>
                  <a:pt x="3017520" y="0"/>
                </a:lnTo>
              </a:path>
            </a:pathLst>
          </a:custGeom>
          <a:noFill/>
          <a:ln w="11430">
            <a:solidFill>
              <a:srgbClr val="E0CB15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5" name="Rounded Rectangle 27">
            <a:extLst>
              <a:ext uri="{FF2B5EF4-FFF2-40B4-BE49-F238E27FC236}">
                <a16:creationId xmlns:a16="http://schemas.microsoft.com/office/drawing/2014/main" id="{0380F479-76FD-9D48-E5B5-368B5A5D53A3}"/>
              </a:ext>
            </a:extLst>
          </xdr:cNvPr>
          <xdr:cNvSpPr/>
        </xdr:nvSpPr>
        <xdr:spPr>
          <a:xfrm>
            <a:off x="3033432" y="309133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6" name="Rounded Rectangle 28">
            <a:extLst>
              <a:ext uri="{FF2B5EF4-FFF2-40B4-BE49-F238E27FC236}">
                <a16:creationId xmlns:a16="http://schemas.microsoft.com/office/drawing/2014/main" id="{4A61114A-901F-F26B-0DD5-B6F206192E20}"/>
              </a:ext>
            </a:extLst>
          </xdr:cNvPr>
          <xdr:cNvSpPr/>
        </xdr:nvSpPr>
        <xdr:spPr>
          <a:xfrm>
            <a:off x="3033432" y="309133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7" name="Rounded Rectangle 29">
            <a:extLst>
              <a:ext uri="{FF2B5EF4-FFF2-40B4-BE49-F238E27FC236}">
                <a16:creationId xmlns:a16="http://schemas.microsoft.com/office/drawing/2014/main" id="{B915C2C2-0948-C3A3-3E08-54AD769F448D}"/>
              </a:ext>
            </a:extLst>
          </xdr:cNvPr>
          <xdr:cNvSpPr/>
        </xdr:nvSpPr>
        <xdr:spPr>
          <a:xfrm>
            <a:off x="3307752" y="291607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8" name="Rounded Rectangle 30">
            <a:extLst>
              <a:ext uri="{FF2B5EF4-FFF2-40B4-BE49-F238E27FC236}">
                <a16:creationId xmlns:a16="http://schemas.microsoft.com/office/drawing/2014/main" id="{8C48FC12-553F-6249-0B15-EFC015034D0A}"/>
              </a:ext>
            </a:extLst>
          </xdr:cNvPr>
          <xdr:cNvSpPr/>
        </xdr:nvSpPr>
        <xdr:spPr>
          <a:xfrm>
            <a:off x="3307752" y="291607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29" name="Rounded Rectangle 31">
            <a:extLst>
              <a:ext uri="{FF2B5EF4-FFF2-40B4-BE49-F238E27FC236}">
                <a16:creationId xmlns:a16="http://schemas.microsoft.com/office/drawing/2014/main" id="{917E31E0-7F62-081B-0A62-54CE938A42F0}"/>
              </a:ext>
            </a:extLst>
          </xdr:cNvPr>
          <xdr:cNvSpPr/>
        </xdr:nvSpPr>
        <xdr:spPr>
          <a:xfrm>
            <a:off x="3582072" y="272557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0" name="Rounded Rectangle 32">
            <a:extLst>
              <a:ext uri="{FF2B5EF4-FFF2-40B4-BE49-F238E27FC236}">
                <a16:creationId xmlns:a16="http://schemas.microsoft.com/office/drawing/2014/main" id="{9E9BAC54-C98C-650F-1596-E6B7ADDF5660}"/>
              </a:ext>
            </a:extLst>
          </xdr:cNvPr>
          <xdr:cNvSpPr/>
        </xdr:nvSpPr>
        <xdr:spPr>
          <a:xfrm>
            <a:off x="3582072" y="272557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1" name="Rounded Rectangle 33">
            <a:extLst>
              <a:ext uri="{FF2B5EF4-FFF2-40B4-BE49-F238E27FC236}">
                <a16:creationId xmlns:a16="http://schemas.microsoft.com/office/drawing/2014/main" id="{23FF5E0F-F770-52AB-E82B-D8B7EA5F439C}"/>
              </a:ext>
            </a:extLst>
          </xdr:cNvPr>
          <xdr:cNvSpPr/>
        </xdr:nvSpPr>
        <xdr:spPr>
          <a:xfrm>
            <a:off x="3856392" y="376951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2" name="Rounded Rectangle 34">
            <a:extLst>
              <a:ext uri="{FF2B5EF4-FFF2-40B4-BE49-F238E27FC236}">
                <a16:creationId xmlns:a16="http://schemas.microsoft.com/office/drawing/2014/main" id="{5CE99572-0CBE-7DCB-E5D5-1A1702B53188}"/>
              </a:ext>
            </a:extLst>
          </xdr:cNvPr>
          <xdr:cNvSpPr/>
        </xdr:nvSpPr>
        <xdr:spPr>
          <a:xfrm>
            <a:off x="3856392" y="376951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3" name="Rounded Rectangle 35">
            <a:extLst>
              <a:ext uri="{FF2B5EF4-FFF2-40B4-BE49-F238E27FC236}">
                <a16:creationId xmlns:a16="http://schemas.microsoft.com/office/drawing/2014/main" id="{D6EF1BB9-EF05-7319-B75D-901CBEA23E5B}"/>
              </a:ext>
            </a:extLst>
          </xdr:cNvPr>
          <xdr:cNvSpPr/>
        </xdr:nvSpPr>
        <xdr:spPr>
          <a:xfrm>
            <a:off x="4130712" y="392953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4" name="Rounded Rectangle 36">
            <a:extLst>
              <a:ext uri="{FF2B5EF4-FFF2-40B4-BE49-F238E27FC236}">
                <a16:creationId xmlns:a16="http://schemas.microsoft.com/office/drawing/2014/main" id="{1E1AFA49-F0F3-2B63-EE2C-210BD319149B}"/>
              </a:ext>
            </a:extLst>
          </xdr:cNvPr>
          <xdr:cNvSpPr/>
        </xdr:nvSpPr>
        <xdr:spPr>
          <a:xfrm>
            <a:off x="4130712" y="392953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5" name="Rounded Rectangle 37">
            <a:extLst>
              <a:ext uri="{FF2B5EF4-FFF2-40B4-BE49-F238E27FC236}">
                <a16:creationId xmlns:a16="http://schemas.microsoft.com/office/drawing/2014/main" id="{2DC51E79-8ED4-9043-745D-E7AAA7E21332}"/>
              </a:ext>
            </a:extLst>
          </xdr:cNvPr>
          <xdr:cNvSpPr/>
        </xdr:nvSpPr>
        <xdr:spPr>
          <a:xfrm>
            <a:off x="4405032" y="402859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6" name="Rounded Rectangle 38">
            <a:extLst>
              <a:ext uri="{FF2B5EF4-FFF2-40B4-BE49-F238E27FC236}">
                <a16:creationId xmlns:a16="http://schemas.microsoft.com/office/drawing/2014/main" id="{972E4D4A-56E2-8003-CD26-CF445FE1BC9C}"/>
              </a:ext>
            </a:extLst>
          </xdr:cNvPr>
          <xdr:cNvSpPr/>
        </xdr:nvSpPr>
        <xdr:spPr>
          <a:xfrm>
            <a:off x="4405032" y="402859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7" name="Rounded Rectangle 39">
            <a:extLst>
              <a:ext uri="{FF2B5EF4-FFF2-40B4-BE49-F238E27FC236}">
                <a16:creationId xmlns:a16="http://schemas.microsoft.com/office/drawing/2014/main" id="{8D13ACE7-48F8-632E-2640-F08273B50248}"/>
              </a:ext>
            </a:extLst>
          </xdr:cNvPr>
          <xdr:cNvSpPr/>
        </xdr:nvSpPr>
        <xdr:spPr>
          <a:xfrm>
            <a:off x="4679352" y="414289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8" name="Rounded Rectangle 40">
            <a:extLst>
              <a:ext uri="{FF2B5EF4-FFF2-40B4-BE49-F238E27FC236}">
                <a16:creationId xmlns:a16="http://schemas.microsoft.com/office/drawing/2014/main" id="{B05271BC-BB8E-58C9-32BE-1975482AB96F}"/>
              </a:ext>
            </a:extLst>
          </xdr:cNvPr>
          <xdr:cNvSpPr/>
        </xdr:nvSpPr>
        <xdr:spPr>
          <a:xfrm>
            <a:off x="4679352" y="414289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39" name="Rounded Rectangle 41">
            <a:extLst>
              <a:ext uri="{FF2B5EF4-FFF2-40B4-BE49-F238E27FC236}">
                <a16:creationId xmlns:a16="http://schemas.microsoft.com/office/drawing/2014/main" id="{F7E25F00-3D74-7C2E-6662-639057A685FC}"/>
              </a:ext>
            </a:extLst>
          </xdr:cNvPr>
          <xdr:cNvSpPr/>
        </xdr:nvSpPr>
        <xdr:spPr>
          <a:xfrm>
            <a:off x="4953672" y="421147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0" name="Rounded Rectangle 42">
            <a:extLst>
              <a:ext uri="{FF2B5EF4-FFF2-40B4-BE49-F238E27FC236}">
                <a16:creationId xmlns:a16="http://schemas.microsoft.com/office/drawing/2014/main" id="{11E292B8-1267-B662-D428-FE70B4C5D38B}"/>
              </a:ext>
            </a:extLst>
          </xdr:cNvPr>
          <xdr:cNvSpPr/>
        </xdr:nvSpPr>
        <xdr:spPr>
          <a:xfrm>
            <a:off x="4953672" y="421147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1" name="Rounded Rectangle 43">
            <a:extLst>
              <a:ext uri="{FF2B5EF4-FFF2-40B4-BE49-F238E27FC236}">
                <a16:creationId xmlns:a16="http://schemas.microsoft.com/office/drawing/2014/main" id="{B7BE8AFD-64EA-6146-8981-E3CAFAD7EB09}"/>
              </a:ext>
            </a:extLst>
          </xdr:cNvPr>
          <xdr:cNvSpPr/>
        </xdr:nvSpPr>
        <xdr:spPr>
          <a:xfrm>
            <a:off x="5227992" y="344947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2" name="Rounded Rectangle 44">
            <a:extLst>
              <a:ext uri="{FF2B5EF4-FFF2-40B4-BE49-F238E27FC236}">
                <a16:creationId xmlns:a16="http://schemas.microsoft.com/office/drawing/2014/main" id="{DD13B05D-E7B5-7674-CB6C-80A4E8110A04}"/>
              </a:ext>
            </a:extLst>
          </xdr:cNvPr>
          <xdr:cNvSpPr/>
        </xdr:nvSpPr>
        <xdr:spPr>
          <a:xfrm>
            <a:off x="5227992" y="344947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3" name="Rounded Rectangle 45">
            <a:extLst>
              <a:ext uri="{FF2B5EF4-FFF2-40B4-BE49-F238E27FC236}">
                <a16:creationId xmlns:a16="http://schemas.microsoft.com/office/drawing/2014/main" id="{112DE799-16ED-279E-EBFC-5CDEC5436922}"/>
              </a:ext>
            </a:extLst>
          </xdr:cNvPr>
          <xdr:cNvSpPr/>
        </xdr:nvSpPr>
        <xdr:spPr>
          <a:xfrm>
            <a:off x="5502312" y="300751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4" name="Rounded Rectangle 46">
            <a:extLst>
              <a:ext uri="{FF2B5EF4-FFF2-40B4-BE49-F238E27FC236}">
                <a16:creationId xmlns:a16="http://schemas.microsoft.com/office/drawing/2014/main" id="{D4DF4B0F-9F57-1BE9-223F-C77C81A9A44A}"/>
              </a:ext>
            </a:extLst>
          </xdr:cNvPr>
          <xdr:cNvSpPr/>
        </xdr:nvSpPr>
        <xdr:spPr>
          <a:xfrm>
            <a:off x="5502312" y="300751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5" name="Rounded Rectangle 47">
            <a:extLst>
              <a:ext uri="{FF2B5EF4-FFF2-40B4-BE49-F238E27FC236}">
                <a16:creationId xmlns:a16="http://schemas.microsoft.com/office/drawing/2014/main" id="{930A86AB-123E-3645-7E17-899155BA0899}"/>
              </a:ext>
            </a:extLst>
          </xdr:cNvPr>
          <xdr:cNvSpPr/>
        </xdr:nvSpPr>
        <xdr:spPr>
          <a:xfrm>
            <a:off x="5776632" y="255793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6" name="Rounded Rectangle 48">
            <a:extLst>
              <a:ext uri="{FF2B5EF4-FFF2-40B4-BE49-F238E27FC236}">
                <a16:creationId xmlns:a16="http://schemas.microsoft.com/office/drawing/2014/main" id="{F03A2BBA-9561-ABE3-4952-1DAABEBFF4E6}"/>
              </a:ext>
            </a:extLst>
          </xdr:cNvPr>
          <xdr:cNvSpPr/>
        </xdr:nvSpPr>
        <xdr:spPr>
          <a:xfrm>
            <a:off x="5776632" y="255793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7" name="Rounded Rectangle 49">
            <a:extLst>
              <a:ext uri="{FF2B5EF4-FFF2-40B4-BE49-F238E27FC236}">
                <a16:creationId xmlns:a16="http://schemas.microsoft.com/office/drawing/2014/main" id="{6B92E95C-59CA-04F1-DBBB-769A538ED326}"/>
              </a:ext>
            </a:extLst>
          </xdr:cNvPr>
          <xdr:cNvSpPr/>
        </xdr:nvSpPr>
        <xdr:spPr>
          <a:xfrm>
            <a:off x="6050952" y="2291231"/>
            <a:ext cx="59573" cy="59573"/>
          </a:xfrm>
          <a:custGeom>
            <a:avLst/>
            <a:gdLst/>
            <a:ahLst/>
            <a:cxnLst/>
            <a:rect l="0" t="0" r="0" b="0"/>
            <a:pathLst>
              <a:path w="59573" h="59573">
                <a:moveTo>
                  <a:pt x="0" y="29786"/>
                </a:moveTo>
                <a:cubicBezTo>
                  <a:pt x="0" y="46238"/>
                  <a:pt x="13335" y="59573"/>
                  <a:pt x="29786" y="59573"/>
                </a:cubicBezTo>
                <a:cubicBezTo>
                  <a:pt x="46238" y="59573"/>
                  <a:pt x="59573" y="46238"/>
                  <a:pt x="59573" y="29786"/>
                </a:cubicBezTo>
                <a:cubicBezTo>
                  <a:pt x="59573" y="13335"/>
                  <a:pt x="46238" y="0"/>
                  <a:pt x="29786" y="0"/>
                </a:cubicBezTo>
                <a:cubicBezTo>
                  <a:pt x="13335" y="0"/>
                  <a:pt x="0" y="13335"/>
                  <a:pt x="0" y="29786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8" name="Rounded Rectangle 50">
            <a:extLst>
              <a:ext uri="{FF2B5EF4-FFF2-40B4-BE49-F238E27FC236}">
                <a16:creationId xmlns:a16="http://schemas.microsoft.com/office/drawing/2014/main" id="{11CDB8FA-A799-93F5-2D31-55968B66134B}"/>
              </a:ext>
            </a:extLst>
          </xdr:cNvPr>
          <xdr:cNvSpPr/>
        </xdr:nvSpPr>
        <xdr:spPr>
          <a:xfrm>
            <a:off x="6050952" y="2291233"/>
            <a:ext cx="59570" cy="59570"/>
          </a:xfrm>
          <a:custGeom>
            <a:avLst/>
            <a:gdLst/>
            <a:ahLst/>
            <a:cxnLst/>
            <a:rect l="0" t="0" r="0" b="0"/>
            <a:pathLst>
              <a:path w="59570" h="59570">
                <a:moveTo>
                  <a:pt x="0" y="29785"/>
                </a:moveTo>
                <a:cubicBezTo>
                  <a:pt x="0" y="46235"/>
                  <a:pt x="13335" y="59570"/>
                  <a:pt x="29785" y="59570"/>
                </a:cubicBezTo>
                <a:cubicBezTo>
                  <a:pt x="46235" y="59570"/>
                  <a:pt x="59570" y="46235"/>
                  <a:pt x="59570" y="29785"/>
                </a:cubicBezTo>
                <a:cubicBezTo>
                  <a:pt x="59570" y="13335"/>
                  <a:pt x="46235" y="0"/>
                  <a:pt x="29785" y="0"/>
                </a:cubicBezTo>
                <a:cubicBezTo>
                  <a:pt x="13335" y="0"/>
                  <a:pt x="0" y="13335"/>
                  <a:pt x="0" y="29785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49" name="Rounded Rectangle 51">
            <a:extLst>
              <a:ext uri="{FF2B5EF4-FFF2-40B4-BE49-F238E27FC236}">
                <a16:creationId xmlns:a16="http://schemas.microsoft.com/office/drawing/2014/main" id="{D0C784F7-4B72-C1A3-64E6-3B3CDA3F5E67}"/>
              </a:ext>
            </a:extLst>
          </xdr:cNvPr>
          <xdr:cNvSpPr/>
        </xdr:nvSpPr>
        <xdr:spPr>
          <a:xfrm>
            <a:off x="4004764" y="1444882"/>
            <a:ext cx="121599" cy="121599"/>
          </a:xfrm>
          <a:custGeom>
            <a:avLst/>
            <a:gdLst/>
            <a:ahLst/>
            <a:cxnLst/>
            <a:rect l="0" t="0" r="0" b="0"/>
            <a:pathLst>
              <a:path w="121599" h="121599">
                <a:moveTo>
                  <a:pt x="0" y="60799"/>
                </a:moveTo>
                <a:cubicBezTo>
                  <a:pt x="0" y="94373"/>
                  <a:pt x="27218" y="121599"/>
                  <a:pt x="60799" y="121599"/>
                </a:cubicBezTo>
                <a:cubicBezTo>
                  <a:pt x="94373" y="121599"/>
                  <a:pt x="121599" y="94373"/>
                  <a:pt x="121599" y="60799"/>
                </a:cubicBezTo>
                <a:cubicBezTo>
                  <a:pt x="121599" y="27218"/>
                  <a:pt x="94373" y="0"/>
                  <a:pt x="60799" y="0"/>
                </a:cubicBezTo>
                <a:cubicBezTo>
                  <a:pt x="27218" y="0"/>
                  <a:pt x="0" y="27218"/>
                  <a:pt x="0" y="60799"/>
                </a:cubicBezTo>
              </a:path>
            </a:pathLst>
          </a:custGeom>
          <a:solidFill>
            <a:srgbClr val="4E88E7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0" name="Rounded Rectangle 52">
            <a:extLst>
              <a:ext uri="{FF2B5EF4-FFF2-40B4-BE49-F238E27FC236}">
                <a16:creationId xmlns:a16="http://schemas.microsoft.com/office/drawing/2014/main" id="{8BBDBF3F-DFF9-6FD5-AD7D-6854DDF4C69F}"/>
              </a:ext>
            </a:extLst>
          </xdr:cNvPr>
          <xdr:cNvSpPr/>
        </xdr:nvSpPr>
        <xdr:spPr>
          <a:xfrm>
            <a:off x="4004764" y="1444882"/>
            <a:ext cx="121597" cy="121597"/>
          </a:xfrm>
          <a:custGeom>
            <a:avLst/>
            <a:gdLst/>
            <a:ahLst/>
            <a:cxnLst/>
            <a:rect l="0" t="0" r="0" b="0"/>
            <a:pathLst>
              <a:path w="121597" h="121597">
                <a:moveTo>
                  <a:pt x="0" y="60798"/>
                </a:moveTo>
                <a:cubicBezTo>
                  <a:pt x="0" y="94377"/>
                  <a:pt x="27220" y="121597"/>
                  <a:pt x="60798" y="121597"/>
                </a:cubicBezTo>
                <a:cubicBezTo>
                  <a:pt x="94377" y="121597"/>
                  <a:pt x="121597" y="94377"/>
                  <a:pt x="121597" y="60798"/>
                </a:cubicBezTo>
                <a:cubicBezTo>
                  <a:pt x="121597" y="27220"/>
                  <a:pt x="94377" y="0"/>
                  <a:pt x="60798" y="0"/>
                </a:cubicBezTo>
                <a:cubicBezTo>
                  <a:pt x="27220" y="0"/>
                  <a:pt x="0" y="27220"/>
                  <a:pt x="0" y="60798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1" name="Rounded Rectangle 53">
            <a:extLst>
              <a:ext uri="{FF2B5EF4-FFF2-40B4-BE49-F238E27FC236}">
                <a16:creationId xmlns:a16="http://schemas.microsoft.com/office/drawing/2014/main" id="{3BF21FA8-0CB8-3BA4-4BDC-69B75737FAFA}"/>
              </a:ext>
            </a:extLst>
          </xdr:cNvPr>
          <xdr:cNvSpPr/>
        </xdr:nvSpPr>
        <xdr:spPr>
          <a:xfrm>
            <a:off x="4663418" y="1444882"/>
            <a:ext cx="121599" cy="121599"/>
          </a:xfrm>
          <a:custGeom>
            <a:avLst/>
            <a:gdLst/>
            <a:ahLst/>
            <a:cxnLst/>
            <a:rect l="0" t="0" r="0" b="0"/>
            <a:pathLst>
              <a:path w="121599" h="121599">
                <a:moveTo>
                  <a:pt x="0" y="60799"/>
                </a:moveTo>
                <a:cubicBezTo>
                  <a:pt x="0" y="94373"/>
                  <a:pt x="27218" y="121599"/>
                  <a:pt x="60799" y="121599"/>
                </a:cubicBezTo>
                <a:cubicBezTo>
                  <a:pt x="94373" y="121599"/>
                  <a:pt x="121599" y="94373"/>
                  <a:pt x="121599" y="60799"/>
                </a:cubicBezTo>
                <a:cubicBezTo>
                  <a:pt x="121599" y="27218"/>
                  <a:pt x="94373" y="0"/>
                  <a:pt x="60799" y="0"/>
                </a:cubicBezTo>
                <a:cubicBezTo>
                  <a:pt x="27218" y="0"/>
                  <a:pt x="0" y="27218"/>
                  <a:pt x="0" y="60799"/>
                </a:cubicBezTo>
              </a:path>
            </a:pathLst>
          </a:custGeom>
          <a:solidFill>
            <a:srgbClr val="E0CB15"/>
          </a:solidFill>
          <a:ln>
            <a:noFill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2" name="Rounded Rectangle 54">
            <a:extLst>
              <a:ext uri="{FF2B5EF4-FFF2-40B4-BE49-F238E27FC236}">
                <a16:creationId xmlns:a16="http://schemas.microsoft.com/office/drawing/2014/main" id="{BDCD6636-6EA3-CA7E-A6E2-01D03D58F12C}"/>
              </a:ext>
            </a:extLst>
          </xdr:cNvPr>
          <xdr:cNvSpPr/>
        </xdr:nvSpPr>
        <xdr:spPr>
          <a:xfrm>
            <a:off x="4663417" y="1444882"/>
            <a:ext cx="121597" cy="121597"/>
          </a:xfrm>
          <a:custGeom>
            <a:avLst/>
            <a:gdLst/>
            <a:ahLst/>
            <a:cxnLst/>
            <a:rect l="0" t="0" r="0" b="0"/>
            <a:pathLst>
              <a:path w="121597" h="121597">
                <a:moveTo>
                  <a:pt x="0" y="60798"/>
                </a:moveTo>
                <a:cubicBezTo>
                  <a:pt x="0" y="94377"/>
                  <a:pt x="27220" y="121597"/>
                  <a:pt x="60798" y="121597"/>
                </a:cubicBezTo>
                <a:cubicBezTo>
                  <a:pt x="94377" y="121597"/>
                  <a:pt x="121597" y="94377"/>
                  <a:pt x="121597" y="60798"/>
                </a:cubicBezTo>
                <a:cubicBezTo>
                  <a:pt x="121597" y="27220"/>
                  <a:pt x="94377" y="0"/>
                  <a:pt x="60798" y="0"/>
                </a:cubicBezTo>
                <a:cubicBezTo>
                  <a:pt x="27220" y="0"/>
                  <a:pt x="0" y="27220"/>
                  <a:pt x="0" y="60798"/>
                </a:cubicBezTo>
              </a:path>
            </a:pathLst>
          </a:custGeom>
          <a:noFill/>
          <a:ln w="11430">
            <a:solidFill>
              <a:srgbClr val="FFFFFF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3" name="Rounded Rectangle 55">
            <a:extLst>
              <a:ext uri="{FF2B5EF4-FFF2-40B4-BE49-F238E27FC236}">
                <a16:creationId xmlns:a16="http://schemas.microsoft.com/office/drawing/2014/main" id="{C7C4E44A-5A6F-5A31-43F0-B87F5E4A230F}"/>
              </a:ext>
            </a:extLst>
          </xdr:cNvPr>
          <xdr:cNvSpPr/>
        </xdr:nvSpPr>
        <xdr:spPr>
          <a:xfrm>
            <a:off x="2929867" y="5433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4" name="Rounded Rectangle 56">
            <a:extLst>
              <a:ext uri="{FF2B5EF4-FFF2-40B4-BE49-F238E27FC236}">
                <a16:creationId xmlns:a16="http://schemas.microsoft.com/office/drawing/2014/main" id="{6BA1E789-8596-658E-9EF1-A902179853D4}"/>
              </a:ext>
            </a:extLst>
          </xdr:cNvPr>
          <xdr:cNvSpPr/>
        </xdr:nvSpPr>
        <xdr:spPr>
          <a:xfrm>
            <a:off x="2929867" y="5052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5" name="Rounded Rectangle 57">
            <a:extLst>
              <a:ext uri="{FF2B5EF4-FFF2-40B4-BE49-F238E27FC236}">
                <a16:creationId xmlns:a16="http://schemas.microsoft.com/office/drawing/2014/main" id="{57AE8B98-590B-0F5E-919A-5B8556636FA3}"/>
              </a:ext>
            </a:extLst>
          </xdr:cNvPr>
          <xdr:cNvSpPr/>
        </xdr:nvSpPr>
        <xdr:spPr>
          <a:xfrm>
            <a:off x="2929867" y="4671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6" name="Rounded Rectangle 58">
            <a:extLst>
              <a:ext uri="{FF2B5EF4-FFF2-40B4-BE49-F238E27FC236}">
                <a16:creationId xmlns:a16="http://schemas.microsoft.com/office/drawing/2014/main" id="{3EABC40C-F72E-A8A9-D90F-EAFB0CA8604A}"/>
              </a:ext>
            </a:extLst>
          </xdr:cNvPr>
          <xdr:cNvSpPr/>
        </xdr:nvSpPr>
        <xdr:spPr>
          <a:xfrm>
            <a:off x="2929867" y="4290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7" name="Rounded Rectangle 59">
            <a:extLst>
              <a:ext uri="{FF2B5EF4-FFF2-40B4-BE49-F238E27FC236}">
                <a16:creationId xmlns:a16="http://schemas.microsoft.com/office/drawing/2014/main" id="{50B963A4-D44F-5650-1737-E788D56DDBDD}"/>
              </a:ext>
            </a:extLst>
          </xdr:cNvPr>
          <xdr:cNvSpPr/>
        </xdr:nvSpPr>
        <xdr:spPr>
          <a:xfrm>
            <a:off x="2929867" y="3909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8" name="Rounded Rectangle 60">
            <a:extLst>
              <a:ext uri="{FF2B5EF4-FFF2-40B4-BE49-F238E27FC236}">
                <a16:creationId xmlns:a16="http://schemas.microsoft.com/office/drawing/2014/main" id="{F0D6E117-AB7E-A74C-8218-89C7D81916F9}"/>
              </a:ext>
            </a:extLst>
          </xdr:cNvPr>
          <xdr:cNvSpPr/>
        </xdr:nvSpPr>
        <xdr:spPr>
          <a:xfrm>
            <a:off x="2929867" y="3528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59" name="Rounded Rectangle 61">
            <a:extLst>
              <a:ext uri="{FF2B5EF4-FFF2-40B4-BE49-F238E27FC236}">
                <a16:creationId xmlns:a16="http://schemas.microsoft.com/office/drawing/2014/main" id="{BD467E62-9262-F151-B81E-F4009EFB10CB}"/>
              </a:ext>
            </a:extLst>
          </xdr:cNvPr>
          <xdr:cNvSpPr/>
        </xdr:nvSpPr>
        <xdr:spPr>
          <a:xfrm>
            <a:off x="2929867" y="3147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0" name="Rounded Rectangle 62">
            <a:extLst>
              <a:ext uri="{FF2B5EF4-FFF2-40B4-BE49-F238E27FC236}">
                <a16:creationId xmlns:a16="http://schemas.microsoft.com/office/drawing/2014/main" id="{29951B47-8652-3704-CDDA-0F97446481B0}"/>
              </a:ext>
            </a:extLst>
          </xdr:cNvPr>
          <xdr:cNvSpPr/>
        </xdr:nvSpPr>
        <xdr:spPr>
          <a:xfrm>
            <a:off x="2929867" y="2766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1" name="Rounded Rectangle 63">
            <a:extLst>
              <a:ext uri="{FF2B5EF4-FFF2-40B4-BE49-F238E27FC236}">
                <a16:creationId xmlns:a16="http://schemas.microsoft.com/office/drawing/2014/main" id="{83F70C41-F8D0-C12E-4E10-967C59193E31}"/>
              </a:ext>
            </a:extLst>
          </xdr:cNvPr>
          <xdr:cNvSpPr/>
        </xdr:nvSpPr>
        <xdr:spPr>
          <a:xfrm>
            <a:off x="2929867" y="2385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2" name="Rounded Rectangle 64">
            <a:extLst>
              <a:ext uri="{FF2B5EF4-FFF2-40B4-BE49-F238E27FC236}">
                <a16:creationId xmlns:a16="http://schemas.microsoft.com/office/drawing/2014/main" id="{E7C1E248-AD01-E36E-3B23-55F05A14D149}"/>
              </a:ext>
            </a:extLst>
          </xdr:cNvPr>
          <xdr:cNvSpPr/>
        </xdr:nvSpPr>
        <xdr:spPr>
          <a:xfrm>
            <a:off x="2929867" y="2004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>
                <a:alpha val="15000"/>
              </a:srgbClr>
            </a:solidFill>
            <a:prstDash val="dash"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3" name="Rounded Rectangle 65">
            <a:extLst>
              <a:ext uri="{FF2B5EF4-FFF2-40B4-BE49-F238E27FC236}">
                <a16:creationId xmlns:a16="http://schemas.microsoft.com/office/drawing/2014/main" id="{94CA7BB8-3270-1F70-AFEB-C2F1A03B2BBC}"/>
              </a:ext>
            </a:extLst>
          </xdr:cNvPr>
          <xdr:cNvSpPr/>
        </xdr:nvSpPr>
        <xdr:spPr>
          <a:xfrm>
            <a:off x="2891767" y="5433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4" name="Rounded Rectangle 66">
            <a:extLst>
              <a:ext uri="{FF2B5EF4-FFF2-40B4-BE49-F238E27FC236}">
                <a16:creationId xmlns:a16="http://schemas.microsoft.com/office/drawing/2014/main" id="{5A9DFE72-8CD7-81C6-1733-07BDDBB656E1}"/>
              </a:ext>
            </a:extLst>
          </xdr:cNvPr>
          <xdr:cNvSpPr/>
        </xdr:nvSpPr>
        <xdr:spPr>
          <a:xfrm>
            <a:off x="2891767" y="5052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5" name="Rounded Rectangle 67">
            <a:extLst>
              <a:ext uri="{FF2B5EF4-FFF2-40B4-BE49-F238E27FC236}">
                <a16:creationId xmlns:a16="http://schemas.microsoft.com/office/drawing/2014/main" id="{0A247DD7-89C4-659C-C4E9-203928648E2C}"/>
              </a:ext>
            </a:extLst>
          </xdr:cNvPr>
          <xdr:cNvSpPr/>
        </xdr:nvSpPr>
        <xdr:spPr>
          <a:xfrm>
            <a:off x="2891767" y="4671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6" name="Rounded Rectangle 68">
            <a:extLst>
              <a:ext uri="{FF2B5EF4-FFF2-40B4-BE49-F238E27FC236}">
                <a16:creationId xmlns:a16="http://schemas.microsoft.com/office/drawing/2014/main" id="{9BD3A87B-8F48-6A1A-2315-7A316D06D4A2}"/>
              </a:ext>
            </a:extLst>
          </xdr:cNvPr>
          <xdr:cNvSpPr/>
        </xdr:nvSpPr>
        <xdr:spPr>
          <a:xfrm>
            <a:off x="2891767" y="4290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7" name="Rounded Rectangle 69">
            <a:extLst>
              <a:ext uri="{FF2B5EF4-FFF2-40B4-BE49-F238E27FC236}">
                <a16:creationId xmlns:a16="http://schemas.microsoft.com/office/drawing/2014/main" id="{E9D917C4-C311-BB5B-5611-4CB1110C7DE7}"/>
              </a:ext>
            </a:extLst>
          </xdr:cNvPr>
          <xdr:cNvSpPr/>
        </xdr:nvSpPr>
        <xdr:spPr>
          <a:xfrm>
            <a:off x="2891767" y="3909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8" name="Rounded Rectangle 70">
            <a:extLst>
              <a:ext uri="{FF2B5EF4-FFF2-40B4-BE49-F238E27FC236}">
                <a16:creationId xmlns:a16="http://schemas.microsoft.com/office/drawing/2014/main" id="{EDE09408-72D3-1672-66FF-8065C148517F}"/>
              </a:ext>
            </a:extLst>
          </xdr:cNvPr>
          <xdr:cNvSpPr/>
        </xdr:nvSpPr>
        <xdr:spPr>
          <a:xfrm>
            <a:off x="2891767" y="3528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69" name="Rounded Rectangle 71">
            <a:extLst>
              <a:ext uri="{FF2B5EF4-FFF2-40B4-BE49-F238E27FC236}">
                <a16:creationId xmlns:a16="http://schemas.microsoft.com/office/drawing/2014/main" id="{527827A5-29A0-D83F-E105-850F10108965}"/>
              </a:ext>
            </a:extLst>
          </xdr:cNvPr>
          <xdr:cNvSpPr/>
        </xdr:nvSpPr>
        <xdr:spPr>
          <a:xfrm>
            <a:off x="2891767" y="3147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0" name="Rounded Rectangle 72">
            <a:extLst>
              <a:ext uri="{FF2B5EF4-FFF2-40B4-BE49-F238E27FC236}">
                <a16:creationId xmlns:a16="http://schemas.microsoft.com/office/drawing/2014/main" id="{52DD24B8-D890-D24F-AE8B-094569C46E34}"/>
              </a:ext>
            </a:extLst>
          </xdr:cNvPr>
          <xdr:cNvSpPr/>
        </xdr:nvSpPr>
        <xdr:spPr>
          <a:xfrm>
            <a:off x="2891767" y="2766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1" name="Rounded Rectangle 73">
            <a:extLst>
              <a:ext uri="{FF2B5EF4-FFF2-40B4-BE49-F238E27FC236}">
                <a16:creationId xmlns:a16="http://schemas.microsoft.com/office/drawing/2014/main" id="{4715E8C1-3EB6-76A2-4EC5-725409ECC231}"/>
              </a:ext>
            </a:extLst>
          </xdr:cNvPr>
          <xdr:cNvSpPr/>
        </xdr:nvSpPr>
        <xdr:spPr>
          <a:xfrm>
            <a:off x="2891767" y="2385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2" name="Rounded Rectangle 74">
            <a:extLst>
              <a:ext uri="{FF2B5EF4-FFF2-40B4-BE49-F238E27FC236}">
                <a16:creationId xmlns:a16="http://schemas.microsoft.com/office/drawing/2014/main" id="{2A09AEFD-73CE-87EC-506B-D2B71877BCEC}"/>
              </a:ext>
            </a:extLst>
          </xdr:cNvPr>
          <xdr:cNvSpPr/>
        </xdr:nvSpPr>
        <xdr:spPr>
          <a:xfrm>
            <a:off x="2891767" y="2004789"/>
            <a:ext cx="38100" cy="7620"/>
          </a:xfrm>
          <a:custGeom>
            <a:avLst/>
            <a:gdLst/>
            <a:ahLst/>
            <a:cxnLst/>
            <a:rect l="0" t="0" r="0" b="0"/>
            <a:pathLst>
              <a:path w="38100" h="7620">
                <a:moveTo>
                  <a:pt x="38100" y="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3" name="Rounded Rectangle 75">
            <a:extLst>
              <a:ext uri="{FF2B5EF4-FFF2-40B4-BE49-F238E27FC236}">
                <a16:creationId xmlns:a16="http://schemas.microsoft.com/office/drawing/2014/main" id="{7EC92531-7866-391A-8E9C-A1B0D6B4758D}"/>
              </a:ext>
            </a:extLst>
          </xdr:cNvPr>
          <xdr:cNvSpPr/>
        </xdr:nvSpPr>
        <xdr:spPr>
          <a:xfrm>
            <a:off x="2929867" y="2004789"/>
            <a:ext cx="7620" cy="3429000"/>
          </a:xfrm>
          <a:custGeom>
            <a:avLst/>
            <a:gdLst/>
            <a:ahLst/>
            <a:cxnLst/>
            <a:rect l="0" t="0" r="0" b="0"/>
            <a:pathLst>
              <a:path w="7620" h="3429000">
                <a:moveTo>
                  <a:pt x="0" y="3429000"/>
                </a:moveTo>
                <a:lnTo>
                  <a:pt x="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4" name="Rounded Rectangle 76">
            <a:extLst>
              <a:ext uri="{FF2B5EF4-FFF2-40B4-BE49-F238E27FC236}">
                <a16:creationId xmlns:a16="http://schemas.microsoft.com/office/drawing/2014/main" id="{F7FC1A31-5498-F2A8-DAF5-3351DECDE28A}"/>
              </a:ext>
            </a:extLst>
          </xdr:cNvPr>
          <xdr:cNvSpPr/>
        </xdr:nvSpPr>
        <xdr:spPr>
          <a:xfrm>
            <a:off x="306702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5" name="Rounded Rectangle 77">
            <a:extLst>
              <a:ext uri="{FF2B5EF4-FFF2-40B4-BE49-F238E27FC236}">
                <a16:creationId xmlns:a16="http://schemas.microsoft.com/office/drawing/2014/main" id="{286502FD-3F06-5757-D0C8-12C2166AA38B}"/>
              </a:ext>
            </a:extLst>
          </xdr:cNvPr>
          <xdr:cNvSpPr/>
        </xdr:nvSpPr>
        <xdr:spPr>
          <a:xfrm>
            <a:off x="334134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6" name="Rounded Rectangle 78">
            <a:extLst>
              <a:ext uri="{FF2B5EF4-FFF2-40B4-BE49-F238E27FC236}">
                <a16:creationId xmlns:a16="http://schemas.microsoft.com/office/drawing/2014/main" id="{C29AAE85-FC53-5225-8DD2-9B9DD0FACF57}"/>
              </a:ext>
            </a:extLst>
          </xdr:cNvPr>
          <xdr:cNvSpPr/>
        </xdr:nvSpPr>
        <xdr:spPr>
          <a:xfrm>
            <a:off x="361566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7" name="Rounded Rectangle 79">
            <a:extLst>
              <a:ext uri="{FF2B5EF4-FFF2-40B4-BE49-F238E27FC236}">
                <a16:creationId xmlns:a16="http://schemas.microsoft.com/office/drawing/2014/main" id="{18B9CAA1-52C0-1F96-B8E9-C114542977B4}"/>
              </a:ext>
            </a:extLst>
          </xdr:cNvPr>
          <xdr:cNvSpPr/>
        </xdr:nvSpPr>
        <xdr:spPr>
          <a:xfrm>
            <a:off x="388998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8" name="Rounded Rectangle 80">
            <a:extLst>
              <a:ext uri="{FF2B5EF4-FFF2-40B4-BE49-F238E27FC236}">
                <a16:creationId xmlns:a16="http://schemas.microsoft.com/office/drawing/2014/main" id="{75504654-D420-ED75-AC51-51FEBD3259B2}"/>
              </a:ext>
            </a:extLst>
          </xdr:cNvPr>
          <xdr:cNvSpPr/>
        </xdr:nvSpPr>
        <xdr:spPr>
          <a:xfrm>
            <a:off x="416430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79" name="Rounded Rectangle 81">
            <a:extLst>
              <a:ext uri="{FF2B5EF4-FFF2-40B4-BE49-F238E27FC236}">
                <a16:creationId xmlns:a16="http://schemas.microsoft.com/office/drawing/2014/main" id="{498C4AFE-7782-FFA1-D8C1-38172FF7E6A9}"/>
              </a:ext>
            </a:extLst>
          </xdr:cNvPr>
          <xdr:cNvSpPr/>
        </xdr:nvSpPr>
        <xdr:spPr>
          <a:xfrm>
            <a:off x="443862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0" name="Rounded Rectangle 82">
            <a:extLst>
              <a:ext uri="{FF2B5EF4-FFF2-40B4-BE49-F238E27FC236}">
                <a16:creationId xmlns:a16="http://schemas.microsoft.com/office/drawing/2014/main" id="{E561FE9E-2830-BB6F-2639-3F644F9195FF}"/>
              </a:ext>
            </a:extLst>
          </xdr:cNvPr>
          <xdr:cNvSpPr/>
        </xdr:nvSpPr>
        <xdr:spPr>
          <a:xfrm>
            <a:off x="471294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1" name="Rounded Rectangle 83">
            <a:extLst>
              <a:ext uri="{FF2B5EF4-FFF2-40B4-BE49-F238E27FC236}">
                <a16:creationId xmlns:a16="http://schemas.microsoft.com/office/drawing/2014/main" id="{E9ACDEA5-FD35-3AC0-3D62-38051BF3A400}"/>
              </a:ext>
            </a:extLst>
          </xdr:cNvPr>
          <xdr:cNvSpPr/>
        </xdr:nvSpPr>
        <xdr:spPr>
          <a:xfrm>
            <a:off x="498726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2" name="Rounded Rectangle 84">
            <a:extLst>
              <a:ext uri="{FF2B5EF4-FFF2-40B4-BE49-F238E27FC236}">
                <a16:creationId xmlns:a16="http://schemas.microsoft.com/office/drawing/2014/main" id="{F2B6AF09-8DF8-25FD-8E23-98FB030256CE}"/>
              </a:ext>
            </a:extLst>
          </xdr:cNvPr>
          <xdr:cNvSpPr/>
        </xdr:nvSpPr>
        <xdr:spPr>
          <a:xfrm>
            <a:off x="526158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3" name="Rounded Rectangle 85">
            <a:extLst>
              <a:ext uri="{FF2B5EF4-FFF2-40B4-BE49-F238E27FC236}">
                <a16:creationId xmlns:a16="http://schemas.microsoft.com/office/drawing/2014/main" id="{D2095A33-4B51-B44B-8DEF-31FC0D65F6E7}"/>
              </a:ext>
            </a:extLst>
          </xdr:cNvPr>
          <xdr:cNvSpPr/>
        </xdr:nvSpPr>
        <xdr:spPr>
          <a:xfrm>
            <a:off x="553590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4" name="Rounded Rectangle 86">
            <a:extLst>
              <a:ext uri="{FF2B5EF4-FFF2-40B4-BE49-F238E27FC236}">
                <a16:creationId xmlns:a16="http://schemas.microsoft.com/office/drawing/2014/main" id="{70B112AE-10A7-EF9A-FA8C-D01830F49F17}"/>
              </a:ext>
            </a:extLst>
          </xdr:cNvPr>
          <xdr:cNvSpPr/>
        </xdr:nvSpPr>
        <xdr:spPr>
          <a:xfrm>
            <a:off x="581022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5" name="Rounded Rectangle 87">
            <a:extLst>
              <a:ext uri="{FF2B5EF4-FFF2-40B4-BE49-F238E27FC236}">
                <a16:creationId xmlns:a16="http://schemas.microsoft.com/office/drawing/2014/main" id="{A1204437-EC17-B902-16DA-2813C13690AE}"/>
              </a:ext>
            </a:extLst>
          </xdr:cNvPr>
          <xdr:cNvSpPr/>
        </xdr:nvSpPr>
        <xdr:spPr>
          <a:xfrm>
            <a:off x="6084547" y="5433789"/>
            <a:ext cx="7620" cy="38100"/>
          </a:xfrm>
          <a:custGeom>
            <a:avLst/>
            <a:gdLst/>
            <a:ahLst/>
            <a:cxnLst/>
            <a:rect l="0" t="0" r="0" b="0"/>
            <a:pathLst>
              <a:path w="7620" h="38100">
                <a:moveTo>
                  <a:pt x="0" y="0"/>
                </a:moveTo>
                <a:lnTo>
                  <a:pt x="0" y="3810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6" name="Rounded Rectangle 88">
            <a:extLst>
              <a:ext uri="{FF2B5EF4-FFF2-40B4-BE49-F238E27FC236}">
                <a16:creationId xmlns:a16="http://schemas.microsoft.com/office/drawing/2014/main" id="{1CA38E0A-A7F7-A8AE-0E97-3056B945F406}"/>
              </a:ext>
            </a:extLst>
          </xdr:cNvPr>
          <xdr:cNvSpPr/>
        </xdr:nvSpPr>
        <xdr:spPr>
          <a:xfrm>
            <a:off x="2929867" y="5433789"/>
            <a:ext cx="3291840" cy="7620"/>
          </a:xfrm>
          <a:custGeom>
            <a:avLst/>
            <a:gdLst/>
            <a:ahLst/>
            <a:cxnLst/>
            <a:rect l="0" t="0" r="0" b="0"/>
            <a:pathLst>
              <a:path w="3291840" h="7620">
                <a:moveTo>
                  <a:pt x="0" y="0"/>
                </a:moveTo>
                <a:lnTo>
                  <a:pt x="3291840" y="0"/>
                </a:lnTo>
              </a:path>
            </a:pathLst>
          </a:custGeom>
          <a:noFill/>
          <a:ln w="11430">
            <a:solidFill>
              <a:srgbClr val="484848"/>
            </a:solidFill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endParaRPr sz="1100"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endParaRPr>
          </a:p>
        </xdr:txBody>
      </xdr:sp>
      <xdr:sp macro="" textlink="">
        <xdr:nvSpPr>
          <xdr:cNvPr id="687" name="TextBox 89">
            <a:extLst>
              <a:ext uri="{FF2B5EF4-FFF2-40B4-BE49-F238E27FC236}">
                <a16:creationId xmlns:a16="http://schemas.microsoft.com/office/drawing/2014/main" id="{3E47AA4B-E11B-4984-6AFF-76A9BB3290B9}"/>
              </a:ext>
            </a:extLst>
          </xdr:cNvPr>
          <xdr:cNvSpPr txBox="1"/>
        </xdr:nvSpPr>
        <xdr:spPr>
          <a:xfrm>
            <a:off x="2453165" y="5005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190</a:t>
            </a:r>
          </a:p>
        </xdr:txBody>
      </xdr:sp>
      <xdr:sp macro="" textlink="">
        <xdr:nvSpPr>
          <xdr:cNvPr id="688" name="TextBox 90">
            <a:extLst>
              <a:ext uri="{FF2B5EF4-FFF2-40B4-BE49-F238E27FC236}">
                <a16:creationId xmlns:a16="http://schemas.microsoft.com/office/drawing/2014/main" id="{1D1CAD7D-6970-65B1-8C81-389737A8D091}"/>
              </a:ext>
            </a:extLst>
          </xdr:cNvPr>
          <xdr:cNvSpPr txBox="1"/>
        </xdr:nvSpPr>
        <xdr:spPr>
          <a:xfrm>
            <a:off x="2453165" y="5386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185</a:t>
            </a:r>
          </a:p>
        </xdr:txBody>
      </xdr:sp>
      <xdr:sp macro="" textlink="">
        <xdr:nvSpPr>
          <xdr:cNvPr id="689" name="TextBox 91">
            <a:extLst>
              <a:ext uri="{FF2B5EF4-FFF2-40B4-BE49-F238E27FC236}">
                <a16:creationId xmlns:a16="http://schemas.microsoft.com/office/drawing/2014/main" id="{FBC067BD-F776-D795-1B03-F1953551AD5D}"/>
              </a:ext>
            </a:extLst>
          </xdr:cNvPr>
          <xdr:cNvSpPr txBox="1"/>
        </xdr:nvSpPr>
        <xdr:spPr>
          <a:xfrm>
            <a:off x="2453165" y="2338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225</a:t>
            </a:r>
          </a:p>
        </xdr:txBody>
      </xdr:sp>
      <xdr:sp macro="" textlink="">
        <xdr:nvSpPr>
          <xdr:cNvPr id="690" name="TextBox 92">
            <a:extLst>
              <a:ext uri="{FF2B5EF4-FFF2-40B4-BE49-F238E27FC236}">
                <a16:creationId xmlns:a16="http://schemas.microsoft.com/office/drawing/2014/main" id="{21224AD2-0448-5D1D-89F0-5B69DBCF0B35}"/>
              </a:ext>
            </a:extLst>
          </xdr:cNvPr>
          <xdr:cNvSpPr txBox="1"/>
        </xdr:nvSpPr>
        <xdr:spPr>
          <a:xfrm>
            <a:off x="3659657" y="1121032"/>
            <a:ext cx="2132916" cy="262142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 rtl="0">
              <a:defRPr lang="en-US" sz="1800" b="1" i="0" u="none" strike="noStrike" kern="1200" spc="0" baseline="0">
                <a:solidFill>
                  <a:srgbClr val="484848"/>
                </a:solidFill>
                <a:latin typeface="Roboto"/>
                <a:ea typeface="+mn-ea"/>
                <a:cs typeface="+mn-cs"/>
              </a:defRPr>
            </a:pPr>
            <a:r>
              <a:rPr sz="1800" b="1" i="0" u="none" strike="noStrike" kern="1200" spc="0" baseline="0">
                <a:solidFill>
                  <a:srgbClr val="484848"/>
                </a:solidFill>
                <a:latin typeface="Roboto"/>
                <a:ea typeface="+mn-ea"/>
                <a:cs typeface="+mn-cs"/>
              </a:rPr>
              <a:t>2021 vs 2022 Sales</a:t>
            </a:r>
          </a:p>
        </xdr:txBody>
      </xdr:sp>
      <xdr:sp macro="" textlink="">
        <xdr:nvSpPr>
          <xdr:cNvPr id="691" name="TextBox 93">
            <a:extLst>
              <a:ext uri="{FF2B5EF4-FFF2-40B4-BE49-F238E27FC236}">
                <a16:creationId xmlns:a16="http://schemas.microsoft.com/office/drawing/2014/main" id="{7287B0AD-FC15-A170-D9D1-1901AE91505A}"/>
              </a:ext>
            </a:extLst>
          </xdr:cNvPr>
          <xdr:cNvSpPr txBox="1"/>
        </xdr:nvSpPr>
        <xdr:spPr>
          <a:xfrm>
            <a:off x="2453165" y="1957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230</a:t>
            </a:r>
          </a:p>
        </xdr:txBody>
      </xdr:sp>
      <xdr:sp macro="" textlink="">
        <xdr:nvSpPr>
          <xdr:cNvPr id="692" name="TextBox 94">
            <a:extLst>
              <a:ext uri="{FF2B5EF4-FFF2-40B4-BE49-F238E27FC236}">
                <a16:creationId xmlns:a16="http://schemas.microsoft.com/office/drawing/2014/main" id="{1ACE5E20-2D1B-F099-349A-78787E6F3255}"/>
              </a:ext>
            </a:extLst>
          </xdr:cNvPr>
          <xdr:cNvSpPr txBox="1"/>
        </xdr:nvSpPr>
        <xdr:spPr>
          <a:xfrm>
            <a:off x="4861537" y="1448529"/>
            <a:ext cx="32060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2022</a:t>
            </a:r>
          </a:p>
        </xdr:txBody>
      </xdr:sp>
      <xdr:sp macro="" textlink="">
        <xdr:nvSpPr>
          <xdr:cNvPr id="693" name="TextBox 95">
            <a:extLst>
              <a:ext uri="{FF2B5EF4-FFF2-40B4-BE49-F238E27FC236}">
                <a16:creationId xmlns:a16="http://schemas.microsoft.com/office/drawing/2014/main" id="{556F306C-3915-04D9-04F9-BD7E943299C5}"/>
              </a:ext>
            </a:extLst>
          </xdr:cNvPr>
          <xdr:cNvSpPr txBox="1"/>
        </xdr:nvSpPr>
        <xdr:spPr>
          <a:xfrm>
            <a:off x="4202884" y="1448529"/>
            <a:ext cx="32060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2021</a:t>
            </a:r>
          </a:p>
        </xdr:txBody>
      </xdr:sp>
      <xdr:sp macro="" textlink="">
        <xdr:nvSpPr>
          <xdr:cNvPr id="694" name="TextBox 96">
            <a:extLst>
              <a:ext uri="{FF2B5EF4-FFF2-40B4-BE49-F238E27FC236}">
                <a16:creationId xmlns:a16="http://schemas.microsoft.com/office/drawing/2014/main" id="{3C7A5F07-250D-0BFC-C1A0-05CABF8C4445}"/>
              </a:ext>
            </a:extLst>
          </xdr:cNvPr>
          <xdr:cNvSpPr txBox="1"/>
        </xdr:nvSpPr>
        <xdr:spPr>
          <a:xfrm>
            <a:off x="4373041" y="5893340"/>
            <a:ext cx="405560" cy="177108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sz="1200" b="1">
                <a:solidFill>
                  <a:srgbClr val="484848"/>
                </a:solidFill>
                <a:latin typeface="+mj-lt"/>
                <a:ea typeface="Roboto" panose="02000000000000000000" pitchFamily="2" charset="0"/>
                <a:cs typeface="Roboto" panose="02000000000000000000" pitchFamily="2" charset="0"/>
              </a:rPr>
              <a:t>Month</a:t>
            </a:r>
          </a:p>
        </xdr:txBody>
      </xdr:sp>
      <xdr:sp macro="" textlink="">
        <xdr:nvSpPr>
          <xdr:cNvPr id="695" name="TextBox 97">
            <a:extLst>
              <a:ext uri="{FF2B5EF4-FFF2-40B4-BE49-F238E27FC236}">
                <a16:creationId xmlns:a16="http://schemas.microsoft.com/office/drawing/2014/main" id="{106AC973-8E83-7765-DAC2-781A3F856191}"/>
              </a:ext>
            </a:extLst>
          </xdr:cNvPr>
          <xdr:cNvSpPr txBox="1"/>
        </xdr:nvSpPr>
        <xdr:spPr>
          <a:xfrm>
            <a:off x="2453165" y="4624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195</a:t>
            </a:r>
          </a:p>
        </xdr:txBody>
      </xdr:sp>
      <xdr:sp macro="" textlink="">
        <xdr:nvSpPr>
          <xdr:cNvPr id="696" name="TextBox 98">
            <a:extLst>
              <a:ext uri="{FF2B5EF4-FFF2-40B4-BE49-F238E27FC236}">
                <a16:creationId xmlns:a16="http://schemas.microsoft.com/office/drawing/2014/main" id="{7CAF139D-CFBE-E26F-89C5-4226298AA2BD}"/>
              </a:ext>
            </a:extLst>
          </xdr:cNvPr>
          <xdr:cNvSpPr txBox="1"/>
        </xdr:nvSpPr>
        <xdr:spPr>
          <a:xfrm>
            <a:off x="2453165" y="4243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200</a:t>
            </a:r>
          </a:p>
        </xdr:txBody>
      </xdr:sp>
      <xdr:sp macro="" textlink="">
        <xdr:nvSpPr>
          <xdr:cNvPr id="697" name="TextBox 99">
            <a:extLst>
              <a:ext uri="{FF2B5EF4-FFF2-40B4-BE49-F238E27FC236}">
                <a16:creationId xmlns:a16="http://schemas.microsoft.com/office/drawing/2014/main" id="{C1C6CDD9-793B-963B-C20C-C441381600F9}"/>
              </a:ext>
            </a:extLst>
          </xdr:cNvPr>
          <xdr:cNvSpPr txBox="1"/>
        </xdr:nvSpPr>
        <xdr:spPr>
          <a:xfrm>
            <a:off x="2453165" y="3862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205</a:t>
            </a:r>
          </a:p>
        </xdr:txBody>
      </xdr:sp>
      <xdr:sp macro="" textlink="">
        <xdr:nvSpPr>
          <xdr:cNvPr id="698" name="TextBox 100">
            <a:extLst>
              <a:ext uri="{FF2B5EF4-FFF2-40B4-BE49-F238E27FC236}">
                <a16:creationId xmlns:a16="http://schemas.microsoft.com/office/drawing/2014/main" id="{824AD7A4-1F67-5217-69DF-D55793376F1E}"/>
              </a:ext>
            </a:extLst>
          </xdr:cNvPr>
          <xdr:cNvSpPr txBox="1"/>
        </xdr:nvSpPr>
        <xdr:spPr>
          <a:xfrm rot="16200000">
            <a:off x="1611751" y="3634651"/>
            <a:ext cx="1348126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ctr"/>
            <a:r>
              <a:rPr sz="1100" b="0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Figures (in Millions $)</a:t>
            </a:r>
          </a:p>
        </xdr:txBody>
      </xdr:sp>
      <xdr:sp macro="" textlink="">
        <xdr:nvSpPr>
          <xdr:cNvPr id="699" name="TextBox 101">
            <a:extLst>
              <a:ext uri="{FF2B5EF4-FFF2-40B4-BE49-F238E27FC236}">
                <a16:creationId xmlns:a16="http://schemas.microsoft.com/office/drawing/2014/main" id="{D635D7D0-A251-A422-12D5-9F8A2AFC91E4}"/>
              </a:ext>
            </a:extLst>
          </xdr:cNvPr>
          <xdr:cNvSpPr txBox="1"/>
        </xdr:nvSpPr>
        <xdr:spPr>
          <a:xfrm>
            <a:off x="2453165" y="3481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210</a:t>
            </a:r>
          </a:p>
        </xdr:txBody>
      </xdr:sp>
      <xdr:sp macro="" textlink="">
        <xdr:nvSpPr>
          <xdr:cNvPr id="700" name="TextBox 103">
            <a:extLst>
              <a:ext uri="{FF2B5EF4-FFF2-40B4-BE49-F238E27FC236}">
                <a16:creationId xmlns:a16="http://schemas.microsoft.com/office/drawing/2014/main" id="{8589783F-B175-C2D0-0A1F-7482048762C1}"/>
              </a:ext>
            </a:extLst>
          </xdr:cNvPr>
          <xdr:cNvSpPr txBox="1"/>
        </xdr:nvSpPr>
        <xdr:spPr>
          <a:xfrm rot="2700000">
            <a:off x="2993535" y="5505894"/>
            <a:ext cx="232436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Jan</a:t>
            </a:r>
          </a:p>
        </xdr:txBody>
      </xdr:sp>
      <xdr:sp macro="" textlink="">
        <xdr:nvSpPr>
          <xdr:cNvPr id="701" name="TextBox 104">
            <a:extLst>
              <a:ext uri="{FF2B5EF4-FFF2-40B4-BE49-F238E27FC236}">
                <a16:creationId xmlns:a16="http://schemas.microsoft.com/office/drawing/2014/main" id="{0577F80B-D3DB-7895-88A2-7461A058C9E9}"/>
              </a:ext>
            </a:extLst>
          </xdr:cNvPr>
          <xdr:cNvSpPr txBox="1"/>
        </xdr:nvSpPr>
        <xdr:spPr>
          <a:xfrm rot="2700000">
            <a:off x="3266633" y="5505117"/>
            <a:ext cx="234038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Feb</a:t>
            </a:r>
          </a:p>
        </xdr:txBody>
      </xdr:sp>
      <xdr:sp macro="" textlink="">
        <xdr:nvSpPr>
          <xdr:cNvPr id="702" name="TextBox 105">
            <a:extLst>
              <a:ext uri="{FF2B5EF4-FFF2-40B4-BE49-F238E27FC236}">
                <a16:creationId xmlns:a16="http://schemas.microsoft.com/office/drawing/2014/main" id="{17832004-AB06-2CFF-2BE0-7716FB18C590}"/>
              </a:ext>
            </a:extLst>
          </xdr:cNvPr>
          <xdr:cNvSpPr txBox="1"/>
        </xdr:nvSpPr>
        <xdr:spPr>
          <a:xfrm rot="2700000">
            <a:off x="3537316" y="5509495"/>
            <a:ext cx="250068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Mar</a:t>
            </a:r>
          </a:p>
        </xdr:txBody>
      </xdr:sp>
      <xdr:sp macro="" textlink="">
        <xdr:nvSpPr>
          <xdr:cNvPr id="703" name="TextBox 106">
            <a:extLst>
              <a:ext uri="{FF2B5EF4-FFF2-40B4-BE49-F238E27FC236}">
                <a16:creationId xmlns:a16="http://schemas.microsoft.com/office/drawing/2014/main" id="{70383C67-276D-34F1-2497-57C3C2157B44}"/>
              </a:ext>
            </a:extLst>
          </xdr:cNvPr>
          <xdr:cNvSpPr txBox="1"/>
        </xdr:nvSpPr>
        <xdr:spPr>
          <a:xfrm rot="2700000">
            <a:off x="3817470" y="5503843"/>
            <a:ext cx="226024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Apr</a:t>
            </a:r>
          </a:p>
        </xdr:txBody>
      </xdr:sp>
      <xdr:sp macro="" textlink="">
        <xdr:nvSpPr>
          <xdr:cNvPr id="704" name="TextBox 107">
            <a:extLst>
              <a:ext uri="{FF2B5EF4-FFF2-40B4-BE49-F238E27FC236}">
                <a16:creationId xmlns:a16="http://schemas.microsoft.com/office/drawing/2014/main" id="{35CDF2A0-BD92-33E8-821A-51130EDDCEA5}"/>
              </a:ext>
            </a:extLst>
          </xdr:cNvPr>
          <xdr:cNvSpPr txBox="1"/>
        </xdr:nvSpPr>
        <xdr:spPr>
          <a:xfrm rot="2700000">
            <a:off x="4080549" y="5513170"/>
            <a:ext cx="269304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May</a:t>
            </a:r>
          </a:p>
        </xdr:txBody>
      </xdr:sp>
      <xdr:sp macro="" textlink="">
        <xdr:nvSpPr>
          <xdr:cNvPr id="705" name="TextBox 108">
            <a:extLst>
              <a:ext uri="{FF2B5EF4-FFF2-40B4-BE49-F238E27FC236}">
                <a16:creationId xmlns:a16="http://schemas.microsoft.com/office/drawing/2014/main" id="{49F9DAF7-8695-4CC0-6D9A-443A3123CFCB}"/>
              </a:ext>
            </a:extLst>
          </xdr:cNvPr>
          <xdr:cNvSpPr txBox="1"/>
        </xdr:nvSpPr>
        <xdr:spPr>
          <a:xfrm rot="2700000">
            <a:off x="4364331" y="5506694"/>
            <a:ext cx="235642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Jun</a:t>
            </a:r>
          </a:p>
        </xdr:txBody>
      </xdr:sp>
      <xdr:sp macro="" textlink="">
        <xdr:nvSpPr>
          <xdr:cNvPr id="706" name="TextBox 109">
            <a:extLst>
              <a:ext uri="{FF2B5EF4-FFF2-40B4-BE49-F238E27FC236}">
                <a16:creationId xmlns:a16="http://schemas.microsoft.com/office/drawing/2014/main" id="{0F0C8A40-5F86-FBF4-04F9-5F4562CE4C33}"/>
              </a:ext>
            </a:extLst>
          </xdr:cNvPr>
          <xdr:cNvSpPr txBox="1"/>
        </xdr:nvSpPr>
        <xdr:spPr>
          <a:xfrm rot="2700000">
            <a:off x="4649935" y="5498218"/>
            <a:ext cx="193964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Jul</a:t>
            </a:r>
          </a:p>
        </xdr:txBody>
      </xdr:sp>
      <xdr:sp macro="" textlink="">
        <xdr:nvSpPr>
          <xdr:cNvPr id="707" name="TextBox 110">
            <a:extLst>
              <a:ext uri="{FF2B5EF4-FFF2-40B4-BE49-F238E27FC236}">
                <a16:creationId xmlns:a16="http://schemas.microsoft.com/office/drawing/2014/main" id="{63C371E4-E889-3085-7B4C-6EB85D6B52BE}"/>
              </a:ext>
            </a:extLst>
          </xdr:cNvPr>
          <xdr:cNvSpPr txBox="1"/>
        </xdr:nvSpPr>
        <xdr:spPr>
          <a:xfrm rot="2700000">
            <a:off x="4907986" y="5509982"/>
            <a:ext cx="253274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Aug</a:t>
            </a:r>
          </a:p>
        </xdr:txBody>
      </xdr:sp>
      <xdr:sp macro="" textlink="">
        <xdr:nvSpPr>
          <xdr:cNvPr id="708" name="TextBox 111">
            <a:extLst>
              <a:ext uri="{FF2B5EF4-FFF2-40B4-BE49-F238E27FC236}">
                <a16:creationId xmlns:a16="http://schemas.microsoft.com/office/drawing/2014/main" id="{A4A00651-CA29-1ED8-645E-BCBDFF4FEFF2}"/>
              </a:ext>
            </a:extLst>
          </xdr:cNvPr>
          <xdr:cNvSpPr txBox="1"/>
        </xdr:nvSpPr>
        <xdr:spPr>
          <a:xfrm rot="2700000">
            <a:off x="5184548" y="5507415"/>
            <a:ext cx="243656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Sep</a:t>
            </a:r>
          </a:p>
        </xdr:txBody>
      </xdr:sp>
      <xdr:sp macro="" textlink="">
        <xdr:nvSpPr>
          <xdr:cNvPr id="709" name="TextBox 112">
            <a:extLst>
              <a:ext uri="{FF2B5EF4-FFF2-40B4-BE49-F238E27FC236}">
                <a16:creationId xmlns:a16="http://schemas.microsoft.com/office/drawing/2014/main" id="{D19D5084-207C-6F34-D51D-3FE10FB97112}"/>
              </a:ext>
            </a:extLst>
          </xdr:cNvPr>
          <xdr:cNvSpPr txBox="1"/>
        </xdr:nvSpPr>
        <xdr:spPr>
          <a:xfrm rot="2700000">
            <a:off x="5465418" y="5502672"/>
            <a:ext cx="219612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Oct</a:t>
            </a:r>
          </a:p>
        </xdr:txBody>
      </xdr:sp>
      <xdr:sp macro="" textlink="">
        <xdr:nvSpPr>
          <xdr:cNvPr id="710" name="TextBox 113">
            <a:extLst>
              <a:ext uri="{FF2B5EF4-FFF2-40B4-BE49-F238E27FC236}">
                <a16:creationId xmlns:a16="http://schemas.microsoft.com/office/drawing/2014/main" id="{0AD48A9C-532E-ACCA-3A0B-600DF8FFD378}"/>
              </a:ext>
            </a:extLst>
          </xdr:cNvPr>
          <xdr:cNvSpPr txBox="1"/>
        </xdr:nvSpPr>
        <xdr:spPr>
          <a:xfrm rot="2700000">
            <a:off x="5730821" y="5509064"/>
            <a:ext cx="251672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Nov</a:t>
            </a:r>
          </a:p>
        </xdr:txBody>
      </xdr:sp>
      <xdr:sp macro="" textlink="">
        <xdr:nvSpPr>
          <xdr:cNvPr id="711" name="TextBox 114">
            <a:extLst>
              <a:ext uri="{FF2B5EF4-FFF2-40B4-BE49-F238E27FC236}">
                <a16:creationId xmlns:a16="http://schemas.microsoft.com/office/drawing/2014/main" id="{67DF21EE-B3B2-CD38-4658-B6A24AD19FF3}"/>
              </a:ext>
            </a:extLst>
          </xdr:cNvPr>
          <xdr:cNvSpPr txBox="1"/>
        </xdr:nvSpPr>
        <xdr:spPr>
          <a:xfrm rot="2700000">
            <a:off x="6008056" y="5507170"/>
            <a:ext cx="242054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l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Dec</a:t>
            </a:r>
          </a:p>
        </xdr:txBody>
      </xdr:sp>
      <xdr:sp macro="" textlink="">
        <xdr:nvSpPr>
          <xdr:cNvPr id="712" name="TextBox 115">
            <a:extLst>
              <a:ext uri="{FF2B5EF4-FFF2-40B4-BE49-F238E27FC236}">
                <a16:creationId xmlns:a16="http://schemas.microsoft.com/office/drawing/2014/main" id="{644CD7E3-FC91-9987-156E-1E8AF50F88AC}"/>
              </a:ext>
            </a:extLst>
          </xdr:cNvPr>
          <xdr:cNvSpPr txBox="1"/>
        </xdr:nvSpPr>
        <xdr:spPr>
          <a:xfrm>
            <a:off x="2453165" y="2719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220</a:t>
            </a:r>
          </a:p>
        </xdr:txBody>
      </xdr:sp>
      <xdr:sp macro="" textlink="">
        <xdr:nvSpPr>
          <xdr:cNvPr id="713" name="TextBox 116">
            <a:extLst>
              <a:ext uri="{FF2B5EF4-FFF2-40B4-BE49-F238E27FC236}">
                <a16:creationId xmlns:a16="http://schemas.microsoft.com/office/drawing/2014/main" id="{C7DBB6B7-FDBA-042B-5C87-B747C623A2A0}"/>
              </a:ext>
            </a:extLst>
          </xdr:cNvPr>
          <xdr:cNvSpPr txBox="1"/>
        </xdr:nvSpPr>
        <xdr:spPr>
          <a:xfrm>
            <a:off x="2453165" y="3100545"/>
            <a:ext cx="240451" cy="169277"/>
          </a:xfrm>
          <a:prstGeom prst="rect">
            <a:avLst/>
          </a:prstGeom>
          <a:noFill/>
          <a:ln>
            <a:noFill/>
          </a:ln>
        </xdr:spPr>
        <xdr:txBody>
          <a:bodyPr wrap="square" lIns="0" tIns="0" rIns="0" bIns="0" anchor="t">
            <a:spAutoFit/>
          </a:bodyPr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1pPr>
            <a:lvl2pPr marL="457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2pPr>
            <a:lvl3pPr marL="914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3pPr>
            <a:lvl4pPr marL="1371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4pPr>
            <a:lvl5pPr marL="18288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5pPr>
            <a:lvl6pPr marL="22860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6pPr>
            <a:lvl7pPr marL="27432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7pPr>
            <a:lvl8pPr marL="32004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8pPr>
            <a:lvl9pPr marL="3657600" algn="l" defTabSz="457200" rtl="0" eaLnBrk="1" latinLnBrk="0" hangingPunct="1">
              <a:defRPr sz="1800" kern="1200">
                <a:solidFill>
                  <a:sysClr val="windowText" lastClr="000000"/>
                </a:solidFill>
                <a:latin typeface="Calibri"/>
              </a:defRPr>
            </a:lvl9pPr>
          </a:lstStyle>
          <a:p>
            <a:pPr algn="r"/>
            <a:r>
              <a:rPr sz="1100" b="1">
                <a:solidFill>
                  <a:srgbClr val="484848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215</a:t>
            </a:r>
          </a:p>
        </xdr:txBody>
      </xdr:sp>
    </xdr:grpSp>
    <xdr:clientData/>
  </xdr:twoCellAnchor>
  <xdr:twoCellAnchor>
    <xdr:from>
      <xdr:col>17</xdr:col>
      <xdr:colOff>547687</xdr:colOff>
      <xdr:row>35</xdr:row>
      <xdr:rowOff>0</xdr:rowOff>
    </xdr:from>
    <xdr:to>
      <xdr:col>26</xdr:col>
      <xdr:colOff>666750</xdr:colOff>
      <xdr:row>65</xdr:row>
      <xdr:rowOff>71437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7FCF919-C8D6-544A-9FB7-658471AC58B9}"/>
            </a:ext>
          </a:extLst>
        </xdr:cNvPr>
        <xdr:cNvSpPr/>
      </xdr:nvSpPr>
      <xdr:spPr>
        <a:xfrm>
          <a:off x="14716125" y="6667500"/>
          <a:ext cx="7620000" cy="5786437"/>
        </a:xfrm>
        <a:prstGeom prst="rect">
          <a:avLst/>
        </a:prstGeom>
        <a:noFill/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819-44D1-EE4C-940E-0D3D0CCB2ED3}">
  <dimension ref="A1"/>
  <sheetViews>
    <sheetView showGridLines="0" tabSelected="1" topLeftCell="A7" zoomScale="50" zoomScaleNormal="50" workbookViewId="0">
      <selection activeCell="AF48" sqref="AF48"/>
    </sheetView>
  </sheetViews>
  <sheetFormatPr defaultColWidth="10.875" defaultRowHeight="15.75" x14ac:dyDescent="0.25"/>
  <cols>
    <col min="1" max="16384" width="10.875" style="10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16DE6-AF43-5D41-92D8-941949992132}">
  <dimension ref="C2:K24"/>
  <sheetViews>
    <sheetView showGridLines="0" zoomScaleNormal="100" workbookViewId="0">
      <selection activeCell="F36" sqref="F36"/>
    </sheetView>
  </sheetViews>
  <sheetFormatPr defaultColWidth="11.125" defaultRowHeight="15.75" x14ac:dyDescent="0.25"/>
  <cols>
    <col min="1" max="1" width="10.875" customWidth="1"/>
    <col min="2" max="2" width="4" customWidth="1"/>
    <col min="3" max="3" width="14.125" customWidth="1"/>
    <col min="4" max="4" width="8.625" customWidth="1"/>
    <col min="5" max="5" width="10.125" customWidth="1"/>
    <col min="7" max="7" width="12.375" customWidth="1"/>
  </cols>
  <sheetData>
    <row r="2" spans="3:11" x14ac:dyDescent="0.25">
      <c r="C2" s="7" t="s">
        <v>36</v>
      </c>
      <c r="D2" s="7"/>
      <c r="E2" s="7"/>
      <c r="F2" s="7"/>
      <c r="G2" s="7"/>
      <c r="H2" s="7"/>
      <c r="I2" s="7"/>
      <c r="J2" s="7"/>
    </row>
    <row r="4" spans="3:11" x14ac:dyDescent="0.25">
      <c r="C4" s="2" t="s">
        <v>33</v>
      </c>
      <c r="D4" s="2" t="s">
        <v>29</v>
      </c>
      <c r="F4" s="2" t="s">
        <v>32</v>
      </c>
      <c r="G4" s="2" t="s">
        <v>29</v>
      </c>
      <c r="I4" s="2" t="s">
        <v>23</v>
      </c>
      <c r="J4" s="2" t="s">
        <v>29</v>
      </c>
    </row>
    <row r="5" spans="3:11" x14ac:dyDescent="0.25">
      <c r="C5" t="s">
        <v>30</v>
      </c>
      <c r="D5" s="8">
        <v>2543.9</v>
      </c>
      <c r="F5" t="s">
        <v>30</v>
      </c>
      <c r="G5" s="9">
        <v>890.36500000000001</v>
      </c>
      <c r="I5" t="s">
        <v>30</v>
      </c>
      <c r="J5" s="5">
        <v>87</v>
      </c>
    </row>
    <row r="6" spans="3:11" x14ac:dyDescent="0.25">
      <c r="C6" t="s">
        <v>31</v>
      </c>
      <c r="D6" s="8">
        <v>3000</v>
      </c>
      <c r="F6" t="s">
        <v>31</v>
      </c>
      <c r="G6" s="9">
        <v>1000</v>
      </c>
      <c r="I6" t="s">
        <v>31</v>
      </c>
      <c r="J6" s="5">
        <v>100</v>
      </c>
    </row>
    <row r="7" spans="3:11" x14ac:dyDescent="0.25">
      <c r="C7" t="s">
        <v>34</v>
      </c>
      <c r="D7" s="6">
        <f>D5/D6</f>
        <v>0.84796666666666665</v>
      </c>
      <c r="F7" t="s">
        <v>34</v>
      </c>
      <c r="G7" s="6">
        <f>G5/G6</f>
        <v>0.89036499999999996</v>
      </c>
      <c r="I7" t="s">
        <v>34</v>
      </c>
      <c r="J7" s="6">
        <f>J5/J6</f>
        <v>0.87</v>
      </c>
    </row>
    <row r="8" spans="3:11" x14ac:dyDescent="0.25">
      <c r="C8" t="s">
        <v>35</v>
      </c>
      <c r="D8" s="6">
        <f>100%-D7</f>
        <v>0.15203333333333335</v>
      </c>
      <c r="F8" t="s">
        <v>35</v>
      </c>
      <c r="G8" s="6">
        <f>100%-G7</f>
        <v>0.10963500000000004</v>
      </c>
      <c r="I8" t="s">
        <v>35</v>
      </c>
      <c r="J8" s="6">
        <f>100%-J7</f>
        <v>0.13</v>
      </c>
    </row>
    <row r="10" spans="3:11" x14ac:dyDescent="0.25">
      <c r="C10" s="7" t="s">
        <v>37</v>
      </c>
      <c r="D10" s="7"/>
      <c r="E10" s="7"/>
      <c r="F10" s="7"/>
      <c r="G10" s="7"/>
      <c r="H10" s="7"/>
      <c r="J10" s="7" t="s">
        <v>19</v>
      </c>
      <c r="K10" s="7"/>
    </row>
    <row r="12" spans="3:11" x14ac:dyDescent="0.25">
      <c r="C12" s="1" t="s">
        <v>7</v>
      </c>
      <c r="D12" s="1">
        <v>2021</v>
      </c>
      <c r="E12" s="1">
        <v>2022</v>
      </c>
      <c r="G12" s="1" t="s">
        <v>20</v>
      </c>
      <c r="H12" s="1" t="s">
        <v>7</v>
      </c>
      <c r="J12" s="2" t="s">
        <v>19</v>
      </c>
      <c r="K12" s="2" t="s">
        <v>22</v>
      </c>
    </row>
    <row r="13" spans="3:11" x14ac:dyDescent="0.25">
      <c r="C13" t="s">
        <v>8</v>
      </c>
      <c r="D13">
        <v>201.9</v>
      </c>
      <c r="E13">
        <v>215.3</v>
      </c>
      <c r="G13" t="s">
        <v>0</v>
      </c>
      <c r="H13" s="3">
        <v>953.3</v>
      </c>
      <c r="J13" t="s">
        <v>28</v>
      </c>
      <c r="K13" s="4">
        <v>0.54</v>
      </c>
    </row>
    <row r="14" spans="3:11" x14ac:dyDescent="0.25">
      <c r="C14" t="s">
        <v>9</v>
      </c>
      <c r="D14">
        <v>204.2</v>
      </c>
      <c r="E14">
        <v>217.6</v>
      </c>
      <c r="G14" t="s">
        <v>3</v>
      </c>
      <c r="H14" s="3">
        <v>432.4</v>
      </c>
      <c r="J14" t="s">
        <v>27</v>
      </c>
      <c r="K14" s="4">
        <v>0.86</v>
      </c>
    </row>
    <row r="15" spans="3:11" x14ac:dyDescent="0.25">
      <c r="C15" t="s">
        <v>10</v>
      </c>
      <c r="D15">
        <v>198.6</v>
      </c>
      <c r="E15">
        <v>220.1</v>
      </c>
      <c r="G15" t="s">
        <v>21</v>
      </c>
      <c r="H15" s="3">
        <v>553.20000000000005</v>
      </c>
      <c r="J15" t="s">
        <v>26</v>
      </c>
      <c r="K15" s="4">
        <v>0.93</v>
      </c>
    </row>
    <row r="16" spans="3:11" x14ac:dyDescent="0.25">
      <c r="C16" t="s">
        <v>11</v>
      </c>
      <c r="D16">
        <v>199.2</v>
      </c>
      <c r="E16">
        <v>206.4</v>
      </c>
      <c r="G16" t="s">
        <v>4</v>
      </c>
      <c r="H16" s="3">
        <v>445.1</v>
      </c>
      <c r="J16" t="s">
        <v>25</v>
      </c>
      <c r="K16" s="4">
        <v>0.53</v>
      </c>
    </row>
    <row r="17" spans="3:11" x14ac:dyDescent="0.25">
      <c r="C17" t="s">
        <v>6</v>
      </c>
      <c r="D17">
        <v>206.4</v>
      </c>
      <c r="E17">
        <v>204.3</v>
      </c>
      <c r="G17" t="s">
        <v>5</v>
      </c>
      <c r="H17" s="3">
        <v>425.1</v>
      </c>
      <c r="J17" t="s">
        <v>24</v>
      </c>
      <c r="K17" s="4">
        <v>0.95</v>
      </c>
    </row>
    <row r="18" spans="3:11" x14ac:dyDescent="0.25">
      <c r="C18" t="s">
        <v>12</v>
      </c>
      <c r="D18">
        <v>195.3</v>
      </c>
      <c r="E18">
        <v>203</v>
      </c>
      <c r="G18" t="s">
        <v>2</v>
      </c>
      <c r="H18" s="3">
        <v>253.6</v>
      </c>
    </row>
    <row r="19" spans="3:11" x14ac:dyDescent="0.25">
      <c r="C19" t="s">
        <v>13</v>
      </c>
      <c r="D19">
        <v>192.4</v>
      </c>
      <c r="E19">
        <v>201.5</v>
      </c>
      <c r="G19" t="s">
        <v>1</v>
      </c>
      <c r="H19" s="3">
        <v>387.5</v>
      </c>
    </row>
    <row r="20" spans="3:11" x14ac:dyDescent="0.25">
      <c r="C20" t="s">
        <v>14</v>
      </c>
      <c r="D20">
        <v>186.3</v>
      </c>
      <c r="E20">
        <v>200.6</v>
      </c>
    </row>
    <row r="21" spans="3:11" x14ac:dyDescent="0.25">
      <c r="C21" t="s">
        <v>15</v>
      </c>
      <c r="D21">
        <v>194.2</v>
      </c>
      <c r="E21">
        <v>210.6</v>
      </c>
    </row>
    <row r="22" spans="3:11" x14ac:dyDescent="0.25">
      <c r="C22" t="s">
        <v>16</v>
      </c>
      <c r="D22">
        <v>199</v>
      </c>
      <c r="E22">
        <v>216.4</v>
      </c>
    </row>
    <row r="23" spans="3:11" x14ac:dyDescent="0.25">
      <c r="C23" t="s">
        <v>17</v>
      </c>
      <c r="D23">
        <v>205.2</v>
      </c>
      <c r="E23">
        <v>222.3</v>
      </c>
    </row>
    <row r="24" spans="3:11" x14ac:dyDescent="0.25">
      <c r="C24" t="s">
        <v>18</v>
      </c>
      <c r="D24">
        <v>204.3</v>
      </c>
      <c r="E24">
        <v>225.8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Input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juju Ari</cp:lastModifiedBy>
  <dcterms:created xsi:type="dcterms:W3CDTF">2023-01-30T08:37:14Z</dcterms:created>
  <dcterms:modified xsi:type="dcterms:W3CDTF">2026-03-17T23:18:30Z</dcterms:modified>
</cp:coreProperties>
</file>
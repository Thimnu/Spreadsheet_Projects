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a\Downloads\"/>
    </mc:Choice>
  </mc:AlternateContent>
  <xr:revisionPtr revIDLastSave="0" documentId="13_ncr:1_{115725E9-B376-4679-BEA7-8E1FE3C3B4A9}" xr6:coauthVersionLast="47" xr6:coauthVersionMax="47" xr10:uidLastSave="{00000000-0000-0000-0000-000000000000}"/>
  <bookViews>
    <workbookView xWindow="-120" yWindow="-120" windowWidth="29040" windowHeight="15720" xr2:uid="{810B916D-8AC5-B94F-AAD8-02E834047D22}"/>
  </bookViews>
  <sheets>
    <sheet name="Dashboard" sheetId="1" r:id="rId1"/>
    <sheet name="Input Data" sheetId="3" r:id="rId2"/>
  </sheets>
  <definedNames>
    <definedName name="_xlchart.v5.0" hidden="1">'Input Data'!$G$12</definedName>
    <definedName name="_xlchart.v5.1" hidden="1">'Input Data'!$G$13:$G$19</definedName>
    <definedName name="_xlchart.v5.2" hidden="1">'Input Data'!$H$12</definedName>
    <definedName name="_xlchart.v5.3" hidden="1">'Input Data'!$H$13:$H$19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" l="1"/>
  <c r="D8" i="3" s="1"/>
  <c r="J7" i="3"/>
  <c r="J8" i="3" s="1"/>
  <c r="G7" i="3"/>
  <c r="G8" i="3" s="1"/>
</calcChain>
</file>

<file path=xl/sharedStrings.xml><?xml version="1.0" encoding="utf-8"?>
<sst xmlns="http://schemas.openxmlformats.org/spreadsheetml/2006/main" count="50" uniqueCount="38">
  <si>
    <t>Argentina</t>
  </si>
  <si>
    <t>Bolivia</t>
  </si>
  <si>
    <t>Chile</t>
  </si>
  <si>
    <t>Colombia</t>
  </si>
  <si>
    <t>Ecuador</t>
  </si>
  <si>
    <t>Peru</t>
  </si>
  <si>
    <t>May</t>
  </si>
  <si>
    <t>Figures in $M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</si>
  <si>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</si>
  <si>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</si>
  <si>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</si>
  <si>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</si>
  <si>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</si>
  <si>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</si>
  <si>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</si>
  <si>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</si>
  <si>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</si>
  <si>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</si>
  <si>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</si>
  <si>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Customer Satisfaction</t>
  </si>
  <si>
    <t>Sales by country 2022</t>
  </si>
  <si>
    <t>Brazil</t>
  </si>
  <si>
    <t>Score</t>
  </si>
  <si>
    <t>Customers</t>
  </si>
  <si>
    <t>Availability (95%)</t>
  </si>
  <si>
    <t>Service (53%)</t>
  </si>
  <si>
    <t>Hygene (93%)</t>
  </si>
  <si>
    <t>Quality (86%)</t>
  </si>
  <si>
    <t>Speed (54%)</t>
  </si>
  <si>
    <t>Amount</t>
  </si>
  <si>
    <t>Actual</t>
  </si>
  <si>
    <t>Target</t>
  </si>
  <si>
    <t>Profit</t>
  </si>
  <si>
    <t>Sales (M)</t>
  </si>
  <si>
    <t>% Complete</t>
  </si>
  <si>
    <t>Remainder</t>
  </si>
  <si>
    <t>KPIs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</si>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</sst>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-* #,##0.0_-;\-* #,##0.0_-;_-* &quot;-&quot;??_-;_-@_-"/>
    <numFmt numFmtId="165" formatCode="_-[$$-409]* #,##0_ ;_-[$$-409]* \-#,##0\ ;_-[$$-409]* &quot;-&quot;??_ ;_-@_ 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  <xf numFmtId="9" fontId="0" fillId="0" borderId="0" xfId="2" applyFont="1"/>
    <xf numFmtId="0" fontId="3" fillId="0" borderId="1" xfId="0" applyFont="1" applyBorder="1"/>
    <xf numFmtId="165" fontId="0" fillId="0" borderId="0" xfId="1" applyNumberFormat="1" applyFont="1" applyAlignment="1">
      <alignment horizontal="center"/>
    </xf>
    <xf numFmtId="165" fontId="0" fillId="0" borderId="0" xfId="3" applyNumberFormat="1" applyFont="1" applyAlignment="1">
      <alignment horizontal="center"/>
    </xf>
    <xf numFmtId="0" fontId="0" fillId="3" borderId="0" xfId="0" applyFill="1"/>
  </cellXfs>
  <cellStyles count="6">
    <cellStyle name="Comma" xfId="1" builtinId="3"/>
    <cellStyle name="Currency" xfId="3" builtinId="4"/>
    <cellStyle name="Hyperlink 2 2" xfId="5" xr:uid="{267E623E-6B15-4CCC-B9BC-250C77BAA95E}"/>
    <cellStyle name="Normal" xfId="0" builtinId="0"/>
    <cellStyle name="Normal 2" xfId="4" xr:uid="{E02C944C-12D6-4A93-B617-B69D0B1006BB}"/>
    <cellStyle name="Percent" xfId="2" builtinId="5"/>
  </cellStyles>
  <dxfs count="0"/>
  <tableStyles count="0" defaultTableStyle="TableStyleMedium2" defaultPivotStyle="PivotStyleLight16"/>
  <colors>
    <mruColors>
      <color rgb="FFD9FDFF"/>
      <color rgb="FF073673"/>
      <color rgb="FFEFCB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spc="0" baseline="0">
                <a:solidFill>
                  <a:srgbClr val="484848"/>
                </a:solidFill>
                <a:latin typeface="Roboto"/>
                <a:ea typeface="+mn-ea"/>
                <a:cs typeface="+mn-cs"/>
              </a:defRPr>
            </a:pPr>
            <a:r>
              <a:rPr lang="en-US" sz="1800" b="1" i="0" u="none" strike="noStrike" kern="1200" baseline="0" dirty="0">
                <a:solidFill>
                  <a:srgbClr val="484848"/>
                </a:solidFill>
                <a:latin typeface="Roboto"/>
                <a:ea typeface="+mn-ea"/>
                <a:cs typeface="+mn-cs"/>
              </a:rPr>
              <a:t>Customer Satisfaction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spc="0" baseline="0">
              <a:solidFill>
                <a:srgbClr val="484848"/>
              </a:solidFill>
              <a:latin typeface="Roboto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'Input Data'!$K$12</c:f>
              <c:strCache>
                <c:ptCount val="1"/>
                <c:pt idx="0">
                  <c:v>Score</c:v>
                </c:pt>
              </c:strCache>
            </c:strRef>
          </c:tx>
          <c:spPr>
            <a:ln w="85725" cap="sq" cmpd="sng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1"/>
            <c:spPr>
              <a:solidFill>
                <a:schemeClr val="accent2">
                  <a:lumMod val="75000"/>
                </a:schemeClr>
              </a:solidFill>
              <a:ln w="9525" cap="rnd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cat>
            <c:strRef>
              <c:f>'Input Data'!$J$13:$J$17</c:f>
              <c:strCache>
                <c:ptCount val="5"/>
                <c:pt idx="0">
                  <c:v>Speed (54%)</c:v>
                </c:pt>
                <c:pt idx="1">
                  <c:v>Quality (86%)</c:v>
                </c:pt>
                <c:pt idx="2">
                  <c:v>Hygene (93%)</c:v>
                </c:pt>
                <c:pt idx="3">
                  <c:v>Service (53%)</c:v>
                </c:pt>
                <c:pt idx="4">
                  <c:v>Availability (95%)</c:v>
                </c:pt>
              </c:strCache>
            </c:strRef>
          </c:cat>
          <c:val>
            <c:numRef>
              <c:f>'Input Data'!$K$13:$K$17</c:f>
              <c:numCache>
                <c:formatCode>0%</c:formatCode>
                <c:ptCount val="5"/>
                <c:pt idx="0">
                  <c:v>0.54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78-4900-8386-46E947DE5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0977008"/>
        <c:axId val="290982288"/>
      </c:radarChart>
      <c:catAx>
        <c:axId val="290977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rgbClr val="484848"/>
                </a:solidFill>
                <a:latin typeface="Roboto"/>
                <a:ea typeface="+mn-ea"/>
                <a:cs typeface="+mn-cs"/>
              </a:defRPr>
            </a:pPr>
            <a:endParaRPr lang="en-US"/>
          </a:p>
        </c:txPr>
        <c:crossAx val="290982288"/>
        <c:crosses val="autoZero"/>
        <c:auto val="1"/>
        <c:lblAlgn val="ctr"/>
        <c:lblOffset val="100"/>
        <c:noMultiLvlLbl val="0"/>
      </c:catAx>
      <c:valAx>
        <c:axId val="29098228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90977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Sales by Country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kern="1200">
              <a:solidFill>
                <a:srgbClr val="484848"/>
              </a:solidFill>
              <a:latin typeface="Roboto"/>
              <a:ea typeface="+mn-ea"/>
              <a:cs typeface="+mn-cs"/>
            </a:rPr>
            <a:t>Sales by Country</a:t>
          </a:r>
        </a:p>
      </cx:txPr>
    </cx:title>
    <cx:plotArea>
      <cx:plotAreaRegion>
        <cx:series layoutId="regionMap" uniqueId="{8D6C15F2-C1FA-46CC-A8D8-EE95C1A272BF}">
          <cx:tx>
            <cx:txData>
              <cx:f>_xlchart.v5.2</cx:f>
              <cx:v>Figures in $M</cx:v>
            </cx:txData>
          </cx:tx>
          <cx:dataLabels>
            <cx:visibility seriesName="0" categoryName="1" value="0"/>
            <cx:separator>, </cx:separator>
            <cx:dataLabel idx="3">
              <cx:visibility seriesName="0" categoryName="1" value="0"/>
              <cx:separator>, </cx:separator>
            </cx:dataLabel>
          </cx:dataLabels>
          <cx:dataId val="0"/>
          <cx:layoutPr>
            <cx:regionLabelLayout val="none"/>
            <cx:geography cultureLanguage="en-US" cultureRegion="IT" attribution="Powered by Bing">
              <cx:geoCache provider="{E9337A44-BEBE-4D9F-B70C-5C5E7DAFC167}">
                <cx:binary>zHxrj904jvZfafTn12lZdw9mFlj7XOqSSlK5p78YlUrFsixLvsi27F//sjqd2UTTM5kxGtgtBCjk
uMxD03xIinrEv96Hv9ybh7vhp9AaO/7lPvztZ+V995dffhnv1UN7Nz5p6/vBje6zf3Lv2l/c58/1
/cMvn4a7pbbVLxil9Jd7dTf4h/Dzf/0VpFUP7qm7v/O1s7fTw7C+fBgn48d/ce0PL/107ybrH2+v
QNLffv7voXqwvrZ3P//0+Nuvr9fu4W8/f/dXP//0SyzrH773JwOq+ekT3JsQ+iTLOM1kirLffsTP
Pxlnq6/XOVznAkuWcvTbD/n65c/uWhDwb+n0m0Z3nz4ND+P40++/v7v1u0f47ko9uuKLFQr3qPB/
v/ztCX/53sr/9dfoA3jm6JNvXkRsoB9dit/D8X66++SGr4b4E95C+oSQTHAu6PfWF9kTwjnPMoy/
WD/9+qVfrP9vaPLHtv/7jZHl//55bPdj8b9v98IZ136s/0T3p08evT7lGXj1t14v8JMMSZkSKr/Y
nX9v939Hkz82/P/cGVn+fy7Epi+e/++bPh/uttp8NcKf4fEIXP7xB+HvTc/Iky++Ln4POHD9S7T7
4vI/1uSPDf/1vsjsXz+OjZ7/H4gzuTP1/Ge6e5KKJ4hxyTP2e7TPvjf+Y7TPUox5bPQfa/JPrP71
xtjsXz//B7v/H3D2Fw/D9NXp/gRX50/A4BnPJP0SS1Ac5NkTRJlkmLMvKRiuf+vxP1Lnjy3/5a7I
7F8+jG3+4vi/H2AKVZuHr8/9JxidpE8ETwkRWHwxauTpAlJuKoVISRzaf6TIH5v7d/0je//+aWzw
4umfYfB/XuD8veI73Pm742+l4jc1zr+++tvjQQEb3fqvKs4vznr56W8/p1Cf/L3+fJTwnSP/Q634
9ZaHu9FDLQqhn1OoQyXCmHKUEfnzT8vDb5cEecKYpAAkIqng7DFAWTd4BbdheNUyA3ClCAkECRtu
G9302zUG2GJC8EwIRjLEMft7hf7CmbVy9u/W+P3/P9mpfeFq68e//QxA7L781aOm8EVUUIEygeDz
+7uXUPzDH6X/j/aTK12pzLEy07stWz+W09tvDPHvS+bgpd9KNqxCnk4gOeUi13XIt0Hm+0SDVb4V
XW+rp30gzXHNxAtEkhcmJclO2bBo+FZ2Nwlsy6Zsjmgh241jOBTlavhhn+aA0G+ll2kqRlPL5pjO
J+RYUdXDlwj2ZVHwH5ibfS/ZaaTDKtPmuAU7X20WTQfTrNmrfXo/us83boLLYVuscObYLYMoaqq3
A0/ou33CoWL9VrhYlVgoD81xaht+UVl/t6BG7rQLoOtb4Zsca9oLZI5k7POy2p7WQ3WxT2+IEN+K
ZjYE6ZE3R5Ods/HO1DuRE2ESXlvXZZQ1x7Ea8bOR2eme6BqFL+uY/9RTWATMUs5C6noyx2kll7BG
f90wsVN0BEzRL/3CjTVHLadw7fSU3pQyebbL3CxCJvOCTsMKZlH4vu+qgldsH+ZZjErOyyA0hhep
bc47aXKatGan8AiY9Tw2I3WiOdZd/7zEc3XBuoBO+2wS4RIR6box7cxxWFdzvw1tdTlqnF3ukx4B
kxraBDeP5sjeb11Bup0WiSBZQr241hrELmNn8yHtdUG3dB/eWQRKSyTvhQUvqYI+D9WC83YOezWP
kDk3qe/6ejDHWVRjbkJdFouc+n3mphEwlTXlVi2QHGRmIKDIuoCuyrDP6DSC5ta221KNmzmKqm4P
lHGbr8L7napH2OR4mtrNgfROPx2n16672uWBNEImxdTqLVnNscbzTVsanQ+2+7LO+k/jII2Aycmm
ULZRfZSUXLqmbe+UY+TXfYpHwOy5HMewEH3UnDe/DhyNTZ6Ng92Hexohc2tR3deU62M51qdtcfRi
TZNw3qd7hE/j1imtEBgGG+MOJbPNxcz9zhxBI4DqlCJvdVsehqHLEV0KPH/ap3eETuj19lrVXh/H
iY45m+gnUs774EMibFq/6cQoWR9lhw5t6H5VqV52yo6gmZZM9Bvp9THFnOb1MF60ou0Ou4xCImT6
Wfh1GEDxZqmuWsJ0bnRzu092hM5ZKttiBoprEIuIfTO27Yt9oiNw2kBEJi2IHoQXl56IKzQEsQ89
JAJnY1ZFhxGEt0rnjB0GulPrCJZhpOPQQj47rmYpFIbgzYVOd7pJBMtRu2FFXIGb9AktRoXokWfr
m332jlBpyqSzzdTqI9eGmnOZZiv7INziun3VG4nAKYTznfJGH9XmC5m8UwPZ9zZxBM1VJFMoCUh2
yXrlqy7N23F7vcssOIJmx5SeZrGpo26Xj0kyPS1Z1+8rlnGETIfEFIIi6jiTwF9qFN5QVuEv/ZX/
NLnhCJql7euaZFN9rFJ1YxMP6x60jPuyMnQevlv4ZNgniNatgtXgw1BdSnuxz9oRLkeiTD9XILdc
UIGy5BCmZp/74QiZ1htYUqaNOi72uGiTZ3JnYYUjWOKKpnrtjTqiWoYDsfYDLGjVPszjCJZl14Da
nqlj7Rt7lMmY5a4d9hVAOIKkTaBPVacgvKs/ZKo7KoX2lYNpBMkEdVpXhCrwviDzoUszaBekbp9v
pxEokUasWyRIL6vuKQDoFnuH9xk8jUDph6VKpgRAGao7SMpNXk7NzpeZRpg0sk6XqX30FIPdUVb+
7Vhlch920giTy1y3GFcgXHiWa3bGbmfpk0aonBiGtcMKbrJoX7AMLfnEG70vCKYRLlNoTHo1g71b
2aNctw4XVZYsO/0wwqbWIdFrgtURr3Obo6XSRRfqeV+d/Ngh/q7/M8/THCRId2h5Zprlod8SvtMP
I2zqcihnrCAUDomkeUbpsdnGcp/RUQRPWsll7hVXR95jfQD+hC/Stlf74PnYs/7WLHiopgqtoLpM
umLrXvDu/a70gCJsDq3cfFUJdSR1onO9ZPPtvEi5U3qEzmTBnW6Ug6iybrkyZV7JfWUyiqBZucUu
TQ+Sda8P63Bhtm2flzxuv31r6mEts6XPQHKbOJUr8jFM0MHaZ+0ImUKg1SSPea1ZhvSgVmaLKbQ3
+4RHwOx6SYxzI0BnykI+b/NhzuTOGI4iXKrR8FYlPQj3T+v13M77yh4UYVJg2JmZt0kdvVufdsbc
bPNxjzlkFgESDXILMvOgscnTKh93JXiZRUi0dJlGNQ5QPchwyVN/TUp12KdxhMWs91YqNQMWN37V
Ljdkra/3SY5waFaClkAh3fRK65eKjG/sZJtdsUlmERRDO1SNCPAKnaGvBnnT9eWu8AGbdt9DMVAi
/EAhkdH1dTUdrdrldPKRzvMtxFNDk2EYAYYpTe/XdMu3jewrXWUWodBnvPK+BbcLXTmdy2btC7Jk
1a4AIrMIhm1lmhGFR6d2yXDcsCsPckp2pTCZRVgkrSCr6y0Ir2x3J2SXPlVsS8Z9ussIkCbjw6wz
ED/1m8xnFc6+Ssg+3WUEy67ySPYO6lfWDP27rXQTPxExsbAPQTLCZoVQk+iqg9rB6NsmDbmW68Uu
cMoInG4Wyswj4Kdt0wtlVlvUbbOvuy5lBE7X81kMyyM427Og6/M1dLvSjZQROFdNWE0xgJNYedHY
rT8jEvRpn00ihDZto0dOIMquHnfrSVTbOuZCT2GvM0YwHVC7wioNvmBI6HbdmOmT7jF9uU/7CKVT
t3UELwjiVvqaiTFPw769bikjiE6lwQt9jIhYZYUi5VjwrEX7ACoigIre1UkIINws7kLVN1tS76rq
pYjQaST20MqEsNXI8YWRSXriahX70qaIoCnWLcWlncRxzvz8dELIPu1hL2lfGSEidHLUVU3rN36q
9VAdhpnay3Xp2U7pETwbm2pIRZ6fqrlrz9ngt8vSV+tOs0cQFaLzIfU1RMJymQsiqvWouA47dY8x
mshtXbKBn5psnC6GaktPAZb5+wK6iACKyjbJBtvzk5y69lnGqu1gVu136h4h1LKyXsuy4ifVzChn
ZDTnRKU/cvdH3/hHApCMCUAWEp1lieanVjt9L7awvdAj2XLX9/qUdjXfF4JjOhBvVPAdEuwkyiG9
huyN8rKuyn244hFo3apwWFYHT5Fxe9vTnlw2Jmv2BRseoRZBzdiHreMnP4XpliV9uDBKhBe7IjCP
UFtDzScYtfy0TJIXevbyfUunaafdI9QO7aZCMxl+sivWF0mjyIu59/52n+4xats289iD97gGu9yi
pr1ZMEv2FTI8Qm1iE9IjAZZp9SRd3vF+u0GeJTuVj2E7ljRZExAvcepOfSLTQyurfSQ1ySPYinSV
ktfgNEuvbvsktE+7WS77VnY8yq2GQOdQV/BWm7qtr8jIwkWJ+M6CI2YIMZS2ma0gnjEa+tfMWfxZ
uVrsQxOLsFrPVd2HCgwT/NQeSiTcxQRV3z6fiVlCGRqJcI/RspWrP4XF8XzgG9+XpWKmUEvWplVL
yU7VNKlzkIYeZ4may11oYhFWKfD19EAhw3rd4NM4E38cabvTIVmE1XqBhvykEtCd9eHg0dJeT5zt
I61JFmGVN30/atGCz7AZX0A5JosNr82+GptFUA1bz0c5IQBTPU7PFauqw0ZSty/DxpyhlhIJRKeF
n4bFvuwTRq8mS/m+JROLoDo1je3wMvMT8u5TM3bZJfHa7RMeU4aqVhqFNslOk2H8UJFmOqsk2ceF
BY7y970HMvX11vDAT6tF6teeGnLWoqt3bckB9/l76Q3VAzEt4afUy+TcllRcJSuZ9u22yJg6ZFWS
dZqOkJr6aS1KSdbciNDug2pMHiq5X01qM3bCukVFa1deyE2X+8IMjaA6l12nCQao0qZNXpVAND2k
nczafRE4Zg9JMdEwE3DJAba2r7WtQ4HaMO+rhmmEVWwy34YG0NTXmOeobepTIhX9gcc/xsI/qFdj
+pDUuHYtHDg5TWoc8zD243XDwnzZuF7uKyZphNggVLuVHYQymuL1fZei4TZrs7X+gfX/yRPEVKKa
UgE78/AEQ+bss6E0toAmFjh/L7rwg+94dJQ/sNLjcYNvu4aq4xKchrMT6QK/zFRSvYc0vtzvylMx
p8jOtU3hHztxOdUXXVqL8+jTna3lx1Ms3+reCl3jZKbstG1Sn8NA21M283JfJiFRjsUVKA5pj51k
VQtYBJbiDLwAs6+/HDOLDGsmWGCC6yia8CMdcX0EMjfehywS5VimUNJ7urHTytVytHZdCtL02U7p
EW4ZkoqPG6zAk7FqL1w9lPnGum1fsU2iclg9nmMRtRGnlUGsBLaivBBS7tsIkzG7KPXlUlcaqj7k
2+5T6EZ+vVR2fb3L32OGkWdNOacdVH2eYHzEyZJdDL4W+yrWmGM0ox4gnUC1rf28mkOixfDQVQ7v
YwDKmGcUBB8WtoL8cV0xzeUmxLmcabIz1sRUo5B0jbUS8Ap0DP9OorF+uhk3/yDeP1YDfxDJYq4R
sGjnmj965UiauSoM7MAVWeay5y2pyaFsxi2fYKuy2gcCHGde2KHQWDTiRGA7+DDSoXvmllTvW+rH
LCRYtG3SltCgq0zf51hTVaQp7O3vc9MIwDwsPKAOiuQVCAlvIKsPOTA36Kt90iMAM3CYlQaop0a0
zNewq+hP2+D30QNlzEWC3aOhCRXjJw4MmbSwMLOiLyAGkXLfPlpMSUph091UEHpOfYu3t5Ms6ech
kzt7ODElqbFkmWcmYH0yh/BqtjR9TsfK/AAD/ySbx6SkFjvciESC6XHqX8zJmhaiNW5fRoxpSRKx
RCV2FKfML668LGXqXnlw1GSfW8bMpAROd3UIt9mJDVOWl3AA7pSsUO/scsuYnaR7Oknauew0jpo8
a02LnmZjI97vkx5lXNowaZWS2UmOcKAumUT2phq6ZV9vLo0AOyI4EplOJDsJ2uvLblVtXnVh3hds
YnqSLd02yYRnp3JrgPzESHuvKuIe9lkmKpJXOHOQzRMGu/NkfQuEMN/mGsibL3eJjylKXKgmq8Wa
nZIG9/7ANsObIiuzdV8DLSYpMWTHoKQrTytsydy4xmc5QgPZ5/IxU4mRafHY2vJkWBrOPVrKg2Pa
H/bZJiqQXc0yR+Hc8Ik0PsmnFiUXnTfZTsuz78vveiS1gdPK5WM72lwvXpErIKf4fXCNGUutgSNr
VTOUJ9VBbcwRJc+8nehOzgGK8FqrMmulmstT7xA6JiTRd61t/cd9ho/wOpBxrSZsk1O9AJ2Qzxqf
2Az7j/ukRwlWhMyV0LBITipr0zecOHPoFjV+2ic9wuvWNQRBcZycynYNx0mm5XnxSbrrtcJcgu+d
prXJoMfMlKdqNKZIhrV5IUhD7vfoDgc/vpe+BteEx022kyEG36g06V/DEt0U+6RHfagNqdbzaU1O
cz+H9zhUzVUp0LarUSSyCKxU6A43U1ee7Lbh09LpZ3XZul19IhHTmcp2SfvRLeVJsKQ7pmso87Ap
tSuKiZjSVM7cdkkzJyc6s+4InH99XvCwj3wkYmITLslUsY0lJ29NtV32putfkZJ3+2KwiMlNVeth
p7QiySkVDQHCx7J0aYGnGu0ClIjpTVoQmfYU9G+R5wdoIZfvCK3rnYCK4NqwyYZRQaiZ1qG/Vuuq
L2kVfrSo+uOCElLF94CCPI3FKhlE4XUylxjOy71t+NL+aEX46Nv/uGaDZfz34rsOVmqrW5KTVBOr
inIK6Ayn3KZT06umzrnjYtsH3pjrBBQ2aVoaktM6iiV3FcFwwMiNO6VH4K0dR6auNgjJJJArRCua
D7BG31X+iZjvVAOXKkvaqjqPC1voFSKMv3HQGBlOuwJbzHpSmVt9kKg/+yktT4yw5UJ3487oIMn3
L9knmLpWuPHsmsocpnVubL65evu8T/ko19KJqTqFw+1nkYXh4BUbD61q9L7QJqNcq9Wa8Bq3yZlO
UF0qZ5Zzr9m+k10iZj6VKkvKhLDyzFY7K1jnJ/yBzkO1q2EkYu4TgkMHamx8ddHgBNlDZ2FbnDdD
2On1MQNqHnvnSgljMkRHUT7jeXrqu6ba55UxBWqDaYE1RXi4GCdPk0Nnqg6Giah239FoGJDzvV82
kyVtM8n+YmnYUHQS3qqFeSX7HEdE1XHPJEdlU7GLTsPUD+APdLcN8cuu9rF4nJn4bevbNdMCfhmS
i7rv3q0Lsw9GLOOHXYgSEWAHOeulrdvucibU/MpS3X3qvP0ReZP/tm/3B1E/ZkE1E8IrxVN3qVZP
qmsG3aIyPQtPCLNPV6ymJIMDPqNG1510gt40y5LIM07JWj4smKDHDTqrh1rlaHTdpHOVbIm/Saiw
sy2SZiXiJHii9MfeLmubC4zCSvJkbTm+Um5qurYgW5mhk65n0nxMAungXNhG+ZJ+EI+3BCgg6357
ycM6mCtbZnV7I5TQ9opVsqs+THbqpzrv3BiGV6jvJ9MVzeo91Tk8RFl9TPCSVmXeIOz0p2RJ/LIV
IZtC9aZc1dLPOaWJAqdz61A+dynV4Wnrw8aHYkxn6Q8pbZvyZTfDkIobB/u2W3LQwBnVL0U/Nemc
L6FCQRzWbmXDWzMMRp3hzIHtLjM5SZZXfm5nd5iRMS08v5q2/nIbaAaHBlCi+ve4M8Q+ky7N+rpY
Bsr9U5fNuG+LZQlSfmppl/bPhGI9et96M2N0mNO2htWXg1E2YigsVlUFD+tls06XM8js+8PYS5p+
3Axiqs8X2eu6K1YSStTmwFnGwuUZhlJxgNZOOXfHqlxK90yv1rPboWIjSJAsSTDLDcMZW48VkAfY
cz3aRj/L8DabiwzWJh08UEndevJjCuvOTcra3OrQdgs+QIJ321mxlY0340RMb/I6AZ7Bqy1j2JvC
wwDSqs9Z2KruQqGUJR9a4tfR5jWwCoXK59Da4KAHEtiy5F52yzgdgM9IhqWAI3krIderNjO01VC6
+i0vgxVMn2GqlKnGot/GhMFmiJUlr4uUZLS7m8m4LG+mGkv1pi9ZPw8wGQDm3dQF5TjAsISEVERd
8skx/ms9YqM/eySSTZ+ASL5hm888gdsKrmYdLnSAp0rPa1uOJsk1TEdIUZ5aAd97tBnQ5AATi5vk
ZzRWiui81n0JZxN7OdnkfbL5ieliUBvZ7lOYrZJ8okiY9gCnKHxfKN1l7ZF0Sx/stV2bR4CJ3qv+
COfJXRYOyro5C9e0diQdThoJ7u0xyZQnqGATUaU9CFm3ywOGfsP0UrbVWo8H73zJi2aqPvAwOHHU
o5d9jgYEbj70ovb36Qg2+tTrEXcVGK9N1yuLbCuewiH2Eb+UPex3pjmsG81ty3l9taQNepHhzNBP
bpldU8CIr+0eb6M+ELoKGPuTVttr2qRL9aninNBzJTIltrwiQfXlTTDON08X36x0mYpAy6yp3k8K
nKq5oZvKcH0F02xCbYqlyQb1boToQN1x0EHU6oBLvrgro6t17g9Ahax0f6Bm5cs7nqBxewjJMHdv
+JglQudeQRMZ5ROhfrtVaQnp+GAgM6S2MIto9JZD9EhCnzsE24zdaYZ9/AFfCDTDhKszHHXkY5m3
MHWo/wyHw7p1ySuYyOI7oJDDYBaZe7pKPOdi0rr/AAPdgL1wClDMmayACULN7PLRZlOV5VtCewRm
X2HE1XsGoTR7OWC78A9kTXyF82xuBwq6LfNCPxs/EHdbq1H274NrXdrmNNBuelYijcPdUs3awKi2
FXX12ZRsHmACVd/BpKgcTaqt09NScQE0gWYdSIOfNnOK5jQ31PZkPgyyJMAjMDgZ0/dhWlZ0FLTh
9POUwCLMXI6uypw5iQYa/acU4XF41s96si5v6jBvJwYbIeKVgskM6CO81mkpcxkkq9scUsOSvZis
xwLYVg44KXCPsGH5qIkbKvBmHVA65EllA57OTd/5pIeJQh2vnnNFkv6APdvQJaqph3wh+CyrPOmX
8tPamFndNsIs03NX9gyfwTYVvTeStimcMJRMVm8g0U+6yY1s2mrO1dja5VL2dOsD8Nnlgqoc9odg
D7zwdLZ4KcRkpuoNzVLnL9CAx+X9aBZqk6JntWqWo/Gh90vRLQHNt1MPceZm1Mo8DuZBdVqkUE42
h8psmWzz0bn0Vijqp9yatcY67+gSzLuknPjmbqG212Y9DCzjurteRbeJ45KOXbiGnb6EoRxjO05n
oGundM1L6I0ZmbfIre1HZgKtWW4ztUBzUvUD7XQ+KZgI1MB0hko912IaIGSXZaB3MHzM2Pawzdqn
Sw5nb4aO5xaDjHejFNn4vG0a7exZIa0aebbpPEh0TKs0qa+xs2hcny9ybrAtsnHF1XZDtg3eVd6n
3gxAIPArKtHB4aTV7cFyeLm26LvHxXXuN5J0t52XI8AOTmauuD9uCzT5bO4HVln53PRL9aFMHIOS
IAweh4cUnn0rc0Gwnj/RZcmAlBbG1C65SYL1FxTLhRRVgsqlz2GW4CJfoikF6mqVjfWc5cyssKT/
XJfbvPanDnaOsjcQARGu85nWWXJCmE8TPw+8mxudW6vw+nHtt264LnGzoivdi215bc02zjcUrc6j
wvdNzQjUFhsEgSbvAI+behOWERykwKMX6VAQRmDuerEG3Ia3ENV18uskVoGrXOMWeAqVzoh60Jmx
w+tBTsRVZ+qIkmnRG95nTxnqZcWLaXLNPBZ12rn6YrWhRtkhm1PbzXmfQHR6uSRihpBMaU/tC8IX
Pl2WWfD8dkMNmiuYWVKzTRfY+8qOxQA2kXmSVgRYHlCSTkvRqMrBsSKRYmJeZdZBKs8dU8z/moRl
rh46XdKxAzpwu0xrPsNuvP6QNR1MismTxWjyLp0zTVTeDw4WMHkppy1xeVAwQyo9jpvtGsDbCgUh
y2dDV33N+DzwlzM8c/aq3lhvPLwJnPbQhOV9baH9JTnI41vVdFeSlky/NdvE7L3AdYfXnFoS0j43
2ZDy+5pVkAZyXHNTv6vWqhwqOOubQO2Th46V/WU7Kl3WOSXAKn87mr5GTV7PSCVgQO49uFa51qI6
sxrqWFzUMLZTQxycWZLCuQ6YATNBBTXAsjivW9OVl0pNI1iwWUP6FGoOKt8SA7Hx1G3p4xgxu8GI
uPerI01zCj1ehianY0vKD+2WufEWVGEQ5MrJtOP1gtyIX/CWyiTPgJmX5qK1kyuSrPGpKTTM3itf
upKG4TINxuDTRuH9QME9u+yNFyoMcORxrNYP5SaGZspXlZDW56lCjt4kG2DiFq0ayGd512db4/K6
4szUEGKNz+DxV1dpBlljtq2FkoTWtDmSbKzEw9jAdLQu7xDL4O9bDRusF6yFLPVuW0shroKWjr2v
Uogn95sDg902g2fzc+VaMj8LQGxRV0CFEnDcDpbPi7zydhz857Tb7HxEMLmUTfk8pcpdlDPR0/um
g7EbrwiQEtXLeUnI5HIHB5XXt009Nv0F7MeqJc0l4sK9HRDsmX7aWpna9EiGOfAlx7BJuLxush5D
QT9XS8cu/z9n37Ulp66u+yrrAQ57ILJuzgVQVVRHt92ONwxHoQAIhER4+vOVV9ietbq6zphXc7Sn
2ySl/0v/OoiZp1XLhILxlDeebXNSaxv/JFaKGPurZO2HGYsI3g8QOR7jHSxeja+A+TwMt8vWqu2r
D/He04pSK75LrTfC3jxZ/83SW5hOQj5y+p5zLlxboEIa43tPUik/B0iXEo8SIESwHwXm4VdmBszJ
QsY1jeHKIjSEh5JEP13de/RpRULAguJp9vy46nwE9RxBQmfTc6+Cqfm20jHD42Opl+tjOneqxWxT
69TdM28VNg9YM3efwgXHyFzrJPWPQjM93I1+s4QHZ7mUz3Gsm1bmTq5BWykd9QNWARN+sFBj6Udb
OycPRkyeN+TO7zLvudEDC35KNc32gJ1vWPIOAjqSY1tMMSqJCEzpT074d2Nka/qh052KsGZnsS4J
t5l+v3QR8Ei85Q2TwGzpBFOBTXAke/LMPAF6trLuxM7FgydLl7kpfesxswQ3o2NRWoltVgpWhIWq
h1BtcmN5u2H1eV7ousRF3422x27DapNviTD21vfnJnmLHL/WyaLuUjWxXUYyG70FDBebvVicxEo4
R0hy20dbGvsHbdos3fnaOGZKWJSjeYeghqa7w+EzdTdpxkiya41lbC9CzNCbduuSehdHm0Cxm3Iy
3NVO+qcwUttzecvbaFbQgpBZTkd/nWxWBqh31YOD+MocbbOBY00atA9gucUdJlWKFhfJwxJnWXjX
+qBEyjjxhMbNwv6V5iHLNv+2HhPZf2dJm5lPNiUDeSQKp2gUcLAoJY9MGznuRjON7i6Zg0Qfo3qY
sOYT6/wjj0ay3MFBigSKPBFTRL/Inutln/HNdc8SsxixDmIjw2EMUdQ8Js5EGkerTKSNA2IU0PZe
yS7YHlyCF92pwnqLH4hjvLLI20rI+XjHi9pbU4rUzSDxwvzvgRxnwF7cDsTrRcSOC3ZEpLe0/QAV
DHjjL3/v3z/D5YegxrxyY3NUiz/cgl73H2TX/z0DALKd/4r/BO1kU5yTtmPcNyafDRme10zXT3/r
3s9NUmm8jUMX9vNxSDi5CRolPp5OzFeIrt+KrBfwn3OXFJvJyNaVy6PqVaPFLko25DWSaKyPMbRI
sK4hzJGVUxJ4GPZrCx2jj4Dvn5xK1FqiZ/EDx0CaAJji6LUtRaTpuOZeNK4hNqIM9sMysm2Gv2B0
xOpDMPRU50LqIM2Vgsb13qNpZ26Y46TBsDbgxPxtVdeSXE8I4ksPeIYsQiy9Tkws85GmKB/2bqTT
UpmazL96fyKylAhRucYFX2BokjOccRlk6DmzmqND7p13o3hPvbgMOfH7kvYbYJg8rrcoLoEmeJkt
mogCP4NEjngxILHNX3PsGLPZkXjyxv2iajNWtA2D+C5xtScL3cExZ3fRJD1qAQiM6B/0wAOV4ECG
DkI2m5CWbIweHyEYnO0DIgIaFA+myYabk76s98q0lqiqd1x4VsY7tfQiLYOxWWesmFh3goNMWLAc
HBvJ/NyiCRHxcpW4tlnyWtUI5EI1i/p9PQxhTADEDBszTeHX69CXwYzUoV3LvMW4myhbqHtos4Qh
D0zOZu54+XtK/CtH/s0/v94/89C/93odOWv+1bToPz/+3/t/d0L63V/nf//81Pbof396dD/HyY4/
/3H/VZt/7G3343czpPPfOV35P7+EC//rTk7B8X/54b8i7C+E1P+zz9KF//n/l2B/4gkuJ9jvvyqp
vnY//nE0p/+YfzcsOMXDn37z30H26f+kJA2RRR9FEUDPEyn8ryD7BH0HThnyNPQjgr4+J4ndv4Ps
Y/I/PiFwkEQRMuZT/yT//U+QPTrSEIpw/BD/ZBZESFD793P+5cMhuf9fP/8ZZP9brvbC7DxX9IzA
KWrAK6qSS/y4NNuQ60nygscc2AmQjy++kd77NFTLJy61hLhwm/etJhAj18taeGqlB3/TfOf8mnyQ
I2CgP97nS3eG59cv3dmZwKDxhO9MFslKhU17G0SrvpPLOBQCiS33QSfrwh9pvBtYCtAP9OK7Kdze
A3wl+8BnwDpXYDHAMxQrfSSH7euAD2XYG2DrfbbsgKqGb6/c6WkXe+lOz1Y4v7dJM+E4WtmaZEU4
2hElM5BZxFc3330VNbcJoNid2xqpsP5EvJygP7hCfpBLVz9b88LM1NQ1o6z8IYC3INVz6XEW7zIg
M4A3p7YyvVYFEAtdagIRajLU/ArTe6KmX3ry0zr8R8B934UcpVIgq61jiFDSieNPjPXm6MUmLuKZ
+m95yFeaT2l6Tax0eq6XrnlGyDja+4FH4MrVSN7cz61N8j7r1H1f+z+ufNBLj3XGosIV5bX+NiPA
l7DmdtMIRVpwXnluEw4yeKuRSRVJV1C2+kWq265qNzfBGrE9SDWXNPaWkkbdck+l+QaDe7TveWAL
4pH6ykf/nWT40ks4O7B5HppXmWQWVSDFUnSGI4I0681eZSGtws3vbuZYyRtGaVukddI8JwGSiRkZ
KLKjfIbJixIadE56COXS3PgzCR70hvT5cNDr0TfUFnJITd4CP71iXLv03c7OgK2Z+aSyuKu2emkL
QeOhXBbhDp1O373+3X57gf77raDHzl+Ho23AqUcC0jIFsuemScMhb1BiVbECuOdalFbByPsD8iD7
cuvW8WjHob1xLTgkf7HkKRs58hPGJn7sJVASr3Hy49SxqMKh3lapWKfCBUCrETg+HMJYebsF2Pgh
bggU6caSHTJyiyEKll1b18HeTVt3GzkknS96EaWO8cijISANWDTkRva6tAzbRBLS+4DZDEjxGF5R
ar78tgGp/vVViBVYVBIlfQXhvF/0moMfS7Yx9/V6LQ/4wsoDK8pfrzGMaRKgRMTrToXZczWAGMNa
XUCa+KBZ+3Gux8/IKezKOUyHPIMN+MqH/i31felDn624GkguMt6jvpI8sUuexCJKUG+S6IPPGvez
dVna5Rlw+aTM0lVGhUWY5sHQCXzXkCyxX20Tmfor1dPF2zlbgvWS6X7rY7xs3YZ38yYdolINb6t1
jdO876KbLmNqN8RhmAe2n3cekbJQgCoqFwFIen34/5Yov/RWzlZjJFJguvukrxhlvOoCwXLp1rEY
Wf1+COew5F077IDSejlo12y3Qcp/gJvIXtkNXj7p/+6h9+duEPt+5DkEflcISkwLkKtZyXo13HZ+
psosSK4Ftlwa22fLc70CwthcpiqQgO3BrEmCzZ4OpY/C7/VXeRrBL73Js+V1VJTCy0hlBepOlHVA
4lLgxI8vSOxxCAXZCUA0H1+/2KV5dB4mYgGFby2O8dXSmXC/ykQ+KTgXsPFg1ZEkMWWQgRX1Iv3L
2mgsk0V0V2bSb7vUC096XjunELSt6zB5B86b7sZopLv4fbZ9XtE+6V4T0u3iUNOt8Jp4PNQ6YAte
swOMGaJ72Td/woksn/DiWRnOnD50yFwJQa2stuLx3O69qGNVCBZMg1qk+pv0s/ZTxBt9oNZvpsIL
WhzVhm6AWolH68LycNbr4zAldDq8/nrDi9PzfOdZQJiFKfKWwTWuP06pISwf8OQ3CbLPIMWP8d5z
aRLQeHZU6lYxQNPlZOvFgjmiCsnbU7LsZKLH5OgZeS+SGYOPn6hc5TIJDhW4UQ5k1f8OZr3+OoCJ
tqUPzvmzXI393IAfgA5r6vexTfyxwBaDeNw4xl6Vz1PaDfnaNVQegO+gM1NmR1H0tCZDkWUpwmtA
bYDAd+tDiHAou9uUpUe1mgzHO068badAc2S530m9lAlOwIcEGBIpeRjaN16gAeXMaZc+sjhrUezO
jbjl1MIutCRtBzLLBN5HYKryF828dtlBFtC3dyvCJj6jeUx6y61YsgdHAQLHCQL7ChG34FB1OAY0
t2IWSQE+eUh2je7YPlx6Nh2Cpk+eQyt6jifrt19eLbzvs+B0F9SACKth7cKnIdsY4kmoF92NIqHP
q6ExQWBfzTUuunZ1yVwL653q7fgppvUM8L7B4+UGIPuI6NtwjO/WjRWhdwI3gr6poAe4Uf7mqRwE
DojaCV1NXEECK74KZJc9h8hde5TG6ePQqemA4HBvOjFi+PLKhRqZdUo3a46GAjOvgCNwr+wCCrnD
yF182BDm9CnxnQvzWctMFjNJ5GMiUurdNFNsfvZA/X/NUA7cgsvXNgeK2u1wBut3JItBLnl8hLRg
ADPtCgg7W1mQccmekdCKr0zkrN6CIOjaPNYBglsS3iaQKfBe5qOJ5JwPIeigPIX45BNw8q7O141H
ZBfBSajzJmBeW1FEo38Sa+IqhDOM70UnxFcik+R7G3nC5Jb1a/d+mPzkO40dFJpplCxTKRz0208J
D7uhIBqhqIUUGc7zAeJp3kZt235gICRZsalA+pUc7IC+NmTy9zXgyug4OBMcpYcIaEj8xw0pdwZ9
Utql53cmXmmYA5SRI1Ql3NVlks14M0vj26dowrzPO+sPc5FB7fHORl7ASj4FEc3J2qkS/EJStrQh
eTJSehuPvS0F1Eo7Qup5yjO0DSgzgeIUqIvYPiN9f4B0g25JVwT1Mr0bdNx1QNBWT+x9qyf0nYma
QwQIB1R3Q6cnRjCuC1tnGOyAsX/FTaenPIpnAN+MiHh3IqRiSAq2ofIoafewzmvxOE8keTc1i/00
+p6edl7SYxxi6LAyXkIchhI/FE+mQWvB3LQJ/dZjrg15qsb0XW1198sLTfI9Y45ARrm6+OewhieR
zGDHoHCDde+FZ8BbJ5AxfptO6F4Rm7D72bNIvOe9AUKIsOAQzcqiZYlytK0FYTAQ230dfGYfLAmD
j+ti7T7wRvucjFyb3NQMjatg3tG7OvZqAhQpeMhMhpY/OmlybS3/BS+hRmg/RFNZE+sbptbleSIt
G/NFtMPXFMNJ5k3rj0MV9K3Yy7kBkK76LPyMfMOl2XWsv5lbvzkOEwKrikmQQVcZNCa5z1ZIdqZI
gfurLdm+QU2ip2o1Yt12ARPeXW222cBoCzdUPagFq+akP/skXdsbX9f+PbchBO+2mYDWa/BTkRH4
8Jau2R0ZNjnt5DjsQfHNIDxYzR/IgOmLDzlU8TAvST7HPbcFBTWRE5Vu5dpygJzdtPLKrRGMWONC
6c+493m9a9Xsf0cW56Bz1OuxPHZ0sd8GVATdPtNYPHOdEtYWSeSp+5X2UD+pZARBJicoAsYubbBZ
MqCBs6ejzz6yHb46NWO1VSYI25y2A9d5IiXGs3GurrGGY80s+ACJTe43TXxHlwjz8PUt8MKB6Vya
Osyhja0ecT6FvGsfdyE7qjpZ834L/16UGMblX2uBxbamHdq+rxLoXOCRWcOKifVagOYFlDw5l6dy
5KDSDT0Gq6VFOz3SSf+A40QEKR1bi0j25p2K1bzfIE3KATtEBXpbJDd2xNGQ9rzZSxIjRzW2JBdR
HyPzeW7ATAn+QbuUHLxggu5LGV6J+KRTgiQNcgm53QxRZh78UUR/84h+LoRdxOxqPm2qEnYWd/4W
o+OO8Dj0jJHbo0MjiHzWn2YbNUeAyxSKomG5I9oFu9eHwsuo2u/+4n+e0aFiHFuZDbyKV+E/ChdB
AQZ7zSdv8LYc9KspOQtZ5dmuOYiNrfvXLxtcOFGfy2jXdIVoyEa8qiHO+iHCeYr3HOpHcvK53tmw
TeI8ZrYGKzq08/spjszXCeUK8EiI5P1DAieWyzdqUpojbq/dLWTmvPAjx/EHtRs+oPJHaySSxG7d
LfCwPHvqJD3yQQLSHQSDyWdvWtwtlGY99uAorLGARN21uP9L7/WsJukgBOqxuDZVYxcoXqBrBVCk
1bSzUKvEOSjjGHUqNH0RBB5196NBYxpWvv5yL03vs2plG/tuQl8uVtEuaT8nbFl3Kxj0EoqEa1Gw
F0q7c+vLuPB0HDIjcHILikV47aHtoL1pPP5jCddrGWcXHuTcAcPSjXts0LKCEjm6A0UNgVyL4/ec
4JD5+ru6VCSfW1+6bks8FS6qCuOt2Y9zExWKh8C9156kkGxiH19isb7pOjpi7PX0OCOi6OCzoP55
5RbCl6vL8zjgVHtQhQChwiyb+qOu1/UQIDX5DZETfxoQLp1bALrvO9JZQBthfC+GNn7aBjkUK9Io
Kl2r9kpxdGFanptpupFxDMxJVh6OzXkGdqlo/RiWINV76G7Qi11KV/f3MKlzZw3QMIg8J4bguiyc
iyRhWdGHvQdtSd2/ff3dXhpBp1f+ByA9raRPlzE8gYywmQ4M7V/qWLpSzpAGv36JE5ryQsWcnc10
vdLNSYDcQBUhxgvR6rmEreSaJfTSRDuby1k9AwtIk64aBvgwYBl97seW3kIMuebzyuYr0+DCcnXu
tencjDZhqO6rZtHbzkes3YNi3j3T63bXejHAtBXTO7ExjjiuvtZi4HfU0Qvv7tyD0y3tQhrT9VVb
+8MHmXE8EFQYqEw8FW2feJj4DVT5gqHonRl3+ajqHgoJCWlLUUO+cgfpozmJMrn81WV9/6GPUAjn
Bko37yB6Jwcc6E4FtbdiLd46hRU/jIf+sOp2fqMR1/UpRf9Jmc9j5x/R+qU3ZZ1GTZ2HNY6bB18a
1GYgqikqiGwdn4jUEP21EVRXxTIZ98TR2uZDt7ZgnSDh7a858i5MxHOVAUIkwGYpKaq6Bwii5Kb3
2qD/VKgyUwguxaehUeyKTfJlfiM51xwkZA51n2kOK9T2Mwynp20jBuWLeFCeIweTzepLxNJrQbCX
1tzzrFY/EavoM1BUnW3uIBSyT36P/DfdZNCbBlB6o+EC3SN59isEdt4nGkuoxLFbv3l9xl5YFM5V
AZLUSm+LkFVkgGT56HNRErvxY9AqfoWQuXSJM+h1BOWSQd7XVKDioAvlAbSrLe9vca3tyi5/aYSc
LW2IwJGthiy8msI2zBl8MzusEfJOj0Qfl8FZFICR9/3vvbKzRa6jNEPlnrEKtaMpoNdGHFpIaQH5
dbp7/RIXVrrzpNcm7ZZtQwlUtQCc3pBNe3nWwZ4BLfV2qCfIfV+/zu/cxRcWnfPUVzoNMWwIOB6R
OuluhV7DwiRoq0D6KNojLNe7t5mRN4gqeYRHnr5JE2goUrgoP9guIF/7GU2N/Yb87FBi5F1P+hz9
q5/ZLLrK5fCjaMQaDyZvmPy4cUQubZNipyK5K2YPcVGrZXLvjdMBmk0gUrqNT+GnKXAPJx8RUf9d
AIJFhcsnVB8erRzsuLmfNkNuexyAFpj8njp83l0tR2zHYpa30hp4o0yQlFtSf0knPuxT1KBXBtql
6XoeZDspDQOGH6AKyDTKfdH1Il+nMSkS1SfloMAaNGPgV6MHD70blPcZqktbhIipqF7/ZhfG+nnY
be+Slm4hYZVpU/YlSLfu3RYMCkZ0nxTOg1khH/vI/Xz9ar+DpF4YIefpt+ngvH5aJavUlPr3aWL6
XVh3W6XNOB7nJWgOU2ICVI0mKKMUIRYQZs1FG7gIadxJXYDdf4+0QFqYVo6FjUd/D8NBtDNttH1J
QLWcKEJRxoEKSpThbe7W/loK66VXdZpef5x4KKTTXsotbKfLYnZh0Pk5FqL1YWvjjxOX/GmDBeLK
Z7k4Mk7L3x8XW1cmRQu9ahW0qMUh9TYHX03rt9St7pY77m5cIs1to5rm3SzbvtgaAb0n59ee9sLh
6zyNVyDehns+TLzp5CXlykevaDnzr5yKLjEx53G8gxlh/GOgLBhhgG8DwiuoxsYd9NWmoMuS3mpv
QZZdu4njGA8pdHr+taj3C1tIfLbk+mTj2mkcY/xYQdJgl670peDl3AXjlee7sOT+V2LvwEW0rV5T
pXC6fArrYLn3Tf3dZFCLI3cYuWqvT6jfEVsvTagzxiVbO8iJkEZUSYQR5QNd1qdw3trbeZymEi1t
gkMWK38/K0bKTSz8qQust+MJx5Ev0QI0BrD93CzeunMsDW/WOOhKkyb1lQyBC+/6PAA4ZAxGR2RU
VWrsxFMdAA4mW6BAmcTkw+vv4NIlzgh4vma91ZCEVxMymQ6TZ13R+Fn8GNkovrKzXTjGnUcBm1nB
9hpyXMIIc5PCCYgEaUn3QdzCZK15UEBzbCEUttfsypce6myx8doQfp1s4hU+31QkSyBvMGQN3Ju6
vXKS+h3+9sLYOc8IDpeJuUhRIFSp1zwDgm0Pjo7BGxh74aBFP6ESSkf3DtcdjiDZmyqAj7GAFXlD
MG9n4d8kchenS1RsdFElWgTYAiAC/JXjcq18ujCRzpOGLRp5zSCHOMqnGGjuHMtiFem676HELVKO
TjmvD6JL1wn/ut7WyeAF6OnBK1g0IFrt2/V26ynZN4DTiqZF7uXr17n0Xc/WHtp20IjBaQf01m5H
5RZYjmrq7cZZtVfWhAsr93kCcQ82cCIbxAnOzfVum2h0Pw3duvt7D3C24JDELR1GfVeNCU/yCF2S
dnWAHSJbwdr/rUucBxCjFeEUIi+8q0THwCkFWfpg9PaYJXS+sr1e+Arn8cOMrjYbV4WHaGj2qGUP
iVk/bm+ca699hQsD6jyD2Gv4RmlE24oN9fShrn2904skx8SH8wxS0On4+su6cCo5TyPGrY/oQhyK
CjrLd4nRDwzdnnLSe6p0us79JMqujKtLL+30538cSbYEG8u8ooyIOvABQce3XKQDAYqA/kmvP8wl
AcF5PjEswR3c705UQkDHN3tLfeMv3EPXkS44zLOZiuFE2QSAF3ZckikfSQR3zcnyolI4u6/cxqWP
d7YaZE0MWKBDGd30AzKvZ5pNpiAxIV/qodc6D1YxHl1QWzSOGu3XFtLxL7E1ui+cjcLv0+rNN1TC
fhVJ1ByQximUEXDeAEB5/Q5/j9QX1u7wbB3pPR6ffECyQgh+DkO3/26NLLh7seyDEdaZaQHcCukh
RL1JnxUGzusCPLLdU2bnPFLoKg/p1vrAFT7jDI802N50+GgZyQ5TDKuha+tlB+3lVrb1zHbwm8Pq
JJvbcTZoCdWavDcbOEFkM/hgC+/cypKPSZO5Q4uU/71l4y2+4HBwk0fLiLPgYfFNScZra8SFHfmk
1/5zMCKMC8EUBAMF/H9wFGRBnUIFdLf+iGJxC3556BuWs3GkV8ZE9DsC8KVXfrbyQakJ8/DSiGre
qA/Bs+2zWz7AroxYELls5eJbeC4zldBC1157T3jvYHxAGuq4Q383XqJ8hCQlA2U8FvDxjjBHLho7
6iy2Lh/jkN6AfHMF+tPAu8EQ7CA6vNvCY2r+0qLvZJq73qsPExp/HQO0UwbzDwz2B+IExxkdYcfx
DXxn7hGypvCdCsnyxg5J/KNBF0JSGt8pU0wG/ZJm0NA8pxPa5BVI8a8fW1g3kNrh0fktA7XqSjQ/
6e3eY9/BknZ90a518NBNBMEMKLvAQQRbewP3MgKI6TYNLI9DiJXS1YdCnYM+XHaES1hC1yxVld0W
sIIeXFiqpCuR6a42yFLJMy9rfyYAcsoF4XBpyZfQfB6dz79mEwxihTfAvlLMfuyvuLWt/uoTu3zo
/fbthHDxm3gFv2oIfdTMjaCyYdvOo7GxunBr4oFZMGlwh+wC38+V30Qur6kBH4/n4z+sUuSuFqyO
iyS0tS0hkhn3CTrgfg3S0YDXrAWkevD2o61liKzcT8ipCG5U0w3oQZ4ZhLUhtBGhJkGKrAvExIyk
gAsKpk4Pj8Nn26dFhq2redNiNUBYcG1FWAArX372vp7cWygnh7ciFQ5UeYZUwpPIhX4fEK4RFhv8
qRVD7mSPAJCktkhcXVsPai02zg8T9dSPTo/xJ7WiCs09eNHrIt0i8SGDCZ7nc9DIjzNv4rRY5myp
SwsrzntkYSyicEgf+SYsuhbmm1RbD7Xi6mDDFaHNfbDpBTQJAxIjVQqvqtqCBDQlWHiVY0DOn1ZC
enbDERPzXgc1/+VB+sQPnWlbWaatqatl6kRcmLEDLR+tkGHkJ1ci5A7IcVM5Onna6KDkOj+j4uig
YbIcDbxQkcQbFMJIUDlI2HWRY+MQkaYFi6IiblJ+Pyd8I6jUZv9pZs2WFn0yZTkPaPOehQR/AaZZ
2CN8vfjh0W2bT3K5MtWhSSOFemswXveNT1EyFIud6Jc5Rd5sBty70Eu3vsnousocrbjSg/MxLAvG
o7kQiXFbzokyd7PSaBIDVGv4vDrOviITF+0inBInFKuBITExPr1xoNP6YshS3PoMGvRm5iRAlzgg
HU82ZTqrcLwD85WNXqp2dtT4oFi9o29UNPa9VxtE22FWpDciIMtSIK/cN3mY+uIx6WP7qbaDuwXl
iMT7IBuRpQI2ib5j3MAnZeHmxYgVdBRvgTT3h0548XeXrLrEWPCQgVO3G7A+OfD3tqvTH72NJTZt
0S54JdQYtuNTB++sGcAU7CeqN4ZVu9b3bF643CMbwzyxuPPXIgPuERebpDWWq2y0Np9gdUA4T7PF
0FLYWT6j9RjEYEBv2veQRHtwz8om+4bEZlSaCNsYNlgVTvocE0fx45adRPwIA0hUKdKpPkAshy6S
Hq3jbT8ATHxQaNTh8gUrCM8l3dB6ONYOgRmhMpCTWbV6uxX5C6RUIVwDu37Lpn3k1/oZlhnIvZ2f
3slwltkpsnT64RyJEUlC0m2/cgoH2kxmkCBRZBRSmAJkTwQCo4FODjg5QrPuXWQynuPfy4pgqVk1
1kYEN9ZuOtrh0SEb1M2oflDqZlsi69LuDUDHzzQa0bEcftkVb2hwLjuGEfRRMKfFeAIMXwcntmRZ
DnFO/Oj7WcZytCucjy2afvI8ozx+wqwfICFs6CAKNDGza7miK3rRb50dDwwo/jfkC91n7fCB+Qkf
S5Jl9HYJPPazxe9jJEDMkyek448RWtF+rxs41UontB5zkQTxkUFejxD5BuvUjm4cDGznx+mTXgza
ofT+CfVcEAKQJwM21LzR1tU46kzgDRCmsJYU3b3AvbcEqQVAZ/xP9ToHqpra+nHgYYrwe0eeeQ+2
cZN+0+dDoBMMRWSSQScA8KeG9qqL7hTYNgx0PddvFl/FUR5NGllYPbX9DslMGLemHh5NHUz3C1/f
Q7B4kk1Q0T17cvMEdJXIn1VL0q+FgbCrh+Zbtl8UVbg5mJeRQ46kh/EGCGO7FQRDFtFVvTfnC898
D7Er0r6FIm1+2wi6fGF9ZNZDNoVesEtkPE4FohXmFWdPRdccW7oPeqpnftWd8iQcYi6+LXx0z1vf
tQ86VFMEqRjbkCvRzQMvYbz3XIGwpbpCKAKCXXrZz6zw06WxBeeWhwcNQ9r3BnP3Mw4GY4DEnQVH
mEyYGopD2BK3k15XdoWPYGmEICRpfYxsB7APjK69A68d5xByhQeg5x4SesQdd6Pu8iUOzNv/Qx0G
Bk4N2cF1ov0IvQ5uDUHq+uPrR9ALJ7DzXgGixiqJjlf0IDIsVoST7zCKm0eKtevYsjoCuYWdxqHh
yBW84kL9ARveX458WDqXrjldEPsRUu0gBP6FOjc5pop/f/2RLqGSv01Af5Q4sx+ZJopjekgdULEu
DJH6glTHPfzI5tuEqIbSTA6xxy3Mqhxyw3JS/fLtysUv1O3nLQZ8qEQTDyjewcGOymLiF6trYGaR
CIMJmO/KwMV85zGM7eCUWIRgGf92Hv4fe+e1IzeSdd0n4oBkBIPkLU1mZXlVqWTqhpAreu/59P+i
egYjpUYq6L/+Bg0MoEaLSRPunL3Xnp2wkXkVQJPVDvBRPv355/zm9Z7nESyb2ZRQIxRg2pplJ97T
mDYsuG6a1EeEi4Uf6el4iNmkvHLF3xy6zjMKWDaHXJnweRwty9+Z+IQCUS7sOZiwTqj2l/+/7+g8
rcCoZ52YlNk+WoOswqQwixv2llMA8Dt/8+eH95tP9TyyYCuiJu8a2zlu20r1xVV3xbIicSVa45WT
8u+ucHYY77MS+BvNo6NytKchE+I+I+8LEcuqv1JY+N3r2D/TH8ZCW0J0MixJAyBtzXB2+vKqXmrj
gCu0Phqj8xqM9zcFDOPsrB11AhZPsmjHOE8+cIg9acaM1rhMvrZpvZ5yNdivqGJ+Q4BU36sOP9yS
6ooOoEaWXEQjjs22LuJ72+2mOzpNytuGXl0I4j3QgGfVDR404YPvMoiHTpZAsHi8cwv3pZw79iwp
JLcpWox3WTkLPD5iDiAr2aETo16QtbYG8TiUIZpoFZpFqu7FsDSHFHiCp6hLo1ir7NOsZZ0/rLIM
NbqQh9ZYka+7ZnFH/G96FHaT30S2ooc6rvP1pDVLmNh6eSoLjOkzjntWB7mF1ZyVIb76MrAJmvE4
iQ7oCfv1lQ/td52o73/+w0Nr4yJDQldox1ZV/clgnxnWS5EEmBj7QEYyCypnxWib59plnw76Q2IY
bMicJHml1vE9KuN/HLy/z9Y//ILcjFuzi8roOM29KwLH2Io7uoSi8zrcFEfbUK0ZOCQMAJqSff8J
ImwZgDYZj07dTJwg1twI5syybt2M+vQrP+s30/V5AoRI4n6Q2pxcdEVrHKuUNQktp/lKueE34/s8
0gnapuYuEaPPwiXgA6wA+yUIDOUQ/JrM4fvC+T+e63mw04jBNxHJll90QrgBL3U9NDEFdvJ+4y9R
hz63hliDt7bdwrqK4I8qFMfA7DLAbdt6WZgc7HYQ73GbB5yYvRvdRPGYHihW4MmM3ftaFsWbfKi/
gIBLD3+eW3/X8voufP3hc0hIT61g2KUoz7YhnJHt+eBx5sM/NuxtsO87ob4sTiuui1VaF25Ka8ZM
dcm67bj3wnCXWySyDL1Iuo8ysSxgS67xCvz4N9Omuf/5D7/OiZdNbqCpLiKnsd+4akRsQa3UN90N
f1tnv5Yz+Jtp8zx3Ko8JLoyVaR8Td713pVkf9+hw6IGQQHmJxy3G1fDnJ/67WzpbCUoHrlVXmxHQ
pGW6XtGF+ZwV54Pp6PgOMXv88+j+D3bxbw7GjqzYO8K/h10woOvyc8rG6RuEmWH9z3/xb8iFUv9y
OCAbFnnkyvkJcuEY/7JNx3SlsE3Lcr7zL/4NuTCsf5HojHbIVNAsJB7R/zIu5L9Mc5cVKQfOhQE+
Q/0N4+LnD8Xify5xqVIo29Dhqf2ScuIsc+GMfXnQgR1XDtDTxT4ayT7sjIcfnsv9P7PUjziNXy4F
tFRhzgNpKMhQOFecUUsUo55b6cF2oBYmGNeKMNazi7pzwj9f6ed5nns6u9LZwFYzfM6t40qTeJjl
Y7E8/fnvP5vP9gsYpjKYanl5jsuqdTZzjFk6lB30UVlnSft+7SdlHijNzPV7h0JOe+tSR7EOFsXQ
9qVsnEXR77Hc5pT3Rb+8a4q5VTaS/Xrtr5pSG6aLehlt25cr5M93tOyECKG8R+Nfif2+/26+QstQ
fFEuvLr9BPHDjKcvtdYAt8wO6fS0lnC3HK9qXtmr//rwOd0K0MVKdy0+rF1d+8M1igU/4dRzjZGS
+mJdWvVrWeJnZ77vt8FYUqZhmFBg5C8rrj0Amd2i9BBZw9cGO64AsZoP0eUcTU+uLikr4vySUaBV
r3zDv94c2Qr706OV6VpwI36+ubGpG9vNxuQw9HWV3OiW0z1kBtTYV5akX6/DUDSYN2C0coP62ZmB
liBGNJKwDimalyJYkSuwHUXXsLwyVPa/6L8biv1R8jwsC0o4iE3DOadDAA3FWTJT3k2B1apydPxp
r62OG+XbPw+aX4Y/qB44coZtSmW54lxPxjykVU5DGTButaNbstl2L6s090X12kRz/vCUqZv8Iy2H
Ccd19bPuj0EZGlDknB6qFDBdSp1eC/58L79cQQK/ZgwbrtQNybP7+TMg8kS09qrl2ARxySbW5lIO
m5tX3o3BMnD2epTlwD/aB5Jh8tWd7/vsfEp7ZB95EEUxIMK4ss2EDTWWNScN2rLpqODall36YMz4
JVYeb32wWFqpedqQzW8LMKZbUJSdrh9yS9+w9MZJP/mdK/CINfasXoa1EXcMaeNkYf/Vj/HUG59F
UttJSBamfp8pdNFBYselE6xO0hzQaW4DljELvqtkuw9rv5Z17A8jBHMvTcQ4eLt/863qEmP0MoLp
LsAwzsVVi7N8CFwY40tITFJWMmhH8NWKhsh2ZZdCN4MqyeItMAu9Xd5lLSk+fpkLd3kUiqOW60EV
GQd6YdjIcWYMie1bZYklXbb5hLcUBg7aqTa7L3IYGEcDEM/dNqbzWyj0/NDGcUHNJ4vkJy5TV3xq
6X7qXu8USBfzKOofFElCN2yZhp4udSltf2psYwrUWABJ4mFCMQT2Gt2NI0ZJj7dXNVS0J6MJBm2i
iGzpzfRVxA0dQFef7VtFObYKQfRmmWdXqXozNdmGCoc2cHlAAAkUI9mm+rbiRzW+y7r5PmoFyMqU
gD24abXeph4O6WY+oK+kl5tsSNfpD9Ol9Dc7nStKxXN+XW+bde80zlz5ZCbQv9hcIRbo39BAPVm2
VXO5Fg1Xm7c4Hrxy1Bvhq0ZVuIjduXluBc5P88JYbb2jNlrYL6aV9A0Nq4yu6WiPgIenrK8HL3Y5
afhgoLUVR3SnxQwzLbrPtyEaOPV2UZqeCnty4+zYzU37CSgEEt/KKIc0tDV3xa9jQk/wjG0FBtTX
Th/MLS1Ob3QmmH5jZoGA72XmagEHfhyv+VYBsqfo3AVQi8tH0JC4v2MwrZyysZwDsNE1SamvwmGJ
LQDcggfxrXuKmwlDqSn/aXpLDBXzGCHwt9USOaFFvmYRJhVfoNe2eQM2vDbh5lez4zm9ofDYy4om
5exWAFI06NHvbaOq3hG8UHw1ndL6ZNe63QT1MJbCHyygpJ5ta/XFDFrvkTG9WQhv/sFiOOWnUpWU
EDTbdr6MKeJuL+7t6YVva2tpqkXSIPFmDwYv82GeMO73VGrdhb7aaaikUxxiIaD2ZXDbKc7zOdFl
sHuD5zXr7UfXqhc+bxduQOnT9nSeWtNieLUDWAIf85heXZjw12l1jKiYPX2NaidIzMm9aopojYkQ
mPTRX+lXQtSequYOz6cNPmEeiuVIPwJK5R6pynbBEvoXSlppHOqInB91MdBQ6pN0L9LX9u7nI7se
0suWOMJvVVtMZCpkRXFMBXhFPwIja2JEmYw0zChHf8RNb5o8l8V+Mud0+thY4GNBEUoy97QSoBQi
heJYacV4S6NERwDJo7+2Sisb/doahqdRmNODM1QTqslKASCkz7/0x1ZmwxXYxmLzbFBz38xlxFE/
2719m8Gv0AOhcQgD3d2SsoppXYtVYESxhUs7MZ3Uz9Y0e8lZn/XQzCVgc763Lgpa053WwKCG04XW
aK0mh/G4JHsgjRALrQiw6bTrsACCqCwvFxjij1ZlaG/MfprLADwGHQukAda3WKuke2pymXQXjjso
FBAxNRkSOQxKncVgFgg+q7RHTd2Vpg5EeTNuzT5tEt+tXCya8DloiZFHViVeQsmKwr5uV1YwFuQg
oFRzou6AbZaCAKWVMj6uyHfNYMg6eum9NiU0BpMIgakEsDme7CSKjn3cUH4ZTHoRPv2s9Lmj3ZSH
LpzV8hbrS/lYMKJQv8/tumGA6AB4Z1M7MJnWZYpeYtrh9dvWL7Gf4SL6FINmscKllIW4GtekNi9k
ayyJn+ByIahFlwy1rKfXg/9VZT7eIhShlmi7+LBHNb93+4ZKkba6beLbmI6ui64xQRNQ0+bKTlGA
6jemaL7ZHcR5SEezSW7H2DHQfJTjpAWY6lBWrSikiZnAT/yBeoRp+WLG199mWqJCRnpEe28w4vyE
89WJgwzi1T5PjlqBtNLpATRPev+NLt9Cl0fbas2z1kXcQ1nWGm+mMgHb2dGR2GVsO76OTpkqPLiE
HoDSnC2HRKLYMT1zcZhaK1TpLHuyopeeLTYiVHMlcAWJDlhk8EBuWyOYd+uPys4GypVoQyZAPjHN
Ro1KKF2awrSvmH52mX1TDvThNSc32p0Qjk77YzwCG9lpBSsLATmhY4DagbzTvu7SDztXuPbQCNVf
o3GLK5Y1qIWXyaKczTfbTLcvDPBVtMqRGb2p2cC/3dxpWGi5WsbXzK3GK+RVENVhBMMQ5pynmawE
5Xw3OU2Z+I05i6/EQ27NcWYXDZYwWt0JIHNH6shSjunbdiJnwNOoYsnAEf2cg16J5afSquxvAHyj
hUsno812Jl4EkRMdGwhQ4+uxbvc/nker/uwiPFfQwfdtSW+sqAjEMK/MXorYWwSgvWGERc3QBR20
8Y59Af/lI1h8aOtNb+SCFnNTPWu1jR5rF+fA7Wi77MMgO2ZeHRKgwrzQZc8TYZGT37YbOyvupPkG
rBqJ2Tbrw3YxFLJe/HZqNxlaSF9e1GT20CxmCa2i59AY+1Lfho9dKUrifjUw7GDyzfFdYW6EWwBq
2WRgZUb3mLHQGqHSs+kRuI6rh5GUy+YrzArXNpv5TzKN9sFh94BNgEum69dMX+hw9ppOMIXnOkXV
3AJjWZwjqy/AO7Jk0k/dUhobuoZuPMHOGSEPZo31vsglvAeUv8lNO5QozezO3R5WOwasjFhafa2G
ZIZrTzqjb+VDV4GrsCBuF0vE9x3N9tuUxkWgx8JJD6mRW3Tx+7QyqfABzt68BDJOet2SuvE8tTyQ
N5BM7JeNo0sS9kKVJgEiQzkeATwYhldHs+iPG3OFCOsZe7PbtuwHzU7HY9kkVooNk/PPk4vScDsK
LbY+5OOAmoY2bZIc6k5FFlTvgtQTEW8OdP7eXu6LSTqVn5ey/RKv/TYE+BMa0NaLMF9acCR8i13t
VqGaIwv4W5ZN16NBa9dDvsN5dS4spji4MsNVwYWv+NinNDBUBjNo2hpXgKQj5De0CpG9UDrs1CFB
rhHSaWjWQyHZDOmQ1e1wNdbynRLOaNyna6ZhpaH13rUvAwyO9YlTv1jRhxilfjmSQg+iVsNNfkhF
Y+UPmximOdjY/M+QGNQ2XrQ1iekf221q1G0StSRHTzDEmltBBzd/AxheDRd9MpgzrNx5ErtIZP6Q
pJQwwt4hltsb6q4CkNs5ArhNzgiE8d/q7BfmbMn9PM3t9I2DJwzXd7GLsdzCwKdAgFBeBqaIky92
PDnflmVjZYqXOgER0Za5fIe1NGr80pb6RyTqc3zCo73pN6LtN+OSckcqe39140LzcxO1iRmMw85v
wHC6uNSDWbSvN07AbMyLrJzc0J5STaogMxC/wEJwIscFM5WunwHy7OT6Ydyehy6W7wTlh+aYc9CZ
aGrnrXaTZcy3F/hGo85nAt81HLXBao/kzRlMi3wYbUyPcqIxe900qzFDrmIawfkab9kjK6zGKbsA
j3o0m62M76ZpEvOFJsGvkKHU2GXYjZYiYWZJp/nSBmA8eXlctdWl7NuuOtpNFDMFkRdUMLdG7tuB
PIr0AwKz9QMpfqZ7jGZyCS6XStO/uGD/W+INiBO9UNEkY78vrG4CfpEks7WDJvQUvrZuJIc9zaIO
+2FZjTcczyf7FtYr2MrJ1JhL9KGTGsT0ifBEuyoM+ZCVelN7Ux+V9s5Vkf03E9f3cuw6djukldEN
uMwQnqdBVbFE38l8Kc09ttC0HlvL7kDCF4vzRjOaUQZ4qSxASyRp5NbJYZ+o0EDwboJtFkoRcMUo
uUFixUTcipE+fDcvIxLKRdPzo9sSXx0KqUNQzxXcz0NhVjK+74o1WThKbSMxNoQUOB70rSUP9bmK
IHhvyGNC0ihE7CtDrYwo0deFbyij63myS06kT9FUkd/BU5nCgUcVPwskmC58pqrpHzZHbtW1hS3D
udS7rTR8VWq1DJSo7MeKP3mY3NG5X8Ze1McS/tgXq7S38dIi7q14U8PieN/Go6sdmSRccr7croae
25eDcTPq9aSHrY0wyNOsIZ4/mvNK+yefTCiGVTkis4xlZBgPQIOr57I2U+NoOpH7YqTQLy7lxrHp
tgfYykPi/eqXdm6W6jB3tDDvJsI0thNZSzWbbR0PJhpOZS1rGWiQ7+ZwGKxq8FQ1OnUws1NbfLYu
xYtRIGu7bCFrI/NFSdjMV/WmwfoZUtmwQdRx3byNV1JtbpXohgL8VM/XN9SktIXGjIz6ri5SI74i
QAixcJFSLEI3m6aG40VVve98YBmXk5du5RhdCiRYEp+5zopJLsn0WRK3602pcN5B4k+hKrZqetJ7
y54eNfJ8St9cZ+1bE3GQPmxu238xNcBqyK3X7bJwUi0/injcHmkCNlCosiT+Nuhy7gKplYX4imp7
it51tE8/rKjK02DDF3bjQsCJfavOaX/l3cwBRlJV+OqQbpWdsJqmL2a/tZpfJY1VfzBrHTYUMUx2
dVWXnfZRY4vlYhKuAYVZW1NOHFHSUV1VhPDtIVJj/iSrwXX8fCZJ5R7edPKE2xWYE9LYAvpRSawO
GUiT876ttvY9Gv5hOnBybSNvsPQWto4jU+RHlrZrfnQIW56aZvajSu12wX3KKu8G8u7wcHbNbPhl
N3G4gGy3XBcl8wk208ISfsGiw70Ri2Kz96+Np6RkivA1/vLHXI/ZAiS51Q830lhU9bj0Q5Xe625X
mZfZRqucfjRnlM4TqnXj60aT9WdLF7CezKGZCJioOEkEcdmQhUUu1lYdalMlb0qOEYNX2fUqDjLd
0ItSvCuRplqdpoUtWpaWStCEWKqvobve5FWyGlcpfo30C9u23L1YW9RyPlFn03CNPKG6HwtE5z7J
EooD3qaQxHtEEldf+i5W90oRTHTMSJlt2ZOYxgvlmBUwqUOwxFE6GT1q2K3MLttIUh8q7YJlTI0C
0WszCFqhZUt2200NJ6wJEwEX4YKk0S0BQcU2xovXecrgnqKEQdbnZveriYvkuhgTHfnQpJUq+Wgn
MXLEhKT3iynWOHOtDFWLeBZL7y/teIhmb9WaePYKc1WDzyZ+mjzCHhmDixk1bWBn8Qyijkr/c490
EESdxnYDYeUo3iFm2D6qwjQ/zFPRxifHzgxJuWhlgGmQvkDjxEmc+pDGt+J+Jb6EESDIFpysDX4T
wGxEvngUYhfZtMDkFGnKBLBFGUM/xRyuhLcMrfOldgXjN27L+MYEDrbL8ipjDcfWHLILknWt+wh5
1nO0JdGDyqIoupKJli8BAVbZcUu0ufHkmDPycpE7jscRp6+OHUf6SzqXy3AJ1iO5TyfSlz1rqrbL
JHYbLUhUxQvi7MEpuuFZS68seqp8y7h1b9Mpr9matRUcC131/TNZUNajnOztMSrzjR9uLFhJTRcM
MOfBefrUyGb5LPLS6oKE0iU5IGWKoKEtZOFv+Jrm0Ijq9qmxNf2jiHh3YW9a/Z6Fheffm2yNvyhd
pwEhFFHF07XTFT1SQpwIHbLc1bgX4DCcQMtalsl+bZvHua2dNyTAlXdLRVHX6wY9/+CuQkftWy/V
zihO+h7Le2TfNyKrFm+h9f6ApcHOghrnwNeqUIhTK4Ltbsgv5RBASAaVPrtSCutGNFhHDNyJduiz
UQM8B7zD8l2FE2C2Jhb3paVX32+L9pLGZKDBmhOxFtbOapoBxKoC9SucUOquDryIU0Q4ohVaCclG
0KKoG3BKiinY9I3RLOjXhTtfMny2lZeERsfvK2mnPjUoeY35xY6DXC+a0tO7tUGSr1LbhM8GUhAt
f/w9XKaCpqeUm9DPSuZnoxTQnNuqji/kVqsE7bgpH+tI2c/jtGvtlkzych01ty92rDHpZdVWDUFp
RtQiTNK/vkHV6r+4Xds1YTkm6YsSZMd5wpjLp6Fxl49topd3Loi75qDN1nC3mHveMetT/63qhPZx
GueWXIw6Wwtq2Mp6UzuO8WQRO8t50ijt0etM1L6s1NrI9KBmMutkMSfrlYrW+sNAIVYP0Inrl2ke
kWk6FRHHcTOKnC/tDDDLI0lpAwPf0px008a9LERvaV7LtgBAQYU4LGTBZvexidH9QAGPgq7j9sWz
6mW6H2krY2F/0jku6DU0IX4Rd/WXfs2rXfFeQ9NG449OOLWogNH7Vy3YNWedYFdiTf9czECVXCmn
zIdZTv0EfmOBJXCtqjdrqpfgz4aavTN04iENCJliU812B18IWuYiuXTrqXw0bcoaY6ZY8Fs9sd8i
zZ/fjqMJ4bQjbCsc2WwawbIJDo9iwEtCfbmYvmKUoFXW2jO7wTr+lJBEyu6/17JHo4zMsBCtvFS4
XA6tqJLRSydNkDIJjFUQ6qfm9zZbOpglc5bdlY7jfkSRXr400dxfmCZpWiEF52HwTd3W4H+s4E6T
Q6zUqHzhNjNU8VK+3ZKpuKP8Fl0PBF1bHlyX6dmUlJKIeQRHvsWL/dXS04K8pBTDxZXMGiaZDdUL
+XWDfkV8n3GjzXg2fDjw21ctcRhEVG77D/G2jB/rkdhAb9Gy9ZObLyvBMJ1NkySVVnbNKb+gK03h
effHFLMDiH3rP5FBIRm0tlheXKoZ/G3ZuDwR4yRoMOpsJnx9093PcpgYeIw7nLgLUyQeiaavn6WW
FgiZ5whCG8WLxGACnO1HMXK2ZVVrxptSSzATSajGoDQmWxVsrh0Jp3GoWzKB+oq99dSVX4lmtN/p
9O5WEFhr+TbV++rJJNvWIAR4QWVtr4tNNl6a4WNYMCgkQSUHZO1Znka3w9qBWsP4jOQ6KSr32SVh
yqZoFFHmEJvRPgg7aT7H7J8ajzLIXr3QsurbJrrlCYkrlNl5qRiZMvlG+ZIpLrJ0UPGTK7vrTN+q
LwQAcB9WjQsN+o8hsHhNWRu6bZU+oUcbdeDJpv0gYygj4PwiEOMC16geQBQujAOOZkJIwUTa4D8c
IDxh0xoWm9+UPQKeCSm/rrE5bIQKuOXXjSoIY3W2N4zceE9YzZ2kIrK2SwRDKcr7Lzu+1eT3TfWN
XaDN9Uyq+1qwZ3j9gy+oD4Q9FNlBQ/bfhRmxduxwctZyTWUmY06Z0/3cGuyKQFjtwFxgU29QupdP
m9600mMQRZ+XsRvAqbMRHul2kVyJ+1Xqd6uorI/S3DdlLGej8vrMmC1vRsrRm9gTE9r/9aI5Oz65
A3hP6ywBvDzuY1ZISnyhYYzRFs7EQoNfHOdUx7QxVtwz4X1lUPAQBy+txmyF2omyjgzNaFIQUaCg
8b00SRqmpR6NF4QLmlBqJMeRG2Z/9Rqv6gw7aVk2ohGbJqiNbkQZzrm4C05rYxFTVISoZ8MlP2aZ
ddraO2lguJFPysiOJio4+rBhLREfAcohACMcjSvqdLcG7IJW3gqqgbpyAiiHB2s6TZQ8O7mcSucG
0/4rDejzpq1tGQhdHJNWpjLx0p6pV7UcUemIDyJYSSc8iLZNroBtDRd/1xq20fEYNrE2KBQ41Z5r
MDPmRsflDBmardbcZLYRPcRlUR//8ioKuY7OBUxBGpM495S6eDGmYa3L0KXIgjklGrE00Z74+6uY
2MJZSbkr+7yRTsth4sBYwZWMaGyxBaK775uDrr+mDThvc9vcjoP+iDOUhazjPKx+mF03jsyuDKup
hh9itpW/yXL2+ZLl334FXMrlSxCGQU3JPecMTkVBHUzjySWm1T5p9EFviyp+jVj2y7emhM4bkoYw
XZuoojOdSOsMk+GOQxFudRt9QPtg30pb0w5/fj/nkgqbsqnioVGUt0zqa/tj/UFqk/W2NPElZaE1
FNtbfe6mG2pU9snhmBE6uTX/pSrl+/Wotzhoe7A1nhOIyFBkQ1eqLIRzTuloBQGLUuo1csf/vCtU
SvyX0iEDav/3P9zVSNcfwQrJLNWga2Fuas2FtDi8SGp10IeEeOUr/1mWifJO15E5KwdBHR+GVPu7
/OF6a7MVlp0LJyj31W2R8lafFcc4jo+UXrS7CsbcK/LM8++dS7r7d6E7LEYSHM7Pl8wIR0tGurtB
XafRRa2VdDmGnlA2vapeubtfL8V3iFqNkC2Sa6U6E8No/UYUxDJagQZO05dtg/gjpuK5TFiS/vw5
nn/04K+I6mJuNU0Bjfz8Uixhah243UCLEkqySeeooGsNjsp/fx2J7pHPkQFgn7uLMEoRAB6lEoCl
EBBR2FzWi22+MpFb50/OslzbYSJnubBp18uzJ2dNSFtc+GSHPpTDdfmufhiurQ/xg3HYDtFxCVZ/
O+S3Ruot193JOTanLcCMeNs+dw9d700v+dsWn5h/OYVzMIVr8DQHj9eNbwaEg3n4u7z+RKZYEHl7
O4N00QMm3kP+9c/P6owYg8Dr+11I+5+7sN2zOWLeV3F0ieWh+DCGTdCd+mPieAu7onuwDcs7dSAC
KUhO5ZV8RSv3XQX5k7Zsv7SDUgKpnrLZ/vz8lfepS89ZtuXBPG6H5SPG6uKDc1O+c4wjuDa/PG2O
X9h07W+rVxiO+/T605X3SQqR6XeBIEv+2ZX1TtGr0BEIqpv4Yb2J7ofL9H45zu9febjnUxVzFNdx
lUTB6xAef7alsPq+ymoTvbzwnoEyX8Oo82d/CmrfDbdj/NY9dn71ytf/3fryy82x6UKxa5qsnGdv
tHJtjJ0u+1dM2qf61roYLqLDdpndqgvtZJz+fIsmYudfHqWLqENI4bKQndO/NA02hkB4eABKepSX
2l19251AiXvfEPQfpnAKN38JQYX6nZeExSs3K/YneH6zLhE9uhLStKhb/PwNsaG3Cakz00NyUpct
N7tcRSd1coLhYrpgdbixH6wHi5I3PA+PRBbObt+yb9pXce/cqlv75J7iwA30K/tkvfJkvj/nP/y0
8/kBO7U+bz1PZolhDYQxMtT+YjCO+O2awgN1UNJrJ9a58dAsUdvJXns2+wT0yw9ATg03RUnkoubZ
s6Esn4ld51h65Mkc3EA7OJemP184YX6rfdA+pFfDXQSsn5LefXQnD+aVdtKD+bp+W993l/KCA+Ur
S8B35+NPv2lXeRK/6PB/tmBr+vNvSgz4AkOPrIRm28N6O9xpn4dH66q7yy/d0LnL76uwvdueaOFW
z/rn13g3Z74jJjsbkaQQii24a5tMbT9fvmEe1xAvaOFwaE7dKbqkGxe4TDXmobktg8Z/ZXo9nwCQ
mpJcKdhImmQjIgr9+XrJmJiU49b0sPq179wXF/Urq9CvmxNBAqZ0Uc6iaWVK+/kCzdqj0eM3BIgg
xANzrE0hiYCgQ54k+fNYVCg3xMh0/udhv0+QP77G/fVJNsr4Ewwm8e/P+Yc9UVY4ZIms9MsqVTcH
+kXGqSXD+/D3V1E4AWwko0wv6uzppRnHXnvLZZA43XRppXIPgu/+dtf6/VPcN+LC5WTBxv/nR2jB
NTALN5NQdByL3gJAmCIj8fzP93L+JXAVJNu4eHB74Mwwzz78dKCMOw6NCFRH3rDaIuPA+kdcjIit
oNTT9v7P1/sfb8jlqbE7kco27fNVwJpbOBtWLgKjAGbQae70YNfL8u3PV/n188N8so9jF6U4p/2z
hXSrEfLTbRX0lZV5l1ITOI5W278l4Fy738hW8hLHoVD156ue77xIhN3V7xKNIXO+dX5Sd8fNjaci
EezIjc1zYzrFkRxSr5qa9Z9L/Z+B6Qc70m5s+72BCWw9ENKf/Ev7f/DfkF68Dq7LVkqyClNu+G9I
r/sv5lm+Co5qvKvv689/Qnr5V5wS+Wp2dwETyb43/E9Ir2n+izRanE1g+gVzGuvWX4T0Mrv/vEVR
7AuwV6FXUexT2GaeVw8I1usQniHUnMaOtThSW10qPzMRE94QcG/ObzUcv7TZi5lweBgXagu62pDr
Z2sd5Oc4biL7eTCGLA57V9MGBGNqzWgcSkTGPvR3moBDjZdkqN0kPegNIau0JkjrpLe3LQvqPer0
xl1bOIPrb0szb55F46m91nVKX2hjKLHObyvqZTdzNrfVBXVdC8kT3bhtRzIOqJ7CYWrX/F1Ro0U+
yRbA/UF29vwyl83wnMWdaR8QuRa0tWyFkTjHoeimkLoI8OrGkvhNFPvkZ9d32ij7MC9Bh6Vr+k6N
Y/1Fm00r6KeuDuAmftZTR1zRaLoEgQEpxCZmKxnyzNuQlHhNCpWiQd2NKku7ourcXCH7gN+I5Olg
qCY6rYiGrd4q7uC40O1LbOHbQr7pyd0KcNK3QQqlPpyKYbrdckFpG/9EgJvgTVTOivZed2sRinQa
krV7pFerQnQrzknnVOnDcxwOwhq+VaWxBEZLPJuyOqK0tMvGqV8MDWIquDda/rF2IH7jqUCieJzR
nR1sYOpvjMIE05NJ7A2FxPDc0CJEl0oNoaxCRCaftdh5rpaaoun/Y+9Mlt1Gsmz7L2+ONPQOlNmb
kGBP3r6TJrDbSI4ejtYBfH0tRqW9p1SGRVjOayyZKIIO9+Pn7L22bdY731w+HT8xbunlK2ynWbNy
2byjHCH6yq7T8TEPh7eZl+AB3j132cAYAIgRHJnbc/49ZQXsU+WrjdH5yDBaoC/EHxWwg4QepqcU
pav5pYmoeLGBZWUr+v+D/0hbfD74YRk7x26k4fkVj0UgWJC1YQB/K5He3WQpbb+tStE37zLDN8/K
XtxgAyylSY7JEIhHA4aThUF6vgKOmAM0qaUjfAjBPFyCnmHxnZjRLtQbpOyVF/xUpuzn+SzF0IX2
HSIRQ0tJzp5ppceu9VQVuYsYmx3zLpR6rlyGB2mqej4FtWm16LFb65HgMftdLCJYo4af9gPWt3uG
JOE9Zm8gGzYkKxQIzBxhEiVrP+39N5YtnCxjCFY1nSx0NGbZ7xMyqS5tnKmfjsTjgDqK8Bl8Sv5R
V3JGv5uLrtvUJHoY3UuXIppbi4xo6xyy4FpKTYoV8lspaidqfIdo1cBgfoelKKElEGes4kCDmT2V
7BcUxFYxK7HrGmNaiK8Tau3KyThpRoFX4TUzixiNhWuA1Q0TBLZJGjfduUOh0e471WZm1FVT3NZA
YebwI0yaGH7jqEAeJjHKZ1fKmIxrKFFz0z0nbe19N3TNLLQcgekobejtPKjkzq39eUcL0NqEhhVu
SWeGh920hGGFUq0RufmYFlzcIHX6tigmjzFBcAdmB0bUZs2yyhOQUiGGqfsUVQcd9pIYcHRGThbc
dlyQTm2sqoOSLS+s1zJHN1t81tJt3wCkGqe6J+pUk8ZzCRadvSOAq+APsOzlvPAwHMILXe/6VxaE
4Vq7xS7IdbDrOovxRN6K9ESJFuxMzJq7wDa6Q0HLaY2sdFmhSQ/P+RIGN4S6OlEdZubeZCZ60ok2
ToHruM+pxziqw3m06rq22MyQortkah5N3hOU1nwko5jm0Z2RYpvhH/+r8EW27FgrPYapH/Fz8Llp
37798QvWnTKxTC4QBuzrv2D4+kc7gRP0yuQ9h7h4mrRrHNs60QeZVNMTynL+Wqbj27534EOKDlRs
q9JDNfY9mh2f79dovdVmHe68Icc0gNDzkLZpudLTbN8Smag3QcHqSZWH0nnyvwXxnL3/8fl16Cev
mgneLu/4G2Yjw5s/nmEt6+nJnMr+ELRuMl1k4SWvJq/el+y84FJhY/qast6870gLfu9EAdC5XbJ3
BCPtW0VK8cdUAkiA9z7Yq2BEdO9NiEAhDkyHXhrhkyAO6BHYi/GCMYBpEkL3VcasZtVwMzij56XN
Ygf6Z6oNecm7QJxCawEvybBfBa/0WUNDELaDuya/PmM6e7zqC0PhozPBnCbz0DMtAinpM4MoQ+o1
9EcscR0pQIIAOKOq86cu9ZwjE8hp12v/FsfSY99w9yOuZaqcJaoDvUk8vbOL7lAJ0veGmUhK50MF
Qb2G7oYQXHbV0RRkniYquNUO+inGTndEh78SZFWvnbxp18p38y06PuTCRm9EJEizmOaFiWKLvCcE
n7l1B48YP3L31vO0BFyTMKnINDRXZZC4J4R+3c5MqmFNIDvep0oAdZQeqDD0+asO1plFklD/LhqL
NKehhUOo5xduZCnPv37K7fj70MafXsPw06qMR6vVzQ1nSbge9FztaUWVm2zQrG7BVjwsCfLMJShQ
o+b+81R7E5C3pXubk15tBBKVE4ptY9fVtA6q1pp2fpeA7GhmNm43+AmCc7vMYk+u7AqkMeQSUuUf
uj4eTgZ3ly52olH7ToSINb+1c0NclDclUaB7ZKQiDU5XDe86JwCwJGpxpVTyHBNHvyKdAJha0x2b
Pntt+mWnwF6heR39XY8kfdVY+WfqpjMKBTK9i9puf/Zm4K4MtzNRgsakz6QWLkJr3mOQaDYD5sON
GcJlF8A0DVcHW+nWB3ce7WjO/OIsC+U1K11OUY2zalMVCdsgM9/jaKJTMlGn875mO2OafWaD6kDS
Kns1KX+9nKt3XDgTh2Lv3GvXd3YSn8fai8mjKL2+ebBIe187ojDhmhTBY90Ke4fU1tnnzKJr4nNS
lMpll0YdiYnYIIULcNS3wvtr6iPVIIG2aaiJ6SxcDZaT2enN0pXFLcrncstejQDFmg3zvsVL8wrA
xG9W7ZgOhyAVYURBGpA4WXOM+LPdH3EvfKVjMN/EtqUvZtUX6zp3weMoVd6nJr6OpUH3ZXFIb+Ky
jQuOPL+PYuxpu1YggA3cMbmJzarZtmbWPpV4gwipNeo6Gvxm+Y7px9gJchTwd4J1WBapD+NY+sfZ
yYjJmxrjlJZBjouzs04OAax7zX71NQ21Yklmxm1WtyPLVOZnyDDLln3ROoy+ixbCn/SE3N4Iy2hx
2WQSYqxn5IGzTVY82iDowUjbI5kaGrOdn4TndEFDJBSqG1XW6lKnNea8PC+29YzWsZrM9rHSmHtn
7DcHP5hhOOZi/o5eGQVTYadyLVvkU9wOdCQIXd1Uk05+oMDwNprZ9o7hLLz/xPFYFEBZV32pPNIy
JbaqRc93StvhvYIoQAk9bTs/N250reNP/uH8LsS0tukb9v8Ro8bziHvE5/pIdKyRHRYdHh3kupGf
z/MPie72K1DC3CEGxScn8yhF3rFPs5h5fhzr3WRlmgPRF2kEzaSnPuZMCrL4Z1iW6YZ0ZEQLaf7W
57q7WG1a38P3AvlT1S9N2uYblZjords8eQopGSOuu+kBTiT2qp4CFOqgv8kwXm6IZv/Jif6w2Kg+
Y44y3KPXfOHhITbdBFZohhZSa3vYty2nSRwm5b2LBxg/El43vLLiFRX2U0Zpf5Re9yXC4ZNMnyuj
FDY8IcgEummLw0zai9+zXUJRHe3sw9dZGA0yexfFwum30LK0hua25R1b5ehfVrM3cNIqUhAoNbq1
DNAR+IjH1mZsLpuxFxfCee0zd5FyR3YNnD+zSF4YRjEXUWERnDCKAGdSsqdUtpGv8l4OSa23U8U+
2nK3W+GEg7dk2u9BVvD9MrN6768rgiL+OCtkhUZSh3sSR9X9VAm9Hizi00G9VfxMdhwRCDkeBxPH
TGrOj3MV+JjMGnOVMjlCAq9RShbuTeX570HREf7r2ltT5Mtmxoa8JgYYRR6OH9jIRc5Lv6gHQ1BT
BjK4/qg/nDQQK8TMw52sNTnQefNDdwaFboP1GoIf+kr8ko92Iob70ajQttipbx8XIqbXXhNkLLYh
fukaZaiIAguVN9XSipljc8jT1t2FAroNCvrPcbAxYfgDMzqX3wmBXQwj1ej3hWM85bVzcIygOcau
Nve9k/q3pHpdDNdadkZSyiMtREnkbBWyi8Af6mTob5WBlqcYumWneYwrjm2n2nBJlwfpuSxnKnDU
4Yv5ECN5fdVXIR2crPu5Gt4JHiqeK93ianfVQ2c42ZN0bXs3uq3zjXtVt8XM9tWYoX8MHc1eKJpb
czJuF7O+KUW10wGVViUNtQZ5WgEGK+eDVTstaN/kI5/Ss8lzfY3JpVxRrvM7WnrVFWl4zMkKWMHu
JCWXENPIgzqJyaHIAcDRHsWSotyzJiL5QbvwQxsEnOsZWfoqt3NzO4I43oPLjTeEmYenMZaUZ8Z3
gWjtIsIRMlhpjD9i/H0vWHRLwGVpuIUL5e3ZvySHpYqvnpLqpkhNvVvA81y0ZXCEQaGN9BQUkZNS
88Q8TN/U8o7ZWhUtc+fdpnWCt9Wv626dVtBIvZ4oc6RQ3sVzbBw25dDf4MnLQUxjyl5mCCEptuhd
qyazWlnc4snBWL5whF5dgcl4P81QvKbrPZRixUeI3HtcvJvhw01cZIatPUcFvggswmVSrSej/0jG
lEpJEJiM1tre+ak3nGtebJ2D6fQWXa69ILOOqde4rH9wm7Q+3mbCRtYN9h8SySfztTIEMbVNLJ6K
Tpj3cuzdc4ZXbg2i1aAwJyhslLM8pRWGI8z8K4lvdVvZxWuQJv4+cJUXKVjl+Mua8aDHgOTipNFs
Gz5pTP48xXd8u3TTdPWNu5Tkdg+O9h6XzP3W+u6ymvwcfSGSr5CkyWrZpKHdfdSIVtdVFvDQS4uQ
OsTYZjQMxNnF2kfQpWWx93rDPFXImSNQvXg3yym8d51ifCQPHtFXAaI+UrUzPyQ1lDjuwvm+rvAt
C5kNZ66o/aYWUhzGxOqioQWOi9irfnBwkneY9ubg0jjFsgdI1p6c2stvIJGOX/OUs4+Xjb0XeSEf
S4ZosJiDajPVrvHWO/60h46KRhLO8m1JPtM3s3HVMR2MRK3IDJq2FhjiVe96yUuXZPeJWV9cLv8y
Mb8XnuqeybwHMGyLYqs0tWsVxs1umbzntCm8TQ7H5a2xi+acAy2+CmnT10aJ4jxkFAGWtby3Nkr4
DHv3bmi95ex61Q8zHK2TJE3xHONpWFnuMO2dfOqpJgY4FgGvHLTYjtgAS248wy1hqcrPenK6TZzF
H2PTDbuiLS8t169u6erbFtDnvfBn/2fsB5hKJLBTorK8ewMn4o4IpgUo7yjV96ryijOPDssLzpGd
mG2mcmbS3eP2cu4GLlt7UrjNk6LpsB4onqyVhyouMnxeluszQmAKLomI6RgeHy9EaEVm4nvRkjS4
5meYDw9Xcd1+TCtB1LLVr0Ov1LuQRvUa2TEBeip21yb5phGSnPIRHsW0RnGveDBJc1SUQ1sgGtTK
ma0R93uezSJ0Jg/ddTMmm3K2x10NJXtzta/d5NkQ30wo8NYUtGWEh8L9Xs/8p7qRVAf6HI2/t1VT
PiyU1Ruw7saz33M9SVqi5Qdb5Lvq2iUgmNzcGhmn7Zybh7Axe/DTdMfCiWYSvYbi4o4FFGG63z+L
JS3eK6GsLbziYi/qstuRCzx/6xSbjynDFtJDdcW42I2zVhCW3wPMMZtMVcN+8fpgDzik3s60bd4K
c5g3WerihUzxPn+Fg1m99IFCAGOlQ/hgqcC8bWA/fFZhH2+8MYDB1gv3x0A7KZJgu6M6CwgVmLNq
C/JYEy3PogxJznyhBRV/DAzGb+IMaQbRk/VZqr5ZS11hLQ2HV0e6+Y2WabMfetT3Ky+c6u/zNLkP
9mQSeTBl07cgVT1biBt8jOmSEDFljvucg7uElj77D2izs0cMbmzC5D6sdXm9aFezcawna4m6JknX
Lqzi2zrh1rySJTO0lVtbwSVH83fC8Z7iL9D4xzl2pL8a7TK769tFRMXoZKSQd2lA8dCKG8c38vlE
jkCqdonvdKsUdA3Z2HnkKoE33EqQEOZIXk+DETYHNw4s7mqyCW+rKRMPdNvyi6Vy+V5cAQyrwijT
VatJ7hwxw7yWljSjeOb8b+m5PbnSj09XEF0EL9ve2qHUxzpN1RqfC5puwzB+DIqoNNtM77pGjnd2
KaZjHZf0z/I63cVWw96YL5fQCkGD0288ZyKPoR1youpqDu9sXME0OP1gPQ+FuhAhHx/ZW8ubJLec
Tek10y2vB3aCWfZf0DZYR/KD2dqH4ZmPLs3Vs1FVr70VP5IPTD00Ars1vQmDJcskSOyvshyGte2E
3/0h2xRFzLfFoXqiuVg89UyyqYJsMrzEs69VumYiJ9bmLLeWhfRTMxaKLN6GjQNYwaOQXWF6k2vA
r/ZKTtm2yuS885orxkRpCsxZHUkG7B9bI2DZdPllTKTNdlcs2zGr9DqxbPvYAIiICGR7kdXwVjdh
gzF+2HTVuK25ja6s2BwvlkUHMY7LPS/4FSdvxBfV97BkaHKfhFmJ/WRdDRO409u1AyRAhqBn7KzP
Dr6P8Xae4FHPLbYcjI5HQBH9hWtSJjnb3Y9RZFkEzgVPymDfO3Wj901obN3RgTWYOnIHdcP94Zuq
ffTzztgwEaU163CRWuYiWzut5e91MuET6rN87SfYn7hbkWcihvyiiWTep2VfaLwKFbfILHsDswZi
NHGB92S9cUkbAzZJtgzuhiMlvEVUlWzCdHwCYYOGvBMxQA59pYX0YDlRwG8bP06wFNM9gGFjRJ3T
XRZJRd8VtG+HoZWETPn1paKXtBWt5h7lcMkGPLgbAtNbt75lHJ0/vhnL4Wmq5gdY0zBtxtxFFoZn
O2sa6ObcrAgHILLTQ1GaetMxHuwp6gR2dp3VByTQr6qTl1EZXwTNGJGR2uPGnEV6Y8ru3pyxMYwC
5os0Y7FfEOnjSw+o/jw49j5cdBlUb7R4mjV8bVYXeKLD7BCwrOJr3V7a23q6wg0GqK6oCu5H5bAA
dElL2jHXHdeJdbYYzZr8VwOmvYMjk6SG24SXe+3aKt2MWV4eglKc+56EC7t+01dAyVwIrsENvkE3
fe0yYv64PmD6Yzy0bVwcDV7uN0w3FjNiOHFxs/qJcG3Ot5aebOX45yrMceu1TAwwVelN44hps5QT
wJRAbf3CpbuXgPuo48nGxpA7T8Lovg0hbTrboTkvgalwYpqnuM4HOCaBjkqYMCc30M/dHKY0t2pz
WyrzLQvw1+IRG/f+QKayT8nV9M50sZO0y8m+a3eho5yj8oYH4SumI1Mx3pDnIh26AIbahPWUbr1q
3ob2+H1MwkcvpiWS1dmOnX5APW/H7L0qODBCNp8oHzNyAz6XwHPo31U0fc3wiTryVabTLRcNmDhO
nTymQ/U1M8+5yZGebwegJhfXsL5EjPcjVJFJCo4FEAlr8VIB2xmSoxNMO05McB0DS0JYqd7N12sA
3Hf8+Opr7MsD8JHnuIldQgzMhyV262Mmy+zcgq2QITmUqCPfsRLQ3wIbzCGIpj6J3e6QkwcDgIPj
A3xZdV6y7MgtSR61MNXONqzPwlJPMk/fR7yyR6kMa5/rrCDAFZs8Kbv5SfbS2zmUamfTz1uQLYHe
d3WIJNBfQgwD9pdTjgVOTns61EYzE6ah1L0T4GQjja+OJCoTXD5pey8Xe97h2P6WThwjZy11lCZP
bOn6UJQY9xz07Tu7ZLAz+rX8ribiFoYar9pioj6i7jr0mHT4NkYWdd64c6ryUOjlWzlY5w4F/uKg
y2mm4Vjkw209sABTL863VpF9Qwtyz/M+TA64i+q6PHOOubkxN3RddyQR4DuNsYEx+muAIdylCX9p
HMpT23RzZHTqgUnbgzO128FODgoqSmnbOc6YeIOrmP9hA5vUjfsIOc3dEFovhuRVV9Mhz52EPx2+
cuzhmB6tj640DxjwmfaaVHpDdlFmcDDs4NHynWI9umB3Onn0nHyD6AQOVm7fTVltrZivDauQDmV0
9VwXdRdyn2z8l6St3iClUP5W6lszGXdenqxdq3t0gUWs0dcfNJPIhNsiqRWzejOXDADDtDLKPuKI
iqZCPZtkpHBxCbeV79w4luo2FmmShyGM5xsZ1/u6T/GqB6mLOaOMmcwy67r6vwn4+VgAhB6NNiA2
0NADZRaC8Wtl4RlUUH4xRP5QY78fJEiyefpWJqbeQD+82FxbvNE0Ny12lg0zIlpAggluHd5KBghA
dsVRBkl4ajqsxiucKeKVhpi34lqIliLu9S2wTqBs1HE+V81N6ffpllaDenPbub+bhJsdjSxNLyEJ
TXQScDrK0m9XhePv6LOkh6Qz/C2kIvw7DBbVi9tk+gPBJ6EhYEUjFnlVvMML4bZOXe3G7PnKgQBo
drgAJ0o5Q+Vfvj+617xSlFqtSVJhuEjyLjtmuiUxVHlM6ykZXbFx+GUQ6iILBwLRVZQmeOwj0bVw
mOgkS7oZ6SgeiYvI96MgdMzthk83z+k8MKSiZ7EahvTAL7imGkRvOw84UHTdsml43tHW5YNV+iMj
DQOcx/zixtWxETnRJaZ55w9LvrGFKtZl3Lyg3b7To/3MKBRchGL+b/hgnxpLtodqaeeo8YLPVjYW
F3Nz2I2ZXz8N9SiOgZs99MQgwAJwtgNwu7UzWYjw3OUe3gTGyHasjy05XhBNyDmprG9jjzFWNyqD
isSkzTXze49fVIjcX5WpR+EqxW5mMIoPeY5gNnXEOsZ5NAXxTV7KB3AQkdOhGUv6pF9x+uzHpDBX
GO22hMt87wILA+dUgFFY6OapFJBV1r/IevgMzT5q4pBRik82sytT1rFzB4FAbesCq21RmJ9+npZ7
ww/KlSuYz4k8EZQOAK4CoGZEN53anoSqQfuHWmTfiBPelDlpv6Lvb4hJdnZu0iCm7pqHILa4cnvk
RYn2FqvfFLXx5J+haQ1RDN5jO5acymyfzjGoBKAaWUfMoJNjP6buFhNbvQ9zynbG5zTTAVufhV+X
CN2DFyvMuptK5d4l6dNTV3XDRpBla8XTbeayDM3rQRNzwWizfFPWaL1T3g5Mfi0dICa4uZ3dalMQ
UgKxYZUJuEo6JWxnYGC/STCkr3PAALx1M9g7EsX4X9oiMrgWrOJiPHuF+zgu2OwnT99jbKDPKMyX
rsvMlSfJ5vNknRzS0X53JtoYdXnpJX6b2a5IOpBA7RYnBHvhclERs8PtpjRERReXix0RXzqj7+m8
jI6aivKulspyfhAGAUAjbpjeg2Ir6vHg1IPIT3Bb/HmlGoKrLsxkrXZteWOOHDwwLOvcqDYBZlUg
14cSIg0j23pdiAucPnr7nqmE9B8cCstrQqtuuu9oJSnMk5o+GX+ovUvP/bPeFIE/J3ec73F7i8lm
/rnkU9BuGLUr+vWlEOa+xNSdb9O4GqW9mhiVEFomm9qMMsAC1hn1BwWhP4vkG4gb6dz0nivUg81Q
jGqadZ+n58mDivoAHjekcJVwq6IBjVJ1rGQSkprHuJvmvRdiMFUOwKldDd6DWXO+1LlxkvRe5xs9
xXy5OK5paeE16SDigBiwbJBTo5VO2L+Jqn6rGr2YR6LQFmiT2eRa/Ya6xw9uU8QTrGNdGuQ3GsEc
aSsjpde6QstRUwSYfayPqYHI2F6TBcfRXxfA3MiD6/QDvjG0IJlq9oTHxBnLaZDfy0yrOyM3rtCA
ql9s7LKcpWuzsgJ4OsXDMgrvqZT5m2zF1s8SGuBWvLaBnG1l7twFuvxyiEczUOCUq2xu3XsG5/VR
klYerNkNh+UF8FMQ/BxJr7l+/ugTU9U9a9X7bDDEvsn4M3EHa1cWYhdm7U6N1MBtcZ691IrizAIa
mdXElvnJwhAmpeso7C3Di+LQjfxhlfXLwSrrAstHiOxH9NNLAwJRtVN9inubyxtl70mXaCLLcLJP
V4ZFJK4PqUJhTuu73bWGUx+6KZx32EA/KiO4SewQdEjaHDUQ5R23o4kNbmkmXkuP+CnJPurbql2b
ZOqhZhHWc9wJ9uPJ9i+FC0ee7iVBQXkWH4yxdV/naZDMQJdXMAtfNUVH1E9w8rsl3gvoAGvZY5JJ
sVS9Vir8sucgOwz1cFMDZdnVo35KpnQ6jXS+7jGKFxtPi3YLvPR71VfJOgWY2a0c3OirdlFym3FB
g+ExZvW7wMdPAt+ydSfm5FPSHeI+mTb4XWE9Fg2DiGY+MrRz9lhRBtL3bLVxLT3vCln4VAnijQQz
bspVN91LCxSXfwU7+jb5SlxgwUagh74Eon1wYew+CQyIq2xY/Hs0feFeN1IQVVQ0n7EuYB2locSd
603MZjpr38FuO7Vtx10iY1KbtMTzOXz7FeessRrapjrwttN3DchQREzz1TA4oLm/bJxKa7JeAdit
qzz0MAYbNjy8/Fvuc//sUo622s4e82y88s6mYMMY9nGZypKcAkhvXdhQDQqi3iKvzLDFuk5JMYNG
ClSpHmaUFjx70DX17EE3Cpd35GH2B5FRXn3fh1wObbr61hbi0YRaYK6zbtubiXmEfKk+ljGkH7ga
+aJnl0S3GnKa+5qncCeZzqlnlG3eCdHjsDYcBpxwKo7Ldcta9V2cX9xAVYzDqjOJhKTFmfRcVKiu
pFKKG6szlmtYYvYC0TJB85Too93F05ENjMI6iIt83SrWwaaKW52s22t42KqrtDKPYH55+5x+mIIv
Ln1Vtx4HD2X8FFfnNsyjGpf4cSLf6sHw/O4YDHj+p8Tw78JymrfMJDIc3Un1kKjq026lfeElvrLO
CuMeI/29LQJ0763hPjIW2dE6/uG1GaCLNjv7o8dWuLjuvRquGTqpFWOK9mUWowFKlv4U+CCUivqZ
ySPhW6DXhsY0DlnMFdlO04cpZ5DnzvSmOIf3RDYYPwBfmes6BNc3EzRkkz85NYs+sENsPQ9RT8BL
sinx3A8scmTelhdbnMx+fpHCfBxxojN1s3ZMvq6YVn1Sbm8fbMhEBBaF9npM9ZbgOZ691l16h/Qf
i0dYMY+E+7tq5lJGHgKBZ1v14kb6pYCF0ZI7W2etuRaB3R+sJJ+Bk9rt80JOEUYhDu+h+eIC1D8g
wUPlUOtH8CcG4LqreBrQxhMNonQ7MG9hUo9110zWcRsK6m/9RAmaAfxhn2hApGzzQb0uYRnSni3A
bXQmP43VMxPXfnW9XehWm0hx5inss7P0PG/FAF08O6TrXQrtFVuEDOluCu1Nhg5oDstlc23l89n0
t4JsoQ8++PWmRF/bnwXhoDg4LONjwBq3oU8UHOwpNW+CYXZ561hhsYVORbcB0jRHQjXOPFJyUAeA
HernnjD33LpZ6v577jX6AqIi3xVZN2+KQbonhpHdjTPhbh/N6qu65lGqIc1PUIg46ctK/vCTFKVQ
s9H9RGCIOs82b1rYPOqxRs7G0GJfNuNZkA9qhWOyLx0EHU6/WBTjZGrUjglzY7BBqIgQaYaPCZ9B
AwaqI6P3YzhY+4GRHI7xIirhso4tigi884+h7G9Eqc4lVig6Y/W4VaVEYOu2Xh4VrgAvsYTqnGWt
gXyHEEsPpVLUEsZG0DvpRH4Sk76TBvG+a121B+m15fsi/EKd/1Jafb0uREI7n6eUd6lE1gs3d5iy
B6MzXow+n5lvhWoVehNUJz0vHPXeXU2KyamoPGZaTMzTuOxORq6rLWLQPaO6KQLsXK3qmkalQ84X
4ofgW5EAeHEn49Ox5sdFDfa6p/2+ydvxrHVmkFTpQWCaF66HXuD+uDafD3oRP6ysJxfa8sd+k1Mq
rLS1LIeKh3WJq6HiBvKH+Pt/BfG/COKvdvm/EMS370xSfs3zuP79f+rh7eAf5GVAD8D545se99b/
p4cXzj/CwLly56+JECK8/tE/9fDeP5C7e8ASrp4o5uxXXxKT9j75v//HcJx/QCbAjW6ikMK9FIr/
RA7/m3UC8RL2Kz4fR6Jz1d7+ZnYBkVlltoQF3Xj9NaI26cFnMS2l3yUpa/rtL0/m7n8cQb9mevz7
x7kgFSw+CmcAErerf+QXn5AyRDzkvTsxJOtm72sqchKf6C1AcHyULjKjz7/+vN9cL3w91zNdDnsB
AsTFkvKvn2cyeabJTv3XGCZ6fMytT03qZ7v/5FMgcvLgMD5xEuFNEubvhgKiaUNpDqCVkA+M0dzj
mUbi3m/++lOwQPzisfrnpyA0Fy7sFtv+ne1fA4yOA6fsMAlm4QYUs0fpPxXfiSVCRJ+Hxs1ff96/
Prvr56HVhBpBKgJGTlbivz67wlpgV3Ado6YL3W0a6GkLZcf6n/3jc/ov+aP+kxXxZ5/iYNzBNMY7
4pm/RYxYQ5By/MZ0993EfsX3VB569bdBWP/+7HB84EkSrHbWQfCbLa5tqMt6QRTqBEBbrBMGiAMy
Zc8bVlDUawqBRidPf/38/nWt//H8QEZ4wI8CXljbZFP4da0TytIACZxbmpag9UyjIZe9y7OLOWBw
+I8/ii2GFyrE0YLz4beHaCuiysuBKQBKXLCKYbVgBoBFD3i9+Bur9J88Sd8FLIVtxgsEW9C/fisP
eyHBHPClSJrgspNm/p4isz+7KFtvdVuLvzE0/sn6+PXzxG+u+rmvAYiBt2StozLal1asjA3x2unf
fM6f/Fq+h3kRsQtfzw9/e4RxSdB4WnOhocebjOssW0Dm9wgSvjtybP7mw/7sIXoCx5PJAQAv5frn
v2yDXGT8oLtK9ORs59EwtvZN4vtIVV16A/4U/B3E5E+/HAZ3WklX95X/26s8ughQ+hR1plUM9JDC
zCYZ2hYrmS7/Garij1XvA49gcASYxRN/+MN/+WqW4Xm5MZkIFFqzgA1f+DcdeFaER7L9mxfsunn/
f9Ppv3/Uby/YuAjVdsBfoHHWt0kiJBf3uXkRFmBo7ebNC6Xt21+/aH+2Gn/9dv/2IFNj+m/OzmPJ
baXptk+EiAIKrqYgSLaR6ZZapjVByMJ7j6f/F3S/gQjyNqPPQCdOhEw1gDJZmTvXHlOckfUIErJJ
afIQt114ZTlfHIU+TRdYi4SWtJmLrcJ7etEist+oHx7SknSu5hbymlfmpdfHZGcx27ROupuVFVgB
BYu1AkDTJu7sU2lj81TaV87GS1Md5gHMEkFnMC2Bp1OdqxBNEfg6QLxT0t65KkvvMjsPsLlqUbmy
X10jKl2a7CudhT5o/kVoKacjQnDPmtiWqwrIsY/Z0D9b2LEbteHsXz8ZuETSUM9ch2e1/iD/THXb
ElE4WmsOJEDhOeat65sZqa2XR9E37YqcwzYbu7lyI6Bi6Fv3qkhz4z5ba2i1bKCnFnLcoUoCqkOT
2aoKkl5lW8cgSGHiWh3Cu3oo0LmhA969/JOcT0s8zEwbigSOYGvQc/q8SHYFgGtOGR29lf1YtCZ5
Kex78vbK9qivy+h0ZTOSTaxjSNda4UunI1GPcyN9KiFExFF6JzJjONR1JZ/KoXkb2hqZk7Yq901K
lU4y/m6aKcHxDZBxqdt+1uorodD5TgOki+QOATdQNmtLKRhn4iMNVqhH6ZDWijGkeQxMJflmfxQh
TWCYhaMx6rv8mnXu+TtnZAMQDyBEeR4eYX0zUW3lpJiQE+yaEkEHQMlrjJCLz/fPKJtDHaokVbSa
TXvkIoq+O4MKUQfaMUdYMqvnkiZU/7VziefiA/Pi4KuRnTn9wnQ8FpKIsqYmjFQMQ1STSiyAvJdH
Od98GAW0FhkOqXP92pyzRWkA+HM6tOkInD8AR0UplLbJUfRZ8qOL6Wp4ebxL75EpSz2YscTZjhCk
JTdFixPJTkaz8ofa1e6NQIQ7183bt8YwY2c1YZj1v0v4/zeIvjbu5jntPpzqmlSgl+VFc5+MZXlb
Rf3yFnRsc99jOLkTSM6ubH+XXu4abQopCODBe51+wqlygfmROIGSr1tfO62f8GJVwyrmUBSTokLr
vrz8etd/8XRbALil46PIFYhjcRsL9jIcC6vFXWmAaOPbaIJ8mUOO0orp9WEnoTQRjA2rQ9hUf04f
LgUlmo62iUXP2Gd7akH9YSLP9upgenVqIyAhEDTW7MDpKMXclqVpzJWnOdV4lCkC2jRxHkVNBzmG
1ldm54W95GS0dRb9c16NoWG3E+UPDy5qoO9kTFV4B0Zvma/MjDU+2Xwnh54s8COAZshfbOIX1nGc
RdFCfRAjnLsIcPsRpLugGmnhaO/YwxP6cKwT8pmWzytL/sJSUMDmDNIn4L5suXlIhwLiknac/vRC
qI+USoz30Ddoyzes+rZscJvCSzSwrjzxhZmpDLhpJhG2zbzZHFjcSewOSTWhKGhFRAsKyrhOcjEW
g3blFL70gH/vyjqBvOJ4PP2KbtXOrRmirqLNZbi3+7q/zWVn3cWmMm66wOlAmKO7vvJaL3xSUhzk
HQhEXMvYErKaqDaWrmNU2dsUfLI4dv0R75g7uAT9uwlfU2CsqAlq2BFXhj6btuuhCxTMQO3JkXFm
BIkFRkWDDhp49GxIWQtJWtsZ3r5yb2EUsg9qvZMRbm33FvQDEpktc3aJOx3Id58s2G+12Y2snOJV
lqeETutYhKbcAB1yOX/9Sv9ZiOj8zBgSdYVIsJig6Pba8m3QjOx1mMz/jWOujYUrqhAXzdOpAoW/
ckfRY1egpzP9urN5L7I+v0Wy1V7ZW84WAI/kMP+FtNeDdssdwkGlKMs8ZyjS9B5pDw0X+fk5KsV8
JTi8NB2IhVgCUDwg9Gw2l5rm3HgyqsprTBHvG41YNxqj+sqCvjDKesxwNPLyBDS801fXhk5EXQc7
wAzkBhqNFjl1mV/jT114awTUaz6PMbB23owy62FlJC0Fh9EaCC7ZqPbl5CaPyDGW51fPb0mW0jI5
cchFb7lsjpHXkRZSODPrPjgg1W13qYQeTkrkVdTPv7PuZKT11f4zuwu0rMEyo65R9vCZRkXaGXA7
uDLf1pPx5IgBnkR6ct3/2HfJJZ8OondTnZe6RvuhXYo3tCTVH3M5lreKXrXFo/XuGq8JysyFEdF/
AyvDzRXGzemIS50l2DAzoglM8tDVeuRPiJR3gaLhDE/XILoppiHcz7GljoWojT8a7QWtRbNiJMf0
w8uf89L85EOCxMEqTid3f/rThEWG9y56FLpc0H9plZbsSRH8fv0gDoBd04GpxLzZnGo2cpa4xQvF
m+LGoFFsTGhAbhHV2lfOtEtfE1gUaSMDNDSlj9OnCWiCFXJmchY4JeyobiKLGrUDiqObosM39PWP
5drUBlaaqsMyPx2tn8Cv5EMJ/ruzgvt0mOvbil3U/w+jkPBYYXvEkdvEtpM5jZyxSfGSNm/elH0E
FtmS8ZUI8sI84LVxiWJH5ENt31xalBoMBxrE5pGyZDYqTAFjK3ptqohCE9wdclGSu40r1+/3z5J2
lwGGwjr301jmb3McZ7AJLK7ZsJ9nOtZhKERZDrUUbm6bnSMHxIStF5aDNEvFb7TZlbS8ZXflaCnP
FsM7d7Q+0NgT7OvICe7Jd9/ZqqqunC9n8RU/hG7p8Owssi0oWk+fdalFrzooBN6CQ5++7xDfFA/m
ZAnEef04SvqJVBbfNoMyrqVpLywDbgMU/SARIo/ZhnZaGVmix8zRwzhH0vwpbJRiVfxGmqG5w/iY
/756jnL4GOSgIWXy0jd7Wm84U74IdhEzQn84trI5ODmUlJdHOT/l6Fx1yJAxgyxbba8D5JzDqXH4
rEgCQmTlTnk7F4tD75OK9i8Pdf4GGQrTcMnd20Eas5mo7JVo9yzeYJlamFnNZVa7nlgi/ZNqpfUr
GnOcWV8ecn1HpycRqSoDZq1JaZMVuNlNohRlVFjjllAVOZwR9EOf635cftS9k/m6Xhi0Q4npvopk
eZM3Rvvt5eHPp6suV7IrNx0iSXa10+maF7UIh7EvUcY0tHTbzq+scb5ZBQmqWiH97PGkfnnE8y1n
HZFLK9U0sqwr4e3fzaAdEbwaSGi9AnQmjQo93YI2ptUvj3J24VAA/cjfshDo/qLwcToKrVK0Vpf0
xzcJHoM7t4jjrzWd0Kbf0Jj5gH03raKpi6ON52RZe+2MuDBnLbFSUokByR5tC9Xo8Zy0cBCqa1lQ
Hyw6GGkQDfToqWwbeY3MemHjo1TCVRlICnkU7gSnD0vrVmrC1mLh2+0D+2L6pAeIuwazoeHKbCPr
YypzrsqoUNvugAlNgCNH29bwo0zcyF795qnHIgZwCa9XdcLpD2NkLY2NKN29tKaXjvx592O0iecL
MSkvm1G7tcik6zB69VHGS6CMTuYMYQCMwNNxBR0wVo2Ez7NmMyvhuQRyOSLYi9srE/jSt+XihdhB
cp3UzfX3/znNAFAkARKH1VK7Dz4NcyJX700V3Hex2TvHl9/mpcEUaSsykIquMbV5mx0YhAhZUOkt
ZNbvKh116EiPsU/Hzfj08lAXNj97HUJQUHQo9snT59ID05odLHk8J3GCX0mnz5/czhmOaZFlNxQ0
oy8vj3fh0cjRI2+xyAjAMN2clDiXxnk/l+zrpYNmMKKAiSUhFXX+zus/mUvJmSORRyNbvJkbsZ1X
YdslpadmswmRRfV0yFlLIW8xBiEX+PKDXdhTYZXwYOxyYk04nr7IZCrsLOw1pLI5DnYBnlKAkGoK
f7vAbY1fuMCgEq85a67cnC6NS7qRITHGQEyymSt9B2SOljzGHek78HDFNN+hlqUxoYijT2Nplm/c
Af7gy0974TMiUCAEcAi++J/NchgcWqA6jW7AVb3mBwWrvErBDzlOew3UemGGuuxzAG/JGWOmsXmx
C3ATB19zONftstAhtBjH2R7cG0BZiQ/MT7uSaLn0aFyr1/IJ+WIui6cfEoBiWE+uQloHsu3W0BbD
z0OrxO0zvkYeX2fgJgyAuSypNawmNxyQp0PBejIgUK387jDO3pk0yPgJpIDDy9/q4iicuxirUg08
c4sRQJ5y22I3qZFn7+tAuPeRFo2vzoXpFB3JSNBNLSzDWa/C/2yQoPZIlM70VwKOmGhbFvQX3ZgJ
dTV/xh6jvrJFXpoVZKjWewxBBfYkp8MJsdhNH7NvaV33ceiWx5yWZxqliF6cGmLLy6/w0mjk+FYJ
FWli7nWno1VFm9iyYnE3cx3eFXEjD20KzENMU3W/jEt/5ekufDJ2ZDLR4JcZ09rskqljVCN9XUCh
hqqiLhsJ2svDUqeT4+UHuzDZGWJNjK3gfbFlL0+VqdOyxDqehsEBAoh2wHfSEuhTHAfNx5cHu/AW
eYmUJqm0A/vdDhZgwVh09Et7toosYKAY0f8smhW7EWgkcsn8m9Hrd0dObLKlxCSE3NtjeyndfIqw
+fOSgebIVAt90wAX0PaWtjdhYHnTBEjv5ce89E4JqsESG+aaZ1pfwz8rIcKxtco1OOMAIO8Mqon7
LJcALk3jWoL92kjr2fDPSHaFLAxVEDDdvouHW7ZqqGQFrXoQJFP8XK882IWjRuFVQsKb2IQzZfNg
OfTZLILN4XXT0h2X2QLPbQeKVsS23mu01Nw5dRx8efltXhzUXrcVlgO3pc2g2KLRluzKAnoiLzFG
CvIpn+1PmIE2B2HXGKW3kXllzAvXMzZ+ompDcKsn5376XlsXJnkioaRxU9I9qC13iu63LzOWMz/L
XObfrFw0vqWJ5tYYp/zKmjy/xaxVIbZQImoEvtvFL8zSmWRGn37vTPpjbxSzl0VN+F0L6v7t4mrB
voUe+xbT1Csn3/mus05XVgpxNAmF7XFUdKaKO/KTXmAgHKKkEe4TmRiPL3/Q812AWycE+xXqTR5t
e76i1Mfx2aDrkYA6+hbiyhj5XdmWGOQBVPwGMS38/vKI5y90veeSUlstrCjLrs/9zzKJOlwQRUME
kXdxDsIiLqwH+O9p6DWUVQ6WxAySfk0sYAMwpddUC5dG/xvFYzVFY9XW0ApjZBHrABg8ASAT83SN
hUnuHmzsTo3YYWO0B2/Qh9JVpbRRafrvl5/+fJOAH8pE5pQk10Cm9PTpbSoShMlsEgaM/Vt+fU8r
E1QqUP3Dq0ciRUpmiFLO3wT76UjcHQy1ZJySRaCcwi8Wd5w9lVLTP9AYNEdXtqPzVYr9B9cI4kK+
KWmF0+HaRINv1bUcJxCqfnGA4NWUpL6eBmTguqI8hvlcP1ejUx2TWZqfX37Y88XC6KTSETzjj0BC
7HT0rqfFqKe1BMPLJrnXK5tm2wRK4X8ZxaXQT7UHiekmEGCFuKi0YZiQ2lZ3yWy+G9xJu/0Pg6yu
eAi2uUBsdTUtWj8NVRovclyqB0Tp4FtjIYZrWrALK99lZpCqdBTSwW05ifoptCz6SVafcstXNZp6
pefhLXq/6c51oci8/FwXZj51uLXY4dCycKYIa0NjLuv1E9FqLPfZ4GbvLPJe+zyczIeXh7o0F1Fe
iv+XsESXfjobcvozuW/Rduo4Y3srkhpTZt1ce43G7LZqGwEhqLMeaZSrniO8UK8shQt7DGEcr5Ss
E4L4rTbYynCXbQTBN9QQ+iNrMop4yWd4xorJaZ6wyLUGDyBj/WTG4dxcefjzI5oIi14Jij1kwO2t
YqqE3GBYpF88fSnFMx8DmmBhsBh3fRRmLVLHNP0QapP1HzYcBkZfsBo8YIa42di7OF4BVVwCZr1u
cf50rVuwANFXHWjRldh1s9xZeVhJoCrkAsAeTmR3+oGDISpyZc6xL0Y89HQwn0e9HJIrO+g2qfe/
YVz2M8xx2LQ386jggBKxBHSUUKPoFGAOjAew6BaJtqttuv+oJxZ3qdQegimYDjXVzseg7145nc9+
jM3mZlZi7AhuYz8GBetNFshGAsPxWDq59FO17EsbqD6rmcQbYsb9y4tps27/jo7AD/42XjpoZDcb
ewMpM06wmQbaHfZ3Vm3Pexh2oLTi4VqZ4dJn/XeodV3/ExrYi3RmKx9iv1cq3ncyc31jassrn3Wz
8f19IAzc+KREc1x81t//ZxQYz6kVxUnkBzF2G3d0WJvBrp0r0AhyTpT46FRd8Mpobh0UJT2rkWYm
sJnuJoiVs1ljAKJCfwyiEFqorP01c3UlWL3waA75PIM2CPpxsD46fbSeZpFAI8Hkq2l283u4uTIF
HptjlUhfWEsPkFOx4788QTYbzt9Ho3S5KrUYm8vI6aBl4ARRPMOXzScB1KpIaCPFu3lpR73BccCZ
FH4N0TAew76m2v7y4GdThno+cx9dBGJ79trNkdzAIza1oDB3Vt2FN6IJ5h2W9MGVUTY7ummTRV+t
LlfnElzptnKfPotpYCkNfRfGczjsZpqm3yf1pPaaPWn7dua0zgv6x+krD69s52fLj6FxVFz1cAbl
FHOz1amkFEGa5HKnizLSHwyrGurPMaQ6zQT667TdlWrUpfFYF5z5xHLI1TdrMFrMzAg0wM1zSvM1
rCjXp78w24HcafyXv92FocjdK1L4CJxYh5tHq+joalIkNTjZgNsM6mLxJ85ltjTo/y8PtYkI1g+I
CoISO78csKybOZoAotCx1uapWlHeR0FRHbVgATShwSTvBmr8AVypXZJP8s0orfHKRzxbl+vwlEYI
6lDuMFNPl4ihKUUMHBk7Jql71JbO8Ey7ITEtsCeqzVI8vvy456tCEmHxWpk8xIv65iNW4YQrSsC2
BkjZBJBcQNyLo+7KSz1/qpNRjM3ag4+ntDqFaURF31lB4XRWTyjv9Eg9DoO8ZjZ7aTiys6s4m0YK
nu/0JVoFudMYZIHPJiaK5FDBrIpBRVkZFDTAaSYMHRjfGXyg179NiW08MlgElCSwTgeOSDWi4Tc0
MJCl/RyllDHL9pVyID4SbbWIosnoUAFixZ8OkpVzFtnYpO1mHudZibKAC11UVzJw5xODBghhk4Hj
vkQsvnmHyQAiGwA88DuDqo/lgirUoNjdvvaFMcqaI6IkSmJqm5pqSzlGlQtyrjINIjNaXqG9t9fm
w/n2YbMlcsWlRZOKq73+/j/nOKn6YJYA131tmEsvigTHG1SemymgWP/yA50dcauiiZhKcnmhWWh7
xGEdxleDAeXXtIr9XNI+f7KssD7UCZ3/rVvirEUS9cq5eun5UEJI6rfIAmh9PX2+BmqiHQI895M4
qikZI2VvDUjIk6aPV1bypaFYUZwv3FfIi2ymhZXBEqf1iwrOIrv3FRbIu3Jw9WcTgeGrF9PavYcG
iYz6mtbbzHOx1PFc9W7q45lWHlWb/WmkfU16cP69mA+UI9D9r8fmdr9tpU6LOp2tTEBn/tSXy+Iv
mhm9oe+1fSuiKntbLFpzrTZ2vrhOR93sE4E9l7RsBbEv9QHsWhV3x7IdrrlUn8ciFDXJoHFs0oJO
ffN0WljTHKe1xqVEc/v4IU97TKRhcu9yszLu9SgJci8eA3ljRl3w/eVlcOkBOcS42RrEQAitT4ee
lrbStGniPmTbE5BCI32Twt/x/8MoJLWp7pPtpY3sdBQr6VE8BRbccGMYDrIq4VHW+rW87vmU507D
RihXRAO1uM2lqnREXuhdlPiiX4L+WI5VaxyWpEnzmzo3uu7KlrhO63+KizwGw9GQAqmBWxS3ydOH
GsLCrOsFZmCw1OYxTOvlsbDizE+aNVel+kHdvPwWLywBsn5IcNa8OeHx5ltFnWlqgzMmvusQbXSd
Ts3K0Ur3hotKByu5ct8MTtvm+5eHvfBa2Y8R3TCqzZm5+XidtgZf9QA3ksMHUmyy3AbgXUFQcpm/
1jR/4aUS/GNRtW7/3Ko2LxUw0OyoEBpc23UhdtDoHLB5clAD7WJbtdFNapY4a7z6CbnGkcbigINH
4W5iOdMBTdT2PQR4iqE7ckvBkz128maR5fDz5aEurDcKVyxzEsWUc7cKqq53qAJE2IGho3d2gz5Y
u2xRv/7LIGSiyXPQCra9Dgu9CtHzdbmPABrfrkLgrTSq5coJejYvSJ9wjFH3I2ezCl1P5//E5Y3i
YlL69JbXjxlpdx8m6HiMZt3+8vIDnW2QzHdrLYgRJdLOs1W3FU3RrOLq2k9KSz4FKLOC23iZaXL1
y6ARsMfCenQBvo5VnX5Lxl7JK1OEEurZp+P+hFSSAHlVgtBMf/q8XOdSmj7Tej9bAiM/T1tkZmQP
Q7a0IUTv3GzzBX+ifMnwhnGbNsE2083hbAEXUzPQJRULPQeeBlUp+o5FEfno2zFzK+1z5GAJ0H0J
5jQpkhtHG1rtV5EnWoBLYywg/XoxeNA02eNYIgJ8RuZiABLfDZR7k2MH6U8+DVOltBKyeDSufz5a
avlcO1He/dE7UY1fFkyD5Lsmd5r8V52aHYD3fo71faKVcQ0ZEevU/K6vkvhOOImdUBxLhvnrFBUd
BfKiD5vEORhmjPUabmXDqDwqbG7zVmQrLSGRUeZ+Jr1jmPc2vZTil2rpffqUciEEu1jSFoUTGW8m
d/wh0xKwrd1QTsEdxM68A8TdF+NHbLps2iXLLgkCP6dIngK+7lTzaTJlk7zHlVGTN5lSAQlCnqW0
nuts7nGnk/U4OdZNUy/hIvfdkOClsstEpkznpoFvOx67HKkVZNGJajVU39ilmTZXtcq9eQaf75dR
gLFI2S968SursEkG8wiS5kvdcp0FPN+UlfYOvWwZvOtiBZW67vU25qKCe4Gf2yhLvup9KGhqlQum
Jx8rG98CX4WgI/ZTK+pu1ztWlmCwCocm9zWp9eqLFcxO+62CdB/1O5JMRf+xLROSrt5QJFkTcZUN
lH4TSaObPtjx1KXcIsKlr6lXJkIDQZdhj7t8sScnC7FndIdaO0AQGIfsdjVVjR6dqK+GwaNtxoUl
icsCgPkuC8c5gUVFHAX2aran8kvj0LHPvQtiYPd5meUIGTkGZaU9uq0Ms59gvVMj3OWahs2fv4xN
YrhU/IXVfyztSFi/jWUxw5SkNKYNYheF0PJBKbpDo7egeTHChbKsSljXHmjUTD0lwQxBMO8r212O
c2gVxbNrpSJJPfQSEajAElLxCJHRHAzhdb2ZLg917yKDPGqtmgErG0nRWPj9hJ3sGy92FyP43TaF
YTGVA7ulbUGbZ118dfFCa+lZN6elGXZhApv7uYrUot+NRmUun8yi6cOPUuHU+UR365T5lgq0cUdb
xOJ4ruiCwh/KeBZvczcMaPgnGb98zjTUI51f9jaD4yHovJkxyjM/d4nbLwc3KNmBINf2bYTzaFDq
oXZTzxmVV6+ozXl+LkyMTiPgyDOYBs9JxYJEpEi0ohH3sjHySu3WErgSftRpUQtFO3JJA3qLkVIL
wKWCTk4cIIe8X35ZkUYVyw+iFhWQp5ezKM0DEqHCpWNO15ZZ9xKxFOMzCksN/ipd5XAKDWO17PLg
/CBL9ubSDdPvVt1M+Dk4ocBQyo4q4Al07cyBwle4QyLTe2ywVv8zT/AfAdBpYFfS71Y9RNveOTh6
md27tBRW1tziNh9V/bGZaA0Gj8ilwLH9StqB9aaQiZ33sIvAi0e3Hbt1gkZaVx3scxg21s7Ax7VK
d3E/upVxuwCUrMZPOJPMff+hSGWdKtDRyhn1T01QcvchuoNWm6w1SSwUJ2xtp3sMUpfW2FfhYo7e
qOZe37ftDBbIV9qYNA95Us/1TQ3PA0C6nncl3snKMkb1y80Nah6HLsEPp6vi0bnXRdqKb05stOVT
7tCRj+oPsRLCQxpJy18GnL7AMwaihd04xcNwL+zKCZ5mLsj9Z9GVTXbMstA27lsXHtWO7Uv8cDow
xVhJzJAegyU7jlAVgURA+dQ9OxzDt3ZgRO/BiOYHfO/T99TVKuo9uaNa68mNrTzdk25qMA+g6F1G
7+1qGGnerSSWeV8NSe77J88Uy6+dnbSkBXpNU0d+LEoO8BThcqJDyOQRubXI7tu5CCwfG7ne3KWJ
MuqvsjdcTUBHz+vqjWalKvtgpDE+RToncPBQm/GED7Hoqq+Lqc8RrhyqDn46S+zmj0mquc5jV4tF
fUULVJeHttRiB5xeNcxHYtW58wac42ZzX2t58LtUrd48IFuN88OEi4D6wZTFgHZFIdbxY2MbRfFL
BWZi01jY8B4guA+N/B2bA9lpTysbg1nNHBHToyVzylNaMXf2x2Je6uUu0hI8RRCnAvT8HIRuJ4ob
c2zt1jkIqwkn/WbiogDJdIHW2PzB+3EUv7G4qAvMJPE66fFz7nCW+GE009RLOugL7JF9OjQG7Gch
IYXh5CksxXEYwAxoVaU2kaxB3NozaM3fTp8LkXmlW7d0y+Js0qnvtZmI6rMTmzk2CHbJRI8AgasF
9+y0nCW0YeCeeVewkbqQbV13yOhBp+5Rv401a5TA/yOQQW45sZ8jPWj7Z7iZQN3poQIuaEB61Xcp
OhA0lnqJW6M1lTGyIpHGpvt5Cimcfg5GLf8VFlXikq3MhpRscKV/1jUyZjvJXMQQHPPk/GfbL+4H
BF6c2AqO5vRoF+N0E7K+gjdpJDEuY/epv7o6hd/VRi99bhH1fMgguf7Cv6zLbyqspx6rcbQfaTwN
u7/HwnPo6vhiGZh/3hWQi/uPRAp4P1iRpfJjvQC3OAI0CfAucQLM0mSpGutmaQG5esh988+l7vCx
sD0GlDqLlW0cRFigVxAPdgjxwBFYdZYlhwQDuDfcbmbYr3m2fI81zu/bqjNqE1/HdkSC3XX5vsEy
9YDFpW4eTFGERy4fUEOqOa1Ag6MLivwK3rzYYaeC4SHVCxzLOd6eJVrMbFcHnDE7Kx34KPGcQQYa
ULV2u7kZ+/S2hWg/w4920Y5Bi1MhBKFphN0K4nrCv73PZi9JcKdJ86abQNaMLrZYGscQJFSG2vWl
kaL50Hu8rxq9tDVfTsakI7ILow9sd8YXbHGLwTNm1X4yEyf8ZIVT8CeisvOIyUY+8UY0TRyiuKSO
JJxGsB7KRI049LYEq4BjKvtNFeRT+liWS9EeDbNNqtuppEfn0MvOmDBLx+DeN2tHw5vYanHXSEum
pt2q3NwHsyvKXcLfeb9+BzLhM4zPXRcEBuaFBvyx1ZgcVzhbzTmHSOLkuAMUvfFdjVYOwbjEsB1l
M/RtunI6eYy1paarfImTbyWfJt7FY6YdJJ3fFj9tgaTIwu0c2V+eGjsuO/khMTP+lzQsMXiYYrnh
yUQPPzcwQYMbM8QpDTPcCMGnnbi4ESuMgN6nGV4hB8fAU9VTbW9jWw8fnpK+WlLllQCiZ1wLUPZ6
mqVHmN6AS7D2OM1UH0anza2PeRomWDLZGsYT+eTAjU6jepreWg4WIn4VShXuinB0dL/ke1bvcIsx
bjBuyK3bUmawSPNJM4kuHdjCnqQzaPA6p2Mza5fYzA5FPmjvDaRV5Q8d33JPc9kzvdoGf40TUc0/
K1NHpfsB3nl2i7upFaIUL7CHzhLHPBLjuphlZKpIf6e4goy/bcArX/Os4jxJojjGU7RVqjl0Syh4
Fh0GMdES1nvFiNzjLpga67Nhza17VwT0AewiOYQf8IwthFehvL+fhoDgchhHgrxhqZTh2yW27DvA
U2o1DZzih7k2jG+tqaI3cVbmptcJGXZshiqJd0UwsDGOi25+agwxf9PKNFCeNpix/sHoMQXwLCQO
+de0qTFZ8tO264t3LEuswNDDc/LZQSy0h4i49gkbY9AuosRCvdStXuHa2/Dn2rRMsXkKI1fe8Kms
4bD0EVaGCfHDh4F2k2QfTHEXeCE16ugGg+3aPqRIdVLMA1yMEIIuIB28aEEerXBh/as5aqsgim7O
5EASst0rOaAGDaYoOC7GgMPMaIVhftSIpytA+xLTD9dJY4zTcUylIznD/Qy2sKrym4Z+1wdyb0bm
Uz8a9Nva6XQ6xDTuLKwvrG6HIyTNKbkpTBdLeGIVbm0pnyUB76f4d0TS413STibt8DSwRF8o6+e/
DX0Jf0VVOf4C/xJ9H8M0e1NYaPMOklv6w5L06VMRaFjbCCbUV2zJBPazqSyemlQT7Jk5rPyDM9kZ
QYEIlOZbBBTyaOuTnt7KLG+fqLNb4bLjvs/tbekK+aGhx27e04FUYbmT2JwFGqfWDhkvfCzMW92Y
YLDggjrgPPJAVR44xUIzkzqg0RfNQXMaZ8LZVWF82Jkp4XA3CGe/ZAPnEPb0BUYpFby62LM1LXpO
QjrnPURrIn9KsK5r/SGvA3lkKy7fIqIIaPGVi03bTa9sz1wSWAEIKdQf0RjTH9Fp6k9rWtxsB5zK
5l0veouipdtyniGwy2LuIbmxDyyu5+heVmDkpOf193Ec6XQJI5njPaUW+ZNiCXegTsFWXzqt+eQG
Tvkjx8NO3km604+6sF1c7Gy3qWFxkAU+0LmC019iBWhPIrwzPg9lMLBcyiX8ZhfV+M5ezOC76mbt
sZdG/6g0NaaA/BuJfLLDVshzVpj0Pk6S+jCaOGPvlY5ViId7zfx2rLNJ4Jc0Tj8ckKQQ37W5+5lI
OAmQXjCm8jGcco6ZaAZB4iZcvrcCd0JOTrfAdzFt5Q9M7/GRVPNcfq/YPJa907vJWyMxxB+jz8d3
g0Ye/CDr1v4+hFnyFEGMz2hpzNq73g4JkSyKKYM3o/EZbjJEuHipjHH+Z6qF9gP2fWKwv83zx7jE
CN1ryyWL3idxbVI2zYfit561zbwbZ5Wm+1kzswzlZtbfa/lU4VhUzPWf0DaDb7OswseeI/zBzqLu
OeosHEwG3tpPp+6a+ymvdWL9gm/uwWCZ9F2WasSBWRatbbtmi2xBmHMG9DaK+neq4RqOO0Tacaua
o/Wa4Frxg27kE0BoEVtk5HWIRoehnYce57PYco5ULvVnu0stGz5Jq703G4vlbtB26ZCo4g7vT7S1
47/rTA63UpQELtUmbVb7EY8mh5U8lXcLNV/zgBU2LH6j7ih7dmbXHZ2Ed+2pLsfZoewNDA/61mGS
BYNpvg9qN/qM8iJ7wkyaPBAXvx7PgkrVuMJAYMBWxnanDxiaWr8Be2dvIa/jpgSCHuMn5RLEHJop
dzHIxE2HdHmgY2leO1l3mCalnjjTy9gfrLi4T+jw7m6bMrO/lYPU3k6JtlgH3Y0i/L7U0t85YaM+
RDgkYaXUpvQYkGOxgt0c1fXe1Scnval1s8CTwazMX/DmsXzqiiC7N5cGM4uxr7pdY7U27rTGrI3e
zJc54nUvxsMwRMvXIMRq4Q27hZXjT5YacNTdbsTfrgLNLaqQy13Aw/N2ZjV/5dItn6xUhh/ThkZf
L+5qC89BjRjAN9JZ/MniJL+n3W/dwsle2Qec4CtnRxdN94AH3QC8F7YDL2AZ7d1CW9Z7uG5y2kXV
Yhfe4Gp2vQ8J263VhwADq2HkMRVNELAg8xEbcdaz+ZMKX/BJVGb7xURO/40ywXwfZn0y7booU1+w
iyh/kQnMHpq+yn8k1iJvSx6z2VEl5/o7USWCloHmHx3cqIJbWbSZy7j9zIzSsHza42Q2GJ6OGRNv
lj2DPIhhtR8y4B5c9g1UEeyeTv2A6V46eoB8E/2+mjXr24DR8VvHTprvWZyaX6RDCQ1Hoqz7ATcd
DPmE3bjctTl+vWx7mLx7/8fZeSzXjWtr+IlQRZBgmpI7KGfLkicsSbaZSRDMfPr77R4dq1129a0z
7OOiNgOw8Ecz9sEbDDND8piF6dVGu6SJVm7iNanRFs2w6TJe6TFlSLHkKHdr4lfU/pFMQOUx545X
gTSLJlBP8XdT80FPVSfbo9IFPcDrZBaOQNhKOfxvedsdk1rM1/RvkkDtQcXSd5TZfhr3WRuMe6Ym
qntUvxUvyPSTO3v05imqOR9tFNCcprZOTe1Z45FJGE3a89s4dTDsXwRmNW/2tKon6toUa7fYmvu2
GYKvburI9Tws0/JJD0X7MSCxviY+ol0PuZeHS9SSgvFiLQCpkc0OjPk/7+RDNTVsAUlGdCZLrOfT
am75X0dHc5RDRayes4lKjnhuV1w/nimX6mKwCueSTmYs0l7jtOPOaaR4yYOWaDrODAkH0kAR5tQz
tVzVWzP0kVYVBXJ84t67ENQ877NuJvyIlga2qbQsbxuH8wQ4EJzyseoSqvA2ghKOiQjledCX/o+0
Vs0F+nWmmGpixJBDsDyBLPt0OzVJMsdLIIJsF7gaAT3F3CxRCt/8dQ7Z9DFXAxXkw9DaB9ebmOib
odiouzSmf7W6ObzzEPehtW+IJIlKt64MLb1lewmV2VIPaSiUS+tyoEB8oF+aUNaJ2YuCts6JBiet
H8nxpwqe0jtniwcllytFeTHt5xStPQQk8fpRrYfcPzjBKA88Y70xuWF1ru1evCIuwu6O6d3uqRh3
+6sKd9x8VsISPfliNtkFyZFsjhljdRaxFomzMLOW6Wil2vd3xg1wqbspi4wCLLtIZLXd9kPVhftt
ycrLtVkNtcHGXZ0oFGtPXZDHrtZQRZnvqtFQXO9DFNFm4GYvbqK3ty5crG7HMyyvxmWw5S6ce17u
qkzqr4Mo9XtYV4q+FyaUD0iG9brw5yHbcWZuboZlFdWdRRTDkD6EGhB4t7TOQAR8MubmVTr0ZBAM
PKrxRiV26u2CJujW93ITVh815cBXIIKBp2AxqnMy7J3SOZ4EAFiccxN+eG5umn1n+m1+nZNRPgYQ
h2frZGV8ONtEpWo9hx/12FbZIZBN80x4uvo6tqIw8eyI+tWiYFdFFifuL5soQoKXvLA9SOPxltJ1
O1d70Y9hsF/GROdnBqy7j+yGavurtAqZWShB1Y+e6oEX5WKTDOAAYFe7nFKFJSKutF32QVC0JTCH
Uz+WC8EJxKdvjYgWky2vgyoYQ21fNv6+rvhjdu3Ucekl6Px+Z23rcs3w3HGWXau1i2sQvXyPO7+m
EBVO6E2skxekH9V2ghRWq+vug0IEwd4mrodhY+4oP95ytwGZosvGisW60OMAOmd03MJp/7RX3/qn
+K7O7TM3nPW3LhlJOk38kZ5mMGaONavvjCA91GLoi17ZoiKm06EwloQBliNjdFbHzba5d2Mxl1eT
JeZmt1DmmMfphmwvzhZDkHxmBj0fbJsZAwVMigy41rWhCghz30NhRtvi/z61N9IpmNvWYrNqytPa
VcWUU3n3dYVqIFrWUYO4lbV/QyydQ0G59sbvGOKXMQIMsfTO4zHrXW1EBmClw/RuWgnGiQBKSus4
odqdd+5CQic4dEj7VwcScV0lSf8AqVJztl/bRp6Wb7oBFzWyTJOvxj/PmaYjkcjpyd5UeKtrylmP
yPWLu75JJX3AZETcDyEBjmR60wATN95sQ1fJbGQSsHq6UQ5jCGT0XGdFisajSCcZt22Tb9elKjmq
uWyDdRQMo7vs9SYI7xQVPeCXuQnkmdF6mCIN//+U8VYNKGuqgLZOXNopi3HOB5WjlUmjBbkXB1HP
TY9j6gTbjnBiDZVJ23UaBQSPJ7E3JsubaqrBOmacUs/BVJ3b1p+9n5kTUjlUzym1tdR/rX7kVtVm
HcotLTda7+zpaXZFLSIp87UnG0NVPiRM7tPEXGsE3yvZWEuA6MLZZmBe9LBUaZOh5sbwtHPHtD8H
15BE5kuCRM6C8AcKIc923kD95AARkM/dRldK0qMflTQHRxX9cu8iyzdASRWWTwkMPWWEvgjXWHA+
uAuXgskJdxHtpZZFI2bkrVV5njg2vt5hgZaJXJIZmp3P5GriEY6v5kluLQeARbkmdgutHkMjOVdL
TJcPUD4SCKOTI4PQOJbRUNKNyFcw6LsxZ+SlObUrz+syY8aYUjF1u2nOpnc7Wa2KeW+m8IXOI3lu
D4l4MjRo3qP93erIHZIQhNVqjNnXsH3XG53z+IBSd/jyD8lAwVuof9ijWW4FFZjPImm7ak9BfPGD
xlC2Uz0t2/u8CnPrrE32o2uJ8OBw4CS3em08lqCktZ+nSpHZO4E+nfl2a38kVMp85afyjsGLbuNu
XBrzzW8EwPy2TSRujUFWYUkmyoW8tsLds8+pWxi0/oGjKu2aTuquL4ikxbcGZoKNjCr1PqpGKYpr
Ekvhk9Khmx71GmQrev+N6gNt++aHschsYVr3fgiCHK2Yw2hwY9tzAdJrlv6LoO8b+GkYreuqOK00
S5Yl9w3b5xDPA63lkCO4bxEy+yJK8l5614u7KQ9qpq7uF7ky73LJ5tZehEe04cR+F/gTi5XxPeuh
C5qiu+wT36bC1a4nd5f6FTAlMdqBfTZ2iqgsl4QVdzfIZv3JHTotVoyaZayBU5/lnAGWliOnrchV
wB4p0STuGZugBNeuE4hwe6vb+/KUNHAIG3u9YtlzaLwig2iNvEC0PxNRKxU3S9ZxFJ6c9qFYwn6O
4cvz/hCqhtAXipLkPb16hRV7qHzuesZ/w3IQZJBP2EdGnPGLRcV9li4kwCe1nignXsH8xJT767nC
EfgjcItCRbUcVR3zkqwv01iIp1QWhoLg1Zi3pkxAaydaS0oahCZ95xFP+mHYeW5BmuUdmb2tfdeh
hU+A7OqS+o0TQ7wUjTRfE5A/61g463hXW7KvLxNv2Lao4/PyDpgR4f8KcQo9PuUN7+u+Z5Z3gjzM
UfP0gm6lycnemxJsFhOl4UArTFlCE+kyu7Nxw457M0xmnyY9FP+ClI/7u9oMFaayvHvKoMqOW50y
K7SoQd+tEmJ63/QsxfFaLLyxQWv5PwfHWh8oAZv6Sx14bDkrnhsZ+5O7vIGD+yruESEfPaJvqbVU
yONP2xyZmFq3p7bzNgW3I4bGTmJg3e2lWCb5upZVIKPJpp0R03v7w6NYcYkJeiZwle6w7utY+ZMf
VVYNh++mfnde99QDR9Sldoy0yq/cuCsD9ye8hwvbgYrgRBbXeK4a1XPMIjje+gA7ARZvWNSmuIQ+
tK9WU1tfKqE6mybBzc1pYqyCE46cQMb7Gfjvjiy59qGcnfV9Qcn1yg+ipYXDRtXsaagOvVh1Uz8c
Z/LTLwB8rDlqeYUemZYoXk2dRNCPFmzCOVIM5rxabpM/o1LNvo1gs6/EecrsCE9dP3dF7v4wW5tR
ZFuFFpg/3Ny7bjt1vYRBN1NyO4XyA+G43iI7KQgBoI1CledWWc1fmy01VNhm1M3tBtQgvMgYO3/y
PS4d6GEHT5xP1cqIh/Km23ulyPS+N7m67EmbgG5aGvUjcWqQANkGyS4zszcf/HxDTZiPriU4MbSC
JvaUaj1+M8yAiBfe15UW2ZHS5Zpnd9HI1oJLxpD5o9TzcK+bjaFWJH3ixitwtUNxtLsUsbYqx7rc
ksok9CR27quwFxihJqWx7VBwgH3wSyF1HLpCrOe5yewn5LAkA1gyYzbwWzJc2kGCzqSnOYDm30Tf
Vo2jKxb3uXkUBnqMXZrGj2iT2r+3em9KD7MY6m++ZjqK8wawOqpE6rKf2ZV+GrrF/Y7nAnymKcfW
j8zQYL54USQZymuHKuftqjQqF9R5JaBNU+r6t2h1dbkL2Ic3qPagY1ES7oi9biId4pBS4FIdk6rz
i0ub5QPkOesGuacUKX8qynQF7nFnQac0uiQFnGcDK+vB22J7HVEPy3Irn/F1eXVUk2eR8s8NxcCN
vVFJnC9wHCM7zY+eEF21g/GRF95cn5p/m9C78MpALAD680K7ndTPetswGS9FmFODWLL2xVNmZ0QO
N22nD0BC6V1Po2CNw8OTz4I266/4Pfj8mjFBgLLWeul3mQp6Rbu8RoqhksA+7wu+vzd0AiyQym8g
umyHxbZkzOLjbGyj6VEHYiDcBHEkuYk9h9jc6wa6gWrpHKuB3Dd2Az/ZKzrMaYguVxq0p0EUV+46
03IZLNaSR+lEMlFcNQCqZ8HquT+022VfG5aUjJvgj+etZCTaBWig1MNWVuPVqqw2v2I6865mTYH8
0Z2aKY9dt0ZUw+QAWiPlJM2unmwBALOlvDyZ67avE7XQ2a5z8vS+5tD1deFMgMVHtAQcbIFOvpRB
qlfclJvvxwD/0ABQveZSa8aUQw2mXsaVXs2IfdYxN3Kc2w9RCTe/pJLUPcN9PX54U+XuLTsbuxug
ezivAVPkyqLUeT/Dqc6/r3CrPyrQ12elPaQTiSbRJ3ZK2lyjoWM0p+laq9sBuQcKMThYcpSmdYFy
mFQZrzYx5IRuzubNL1oWwTEDLWcnGXwTF2Xe8yhmn1d/oORSRU3Wq+cQ6dFbRpHms9X5wRjVdrO8
NYREy12RTeKeeWJDodLxx/tB/UWp0TyXS2uFEWu1LPBAoTtBOaYMQ8ua6pzII6/ZOLtt/RDlBMAA
NZAgD8ylfRNEclzUmysH9cWx/PFeCQ6oUR9M/YdtpQ3zCIcgvUugNc9rfiAjXTI6lzkjKU26+dS3
aFbIrSbs0yGYdtKILPj0a31kL8zefTW7A/HS6+aQ89Tl3k4J1893CTdQ0veLAz7GEkMBeW47ObJl
MsPgzzWCrei0JmNa4QGryFArddUEwJ0wcqV+JmCq+l4uk2lR4W/VbVMxee5X2hChtaB3611YTGo5
LAW0drd4dRevfqn4ZQku0f2WsMHAjQfLN11a5RsHAnzceS22J1uuFq4V0c1PKl2LB3udJKCRnGHh
2D5aHaPXgJmugqG9nYaku6mV7XwxDSf9e2AnR8UdyqtvK86617Rd68feKxmxUYAXaMLyxHnO3LXF
gb/mzo2A5s7O2ibt3rKpPSkQOYNQDEuM23AcraYU0TSG7BdiHQvoJMjEJ89D1FJkxFxGc9cMPyYM
F988jqAp84bD9+kwJDBNwHGF+9ab8yHu+i39IgeJmEjD6JxaNTLoCreduc95Tfx0NI62vF8cKqVr
ysk00KUq3lDUcQhZh+n7grK4jrL+9Bb3vcrbs02XzUsLIcwLHVZLHguAASuCO8go3KyA4cj5LDPK
vjVF4UbZhn145h8dukyNGfUeGeB4ZYm1OlN1gnCoT5fhPu0TJBbFSWgfKTVnK3q0UbxwNq9uHReo
mztfiFtthvQOOw3huYls1LktBzBgc5Io8cG5LgGRZTsGOx9Q7RlQUb9a6Wy7e9+qwGUnk8sbNJON
F+MrAbjivObBShfSX2PWWcQbjF7NPR2rHPBE5/DAswEqeccngMsjRbH3IjLavml6X62zWUC/s4an
yxtltsmTyxTDffLE+C6dDZafBM+cmhnprhzUxZw9yyR3kwsiWefbpiMx5sCnwMKGNI+9snUp3YOB
nbqUyd0x4E219tgq1tZcCcXaEvlDOpS7oVLdRoXnmtzit5geJjsY3ic1KHMmyQy5bCqoeCa3NoGW
VO4bON7M8ueb9Kx1cNiDxebt0Zo7lD2LEvqSn9ojbfDtLItXLFc/ct4frkCG+6G3au+nVlnl7YWZ
mrfT8sApDc6DLG8miXM/WahCruBLX7tgpns5z5yU0m00b8AzYBQ3lcFcgDzGS242v6LRbwOIQ4uQ
be20CxN60xmJVH6x0UPtxDpBpw6Agfrj0Im1vCnDls2z7urZ5vUxzkXpwjmReWO1FWcor3ywhqX4
mNvN/5ahB0eQmTnW137rOBS5Fak7aqE/PUptC49hOloJY7k3OV95C4srpPgfS0IHdEzpMtOenzOf
+1tgkwjZVNZZYWv0TMsGycmCXXTZvggY2aNJcBKNCug6xEbhbJ8jysmCPUl3dDN5jXDeGsRwrFYO
23DRTNZZ1nd8EgD/dJTb2rnTINDNLpmd+bWz2TV5+dT8bjfUDUVFWXiXU4/2ixroNn+eV+gyMKnZ
vcaDPfOGI67M9iPCPkM2lFac5v0SFsMz0rrgwRm0GuUinspwSRGynQSIrUvj0HHqppwFN2leDSbS
l9np25vGyhfnrKi0dWjEMqgjiyv9rf5A0a9CNQEkSB0QeEI1XZQN/Kc8MYlo6oLIx1E6nS2hW8M3
1LnXswLZgL0UpWB0ICsfentySr4nHkJi0DENrgfxMQXXtKnSaNY7wOPXmMpAD5ql9Hy6ZQz6XGAJ
0Ar2jWzYT9qvnANNQUDaxeiYl7aw5x9zwx5EIheM864Y1u7RD6WorhD65pe0yYs69ufTqQqOmT8C
uUxOgT2z1ws5pOIS1yI0tr/NxZvK1PwDjo+rmrIvwx24VRXcGlUDCNNwuHEeIP8W1rUJXPMVHxzV
1Znb5l8QHQwDA9ekRyQzuUAzsmBlOdVPo8A6S4HU+ivstP31hNB8jAPgru2MhkSdZ7dwrYv9hMJi
e2fwmtDDL75K+uchLbGC7A0RXP65gMp/I+V7fllSZxmPcPJBuws5FaOxGAXpkJyvAbdTfxOvIZFo
xHYFXniTjWWYoQbLAobrtn3sofERVlm59S6QRzS7LS/dZI84JEQaxdG03qkejRBM9+kDUONKWKHd
BFMXB+wpHhO2j9IMpi98GtouuN9GZ7YgKzd+Jg7l7ojSdr7eJqrcY29jZdhBjIwPKaLpEX5Ilh2Y
ZlA+58QjOLuxbQ2pP6gAGTLLegUr7l2WHCNLDv0BwhCJZGwYBnQpIiuhGKjjjuFviXEs9eYnZx3Y
ck5IEQNu3Fo0bZNo7TTegdgxTTYTUWrBAeS+ZG9ybKg5hYyczDizcVxuzGRDWlHW+sjwOE/7jATV
C8JkJAiL1QjB4bjn9Z0Xi1SFrqjXJCpXlnd4RACfc1LBOUwjOPHRdm2FfHNLu8Q/3BCjSdrqVC67
2pnU92xrWANFThtNJJwajDYs0ABHI4v1g6m66gvCREfvOdUvz1Oa1dm5YPCG28i1c++nNglbi9S8
kYPXDBLWUMrrmeHmrSum4JG44BDxEW1Fyb4KNyydm2MPNybI7W9Za/vurigW63xz01bfmrA19/Pa
uBbajQAFe3sa7evEKU2srBFVGBO5wHndeP3XJqs45xbEgrLII+JMdiDj6p7lAA4JjxmSXKephED8
JsY7lqltip2iROOoCxKN5u6ffUAN4RS1VjtcszTCE6MjSl5wYlRnK8mqC2XuFfQgMp/udcUf1+86
BG/dBb0p1s90aQLnaAkwvhiYQLKVWB4NkiwuItjL2eH4SfD48L1O7X5moC7TZzJ2p/s1MxM7jPbS
t25Y15+pj8zuUJqwfA/ZpM3e48OCieiKoCOCpvDRha6MnDFvPGS3ygTfDS4GBj+O3uUHGH3z1mo/
nyNJNPwzLC4YzdwP63XbzuEb2S+oeWCM3Q4WYKPGGtIl+F4V9faec7biV8kKTdtY+5OKi7xwhxOd
506xlfvVt5xsV4p75IbdXoHUwXrmJ09HP4WIRZt2o+8eExAPP4W2u+jn1R6o8LZnl+9AiQyVUZGa
faBDZNfsLVQqBana0hhCtruhecxad77lWVdu2lA2kMu5ao/Mj+XXrmVVZohDejTamqUfwWP9gdy0
uMPXOqAzzO1a7FGEJ3cD61MWM+ZLjml5Oz7aaMW/aLibJ9eDR1Dsjld1WzkPReWo5r4r5pGonTCf
1jM7mJbHPuspZNebcYgB0tWQHNfWKR5G7fQgT/OKaWW1NtBGZhdCUzc7KIM9pyTh7XPVclxc+s4z
O3vgq9mnQ76wPoazac4btdgjdtxZBSHYqsv64DoD/znDzvOh802LmKy1lkSDQq7Fe9AinDgSkTEl
1xNnHARdfjI9LOjmfiiOBjxqeQpzaVKw9kRlyMlWFDDIGwarep/NkjwlTPrfCYU6wazrMisWAmbA
PVYc5xU/CEqPGnvQa5cvbORmkOGxq+YSlhWHUH22oO984KyiKTYu7B75vIs5iFLxTsZ9hRMxKm27
qlCYAJLskgSbDHOk79+BTTNturgCLguD/G6XUzEZQB6MbE+Ia5xne+3y9yVA2RtXlc+Ui/vPdHFn
BcldUyh0Rkz+DLnQrll5aJ3aexS1jZBnJDTkrhdy2OIuSMY5wv6Gmkn7VvtU+vn6LRg9+ehBaFl7
mWyW2GVhCDlBN1Sax6WpGU0r4TT3MhiCB9ob21dL9C6CpbZN7Zj1EPiQdrjmCkuaaPA1G+eNPHkE
n8hx63OD8WraS3Lfh5i/x3pK8DxfbNvcohEBQP3el3n6aoOmoajtljqHieUVi2ynFitKwemku0Tg
hjgACfzXpFkztUORtEHD+4E+orDnXzpo61r2Pdg3hmMk+dHokJO2T83g3wyFKxaW6kq6YH9F8WJ0
mT+FSRneQRuCuMxJsokTwLW0UeAJrC1Lrhj3V1a2N4YGjho2KstoaDE7RBirkncvA6o49GFXqN2K
FiJE5zWsF2rzarIurNMOU1hdle/VlAHLVig6nL2sA//2dO50WVTG7bxv+9TEyTiB7ZHfZF/106a+
pCWrWETAZU4DEceSQ2A04wzhzebnjOHvKu/qwd5NxoIvzwNcBdxpXsjYHbq0iqZtFS8YEHnGy0ok
epBv8slZfKJaOnSXNtAYI1o0l62N8aZswvuhTDY34rCeMTQkUvJBWLb4MufO9iXJp1EiCD/hzITB
jW+q6J0u3mZwmHijgSI55QquEG5gRnf1qlOBfJZjdbQ6vrzGLmZugjBFcOzLmsk+Vf5AWVSo54WV
Hnoe0hmqd1vKOTkgFFXpWSX78F40GSkaYQhjf+lMM2wGdHi/S1j2eywW7PXndqFCEfUDXcpDYwRn
0QHafc9htSmwIRZte2+vElkAmrEeE01iwXfhkRv33ZKtemesRao42LBAx4s1jm+TM4t5P49GFocw
C0u+qSz0mLQQoG7I59K02Ekgwfz7kgLM7MdNyCmuWwzwDGZrieQi7Oz8gvyxsL6epzy4c/Oy6nbO
tFXYtFo0drdYfiC1R3wK3IzOqb/LspH9Yc22ZNmtC5DVIc0YjHeSu2h2G4s4s0UBS8WNrbSQoEJ2
8pB3PrNER/WFQOg5MYSsfKs/qmahUD3H9/HQDisJL6cagGsKEYYXNLMKErLtvevOhXeOnW3VSIsD
XZDFqBKJ8paVKxIQKTcykUheFpBUlHgzsuxdhX/oe5vo9UtbyeJWoUq3ToJBsGPQWJ+DaKt/BsnE
4Q9cF6wQ9JCJq3AhbAa/sr4x8c1DzBGlYQSdTHArtdPJY6KC7VsqZusai+lkXWImc77PrnRO4EyF
PJMuofQcYDjb4Eet5hZzgSPR8DtjBs1OwUGMCIgvyl8K6z6j9KCMW2XxwCbLcp/G3kArd6MHvVta
fXi+inSYjzPP+3FjB1/OFGjGeQF6cj84ExgSGWfjFYIIdskW9ckN0wHbRWX17RRtPSDGMcg7A4Bl
4yZ4BJOsGEHayUYv1ZTBvVe3iGHZbtLbrkJJHE3c5a8o1Kfb00EPKY5V4QcTou3v8EkmH6UGQY4n
Z+GEoZagQiZCpcprmK18zKnOVh99VgVcURcE6+5Jw1MfFWAbybC2zp4y1QycfK2weyVnyKsA2Zrq
I5WdQQWRlEBKuLkrjSa90U+yRQHAIov+QrlkHkd5Tyn5jq94/Rau3jYxxztoQWagWhcVDmMjOmlV
PagcL0MMC+W9u4Hx79mDeufQJik8N6+u2VtDahjxjXZ0fFqd14NdAO7si2UAxnaDDWFkFtS3Jw3q
usuWbrlmcml67yyF0V73mZJBR7RcJ677iV3zrGxb5zwAE7GjgIB5jvDtouVtjxnwu0ms7dbDLTpE
M8KK8WzYwN/u8J4lZJsKv+XeZMpt97R4Df7VNniVfuZcIJ5FCDAKDaQt9PlewZQ7zFq+Vs2mLGZA
jkcfYVpMIuL4hUYxkZimjrpDNf7VpzU0hHIJG5dFwgEaQ2ebAsIjAMrXL6hLJ/o2QqxLB0fj5Yna
caWL9s+O61OWwP+GG1AeQPQncQ0WIWegkJ/M3ZVc3bBD+AMhrOxvYmyTaCy78eiX83InREXYq0hS
Ht0w7qpylMc/X/6z4ft0ebpaseMHxNjCgv3qtcbDagZkK3WE9YrjUIWUeTyzUAk6uDv1LRxFGG2u
Si/NUiEL/vPFP7eKUTDH1W3LgnV0vFN+yq9XpyfMc6HumqhM2HL3RiZ8SDW1gPuSU0WOrAkULcWZ
DX+ec6LCI7ovG9QmDDEA3p03vPzlL/rsPf/8F32KWEHwnHSm5nGkrWIdhsLcFWlox4xKzx2jMAsP
XLjBjbavhtkl3ytYj00DAmDPKdLwFcgBPUn4lzv1OQLgnz+LEsNT6q10/pUs1i2s0KPiSNzUKXAr
3rkUYUcFGln2rdfu/nwXPmdDnK52SvjwT+mmaGI+xaToWTXUvKMEQQ4cvKvcd5DHYZdiLFzc5Z2i
X/svITq/ew2J3JOee3oHpfsp+gKBZN+WPTw8dkD7zkNmwpgr0eIO1nKOei486gbvdut4/63+4VRx
6KE09k5vINeXn97AoMWBiP4Fuo8gPCxXwL+5/lIr9oJzkCCo7T/f2n//0F+v9+n9Wj2BMUVrjIeN
NXOindfrleteosdw0Ip3w64Luu4hdKv08Ocr//vN5sqEz7iEGvv0UZ3+sv+JfOpXt5W54s2mIcm6
SNG2svHq9j9mtfxzPykJ5LXBkQGI8+tVuHTuhB1ftDPL4cI9Sd+CWl5Ays+PPnrrv7w3//4uSN9m
+YA9hhDkaf56uUCFSVgL3lQzsJsNQMMxiONXzDXy7M+379/fhCJnw6eNHLqHfN/T7f2f24eVy5gl
Z29IOrs7Z4LBi4V9OI8ReOJKNsC5f6ld/+0VHYKYcMBjTficXig5YXf1yDevMzF/JCtAVzgUJyTR
ZOUdaY3BX3JGfveGUJ0QYIQIiH/6nC4+0wihYG5Zjc3IeSXcdK932u+n5v/xKlJBRCa8VIqn9ule
5ojJmSi4l1vnd2idhxDN0dL95Sq/u3/ElUvEU7SgoIn/9YnNPjrdMuMqAwoBD2thuJ0VmW32Cxgr
DD5Y2J9fkd+9jKEVoh5gLGM1+/SFea1x0zU4vSJyCu/nhmCQeElTX+zHiqHmLyvJ55Ci05cWOr7F
XVSkRnyuKWnDsWIGxnlsZFq/5RB66ENLpCubvgr65lRJLIbp+c8/8TfLFxsDIWSStZLiN/vXe7ol
wea4iEQjMgVwdEo/OfYreKtTF4euSgJQCEcdlYPg8S8/9zdPkxBY2GYymVhc1KdBZbLzNgs6vvQ+
GYNXG+N1wV4spzPKysZDij96/+ef+puv4TSQUc3iSLakz0tLP4cDGrsKLgt56M4l2fIwCudvreS/
eYq+TaKbJ0kpIvr5088iriYtmtM3l9ilXFC9l31xdPpeWgfZWKiR88JabyX63+wvC9pvr8xGgIWN
skDy0n99lAm6/2WgDSwqgpFzNGaYZJf0fBuAJL18Z21H7Dpj5Uz+cuHffCZcz2K6IOwafdvpD/uf
ldRgefdxmHJjS71c9I017UmCFfchCMpfVrTf/Ebi/xwKTPhUTnXhv16qqyx7m90adz7ev50wSMsW
12C8zSGQ7jUy5ZdShn/LK/7NDwxP2fD0B7kgKNanZ4phmgzmiY8klwToWAY5EtaW5JhauBT+80sa
ovkIadmg9oYQzF9/YIHpHDyJH5gQCLQLB3RMc+f+Le/t35/CqXHBomTVJfHN+xwJaE0BLR4dPTCC
AIHbci7R82XF9JdR7DdXOWXj8T9WTyL0Py2fI36VunFDyGgfjaiWjYtaJ/P+82fNFM0nZ5OhaFuk
n/16xxYrmxbGd0QWiEbqW0O4TrtrjRj+9n395uewMEvS7C02Od6EXy8Eo6TSBvw02maSSfPaNjGC
xb8kDv97VfynUpS8LCriGX8+/RqbgWVeGkBOfm55weKZr/u8R/+hF1z/exzWen39r68cYbyUNSJR
d0/VKp/WjRxZN/gBE7PjaI5sWaAPel2W3Z+v8psf5gesi8pic/M45/1692byW1NTdhzFww7KsMr8
K8pk+kPgj1msl/Rv5Ty/vx5HAIpMme8+p+JPtjX6PrgOEgTRw/9RJwq7mqQ4bQqraO/HxTgff/6J
v3lB+InUmLHLkPn/r6M3+fi4VriRa9bkOHdb2IV22P77+04mD8CY65xW3fBT0HDYe3jcMR1EY2Ul
d8GC4akvyvUv7ZX/nguAoly2Ep+9Ekv8p2838TLipk7xmQ7Vdii1SWXBNTM/ItkPj+Ec4MEt0wUK
rx/q459v42+eHOMWeYEuXYUSLOXXN2XKrbzrKCyJWk+lL1iA3Beseao/VC2xHZFXIik6/PmS/95W
KKbgVp6YHHbPz5t2NttNONOiHSVOsx3d/+PszLobx5Ft/Vd61Tv7cCZ11+nzQFKjLctTOp1+0XJW
OkVSnGfy198Prr6nLcpLvK6urko7NQQBBAJAYMfeoLJeIokbyWtJ5Xh+u6eCV3HS3Cefe9nwJy5j
Q+tpMwFt5t+YaxbdSzaw8A06DWxVN6Ghx06ZZe2X97E0bwbvpUrBFZTfo/UrzTpq+W2AX7PITpbU
Ne4heZMSi6kQRbEx4aCfuQ5LM9lA0aOA5k7Hr9aQxAKnyrnU7oIl3F5g66JAgpV+b4Vb+Aj7rUHS
bqmxuX78endadCNqIzbuYwjX+rATsQJy1wfTAP0PmOlWgfNpnsKpOHFG/cxBLZUzMXtIg6PqaM8M
51OmwTgPMtk8Wk4JYOFF62D1BH+br6gTKVd/o1UcpSG65dhDqD5t1QCdSkqJIN6pp1ngUeWemcC8
IMma8MZPG8YpX2w++K89OuvDTAUsFIYGGFz21BCgDMyFSZnOumh1jA25vB+o/JnKhH1iVIikcO6h
M1nCRwvDoAJTzgbqbHoU27ijooSrBwefwmtziGPvclee7+RwDk6oBudUVgVtFFvi9kiVLbQ6lERV
FBe5wdDl0TO1X1beUSHet+rUqe5dF+U0HywkUzhZ2fQru4fR6HXxzD+YXE04M6ZdPA+aSt62HQxi
s6BKVnubqyMlyMulDzISDUCJ6ynn0FtcCMZw5E247ifxZgbxCSFdM4nt4+2l34LMRB0qBVtTHOYI
6QLhO8AUf7mXP2/zBzNiGD7Mw9Csokbeo36zH4bOdIpakGshFakbbqzNqp0R+9JabrlfsyMYa7OI
q2iIy21UeUJ5QqfqM/9ixP8SViAyjGZrCpnc3tJp8gHsuKuDVn3TivwIJEw+bJqSM9rlxn/WxSS/
WUtYOYWo22nbdXNAmwJaRscytBzeNSqIrD5uJ1r1mSNbCIkrkONrjKVo9YceBhmsR13NOQEKvfzH
Pjxwj5irh1eEt6e2Ap82iDOXYCgH2yuPOhB2ZAACChuOAhFxb1+ACOSixp/YcHxqhaISAg+5D+L3
aYOoa9pnKrKpyAQfAnsBTZFee5y0qIC+PD6f9RzyPSytJN5JPoy28QWbe5uiVgxJlbyQQKZ7VtpY
dxkVww9/xxTEzzOxsUYD/LRNcdmV1UxikLKuynb2vvK54bSB8YImasNvf8MYalek4NhiK+NTOHQ2
PuzQbHgbLmAWdV0hfAlC3GuqKF5cNvXZWLFFYwGEjpkVftQuMEy6WcakbjTNiO+gsrBvTLuxJ2KV
+JZx4IQk2RLpIVaIMRdzEjVmHwz4XVKCm3RqsKJrgmP75JOhWmQ11T6Xm/WZZ5DsA6IIWok7rNHy
p1UUjccmV2fwaSVuOFAeV4SIhLGv9ycG67xtZEt0nIKFj0zGuG2trsyiEky1qKYulv4+v0vtYgNU
zlzJRdBMNOwTaza8y8gnoPki4GanftjWmoTaONfrRiuZm0M8kx6RdqJ0R6mHWyj69hP7zXP/ILOu
IJzDPkKl0nU0lwPZBLAvpRS1c8f+I1OGnpyb2t5fHq5PraByyDQmlcGd52mrJKkxuwF2JhBtMLDq
zaG4AcI5pan0Sd+JvRAXLRwOSDqL1z8EWtL1VEfZ4OqTpm9uFWUvIBNU/W70uDW/q/k++v3lZuGC
JJlU2Oq54Rk1SzOjIjj4HAlgGGOzHqu/gsT6okY1iQXOAzphiYDO4jHeUqoSZBPJ0HC8SzVYdEu4
Y8gu64kLFIMCNZkxm5jN56NFXDeQ3+RMyRZzfCGYNxkVOM0MPF+U19fWEO63ct1q7ZejOyUVsoVy
uUV0V+1RdLdj8D4AQI4wY1TpPD7Gb4OAmhVmOCWDddYgU1M4gVsyR2QV9fLRpILpt5BqmUJEJe+D
H3EqZfNj5X85P48VjqZsJ4RYAg06dT+AoKC9LeiGC8pwc+eY2FDhtH171LZNnQHbC8sZIDrq5Jn8
MF3mk/dkn7VThA1O5EQQbhxPnyDipCMKfkEvFRFYmaDQ/Gs9MOKvrv8sJ0Jji4WZlZnQeGpGhh6+
1kUaj7Iw25tp7VsCyHh1eW6JvfbJkkLGU8iFiLvwmfj/qZEiSMqiKs2XmhrhLJXuzGAVy9YiVVQH
xRs2OBR9odcw4ZNn2QVhlWIj0rq6IAwajSFYQth6O/Olqzcz376Om7ma7t3IDL1heL7cwLEpcscy
tw+I5JBxpQJ6FDwCeCUGoKFUBZvd4Qa2k71bt3FzJcG3PpdN6tTI7Pnzy0bHHvJulDt+7jRVthjj
1F4I65DRpp3vwN9xvKM+IJoPdm97l62MV+e/rNjseTVNCOuN5huX0AfogGmaT5lTC6hEEqlYWJRc
6sqnABOfGBNiIdShceONRMYo6hdpikyZIdCI/h5bbWbfs6CxYnbV/ouOT7tOTI0c3zD3e2vIMUVt
YksRQ7xfQq7y1S2bsELmB20M8mpEklFcrGvFB3kPOyNBxli23Bpz2TZYi8tjdO4J3M5SBUGcIttE
fuR0flFxMISGSXHiPsgyTrGlD8Ni9NXIy83PiZXRLOZAAidAx+ERQtC9A2/WD/mo/LjcknMHIB0B
NSviHOK2yRqNShdJlXoYoFJDtMj8pXTwOUQU6ApeCWtKKunddT+GJTYYGCNFwG0J90tjhboWjgS9
b7jF4hYdFhn2jBLF2lZ5XUhxfgP4Nl1UZl2vIH9V3S4I1TUsudFEbDwbO87IaJ4ooLdsUcM5anGc
w7Ae+9bzLKACIIdm0e3M49Ru6lMjIDzoU25sTHlsBNoXaIQPP459Hs/mWq4ZmwStutnyS6MnEDE6
ByGuUDCE/skoVtRR1M18s2sdxPB8kMuZ/Q3eFEpI9dCfOOONWvSXKXa5SLVyh42c4anLa3srOCZs
bh0zpvi7pIFeHUnKVJCQT+1wocvlFt2mawwQq+T4coG/UiTFV+6u1rvFbuUtFo6zuNouFp632Lr8
vvX4r+e5zoqfvO3VYu2sec92y68bz+O1lbfhtfmGH3n3Yr3eeSte3fLhNW913TXftlg6fCVfL96y
SPn8+nGxW6/5Noevc+bi5cV64b7wFh7BccXf8DO/zB3HXbkr7PJevvF2uePrrzyPr3rhb9ZzZz7n
G5+9rbNePzrructn5vO5O3ddV7xtzuf5PvFl7jU/bGkJT3QvzC9X7uZpvhFvnW/Wzty9cT1+ptWr
ZUrjXZ5uMV9du+5ivV2IB+XZlnzy3n3lW1e8dXPzsFo9iG6io8Snve02doTZB5e/vuyD74nL/8zq
sxEbX9TEYVHqwJbutovdy3rxSKPm7qu72rgPE5bekz2XLI2Ce1UWkVrhGwvv7vnn7uDsnPmPG1d2
JuxoYtpcsjPaXZR5mVG/jB2G6Hl9f884u/Q3Q7K62npXrjtx2z/KI5534ehEvleqPIRJ/W7rvTzi
LYzT5TEC4TLRJDHtPhzvwGdTfwQ70vbuanElHHqxff+HP3cvC+bGDl/dvmwXL9td7jBxti8vjKVz
vcSx1vfL9XK5nC+X184NHrZxr1a484/r63d3vHbcmxXjzcxjWnju3ZXrMD/nmzv36grv26wmQvik
I4hV7UNrdBlJy5D+8p69R+YNPTbl1e/b/Us+MIp3UO1QxIiJq8XL7jBnWjLdd2LC0233/G/tLPlJ
zOqDQws3v1dweTq/vdVq9bt17h6mXOT9RvzSA42XlMrWwlg45W79uFu4v1frwFksF6LTtwtinPew
FWGSgWEg5g4x0BW/ervFo/e4vt96zymxbek8X/1c8AU0Zbd0lo+3Dd3nEUXu10v8br7BzzNnfvMa
OpsHhtrzVMe7wyFeZs63+Q2RZOE5K29+RxzabEWAueyq7wfkS+0c7a2OqdRpCp5KwN46z8TcxuG5
fywXzv1fkZnmEUSvXO9qwUPMibuXn0B734dceoTRxmuA2rBvRVc/E9639MJWxLXtg7fz3Kv1mmi9
emG2EKyJ+KwSy/k8J7wuFvQ5S89KrALeM4OzePHWux0BG7/Z3R8c5ztetGBMWCXmG2bhM1F747zH
svVyvVvfv60Pztu9+NKfj7uXwHkcnJ8HZ02wIw7t7vn17Q1vJOav3JsHYix/3q0e5g+r3y4hf/Xg
PLKKdI5zcJZM1e/XNzffbzar+bf1ZvXr4Y6Vwr1jOXDn8wfPeb1mIVrdXXkPTFFnvtlcE7M3K7re
o1ffu5mW/6a7WVyxyNqy2rIub6/c1fyGqf7+xqcH/loEhQfv6u75GUd0f02MyOXoxc7tdL4jq5RK
FksMq+QV/+K7y63HksfUd1xv89ci5074AVJ1F4MmYnanZo+NZTUpZrFJd2x3zH+mmrAqVu/cYRY5
P8VaT7hkXqwd3kh0WNyLVZmBZuD56Z4PrJ0bNgQLfhKfXa+XN/y5eqDTvI17976xoVsXYtVkRt0w
c9fv24XVZsOEFK6+ED64W4hw6jsrXIjuJ1ovPOLxlRhGb/W8ZafjrXYen7k8AGJ1+M+EMN83fyBy
3veYKJOPAaJDmsLumfgUQPsqxLgQ1Vxr8jCFoxpXVfxlBtCH0ETmFsEYDTN0hg2wJonqxsYoVmGX
99eQ+9Y3Rn0wlj73GBTcdwb8GJTVt0e07eCvqQ9rAzo9l5321PlrdDZ6fxwThIY4GZGnPLsmthMV
ZmMYvNK+i5xSP0ZXHSxTiwDKge3lDn6H6497mOoFlf08mEpSlqeupusxihw922s/LB5raq5hNNWW
w/64QkliZaTFSx20L7WCqqG+f0iM+rkDGNiTjMur4xq5oKnrIxFmRw9EfsUmzzJTqW4Yg7ipfIUs
xUa5SFaKmfYWQ8t/3CQl4LNbKM2T4+IYDLF6D1Vv8OcQIBIyASL/pPNN09RkEOTgWOFEPu2QfTGo
NazsjQNiH2kFM009yroyL/fDaGKif+LdJ6ZGu4lc6VW/F27nV6a0PuIQ1+QI64k92OdWZhydKDAQ
KYrTBhWwjeyTiDlUDwd/oc46aZGpUIBedqRPrZDtVkBmgQ0xR340Q/wqghEXP0rD8AWymvJGaiTz
/rKVz5wDBC5TgmsrIHWjzRE42EPWxJDdHAMlXDYx22UKdZXD/KAfqms5g2xLrbNsozVh8+3rpm0V
hwDHrZ5PFBhvEqWNYXzQuDPddorRviJXJa1h4DFuY8h+YbQ1zVuO5FMlG+ddSz0jaXBQ5OQ4CQmn
Ayi1IG6kIoRWzdbzbXhM0pU/K6dAMOddawPMYuhkWybvPoZR+HLemHIW9w5sCfeyabw2uv24H8xN
A7EeVPrVytKLic2l2DqeznUuilVInLj9VqmcGm0tKQtvuQ1JeghB4JB6nmXotawyRQtMF+b/zIdK
uzyAjYE5PXy6PJynK7tYWWyFdAIwU1AxIJ1HpsE0U+N/xLRtUiendftwnmZ+PkeCkhrUqpi6EPqs
qTo4FQqmANOSzjgdxF4Z9vpBhaawbGGhUrs4/B4dDvsF5W8hnBNWtkIiYkqW+TyWCZQWyHGqffCc
MYjBRwIavhpor+GZlNyjnEreUS9niwzaU+9yf35qiqsUuDmgmGbFPm0f/LkDMtpw/0Ho3KosIPJR
nu9nQRIvlHBQzNVlc2dzAilkMK6mjssKCOVoxZY6KG1sg8JYo4NSTSqgHc2O6NletnLmJKKAEBMC
mWGgVC/mzIfj3mzPCXqAGhT+4tgu5+zNw8SLTN/4Rcm+DUVtFuqLyybP+nFkctyPEbwMNkJTLgwc
mafox7fQUiovzqNmonFnXfheHQnylN0VcEJztC74Q+/LMFUG7qHP6zUUcrFLyXYy4RfnVrhuAhwJ
/owlFUmd0y6E7L0JrRzymNmxNOa53wwQaZrD8nKvjWcXexdmFfMKL1dtCOJPrVAwryDFCQC53u/l
+27WoGV5qNe9ZjUOupDdfZP2ExnDM5P0GPlkUU0niunGqfhIsbROK6lvDcpC8TpkZQx3llbSrQLh
5W5mV4JGuK/mlxsqhv9jxOSukvQkRTbvc5qc5GlDo66tG/mIPme1CJzabefpUtuq3tSN0ygxZBI0
Tu2M1hx2i7WZR9jJvJenxEMSzfm1uX293Jj3NPGl1minrenM0oeQASvqEpyng8TaXLmBfc9Dls41
5iCinKvC2aBq5PTfL9se3wmctVA47se5XRwjvRBKp9JKd1uX2kTnT2trbb66ro57Ukz4D3a6KIGm
K8GOfrdf5rAdPVFnttlP+MV49R5bGS0vsCSFkSRaMyyQbHPhc3YTN5uYy2fnpLEVMSc+tEULCkUP
xXht8/nPo/v4Zixfnx6mBM0VMeyX3GIUdqkvi3olwEw+pxrIhRbKeYIDfTe41jdo1dcTniB8+ZK5
UcidISRO+MBc6/6Ei9/5M3E2v92HpwkznwSMj1N3fGcSl0lpwdAuWgUxqcsdnouUo2t7pve6/FF6
36BwnBqwiXAxrksndZfNfGGz8TjYMcGC+ffB+fPbje/clt4rZwLHd8KJhWVq/MY1jxrcaWokxq93
fw4LeYlQ6bxc+DfBeu9Ey9qZ6NjTrPlZrFJHUeSoQ20B64NopO/G/KM7ELGTnp/y//HaPHL/MZJa
l1CI9AGUOaLQ0Gn2VKimRb1pjtZUm6Z8ZRQ0bCss7URMNNt4rverAAmLTEWDNjnCEDeFAxylHc87
cBQ8QltSDXhg/+rAaId8lmctkOZ1vwVe4JFV7gnEsvN7qpWjdPq54VE8aQ8xEk85hrUHdVM+pTf5
Rvu5v+UWGDWU7LV/TDbBTrs1Hic8Zqp7RwHmUHWBmQqP0fAZCLHwz2bFLs/dO5abzZP5wbNd2zUn
gvRZsmXsQKNI06vJMSrFxAAXtghWivcYuyRW905G96YL1Zlcxz8LAOC0qK0UJAaU151G7PJox4ks
XDafI4HJ/NC8GTsH3Z1dxS7KynflLUIjy2KpX8/WE738WVz9aHvUy9D89RG4FfYqXjs3n6KFv2gX
vXdclGt1NZUz+2xIgXmAJaHWAazi6EAQoh8S9kVWOgWiPLICKQqsoXr/VieFFw53l5s2DgTi4ow6
JhVgJLWXYElPe9WsAnXvR/rgSlqlLaCtROxCKQKkb/thIoTro8UJUxTcgL+kNNy2oCs9NRXZqtmp
DYKme8iDrtJZklCmpUUTMXTce8KKDrCI04AgMRnnVXSlR4+phIWygixlBxe4tSmaqHTlXo13YRbH
36gwV26/3ItkcDhWsWkHm2YK//mwm0jhryrKDAltdMCzOXT5xFS9iu9QEYqmfFGEsI9rPA3kDEfi
hvpIg6r40TxAJLEYZpbUu1bSJDMXSrLyG5y8UFsWRqodHyOlqeDhj62sdQAclJIDZXV8G4X9/smo
kiqF16lpmnUem+odIN8c6cciyGwnk5GzvNwvZ5tvoHBAlsAggDKfaUCKTjtGR9ssqSwLbXGlaZCC
k6JDTzRESsD3utLcU8BiGk0XLhCeb14LAGF/HsrZwfYUQFvDIsw0c4p4aLy/FI+k4R+gjmDgR17y
9JEkuDMDWck6F+WrI/oPmuqgERb/AI9hQCSbNfamz1SW3aDpJqLm+WTTGDSqBsgHk6F/v2H+4CYQ
7EttT9GuW1T2Sw6m9lsFJ+QOIvSp4p1PLIkCZxN0JFkFINanjTyUQol4pg6wHIcmCFdK0L20DyFx
Bz70dnmQz+c1KUxyXrA5UUIrj5GSB0vu4hSGUdeCoXBeFR26m/lh4ox6dshh2CC70KiUAdfHEiBa
/KHvDlxOaOFQN+5e8vdOh9C7E8YHzcGh4k1QD+ncivbRXJVDfQvIMnoz4l6ZiGDnU49nAA4tishB
/48zbf3QtIc0Z3bZSGyY80O6lx70o0ypxqyConCNqgQMe1/uXRHHqLsGga2QqT9td2z4sZZGe/iP
yhRiwl4/LuLY0lZft0LNmbgsAAoKgcmplUPbcDfVhw3se8isQ1CJ+EPay1/uP13WaIhCZk3Ak0ZT
79hrR6sCr+sGbZZsI71UvECCFLCF1N2L626/+GqrBJSWQhduQPAcfeQzai+X0aBWyPYMwWETptKw
3iOVN3FIOA8otmpApUGjuHI7qwWBjIUrvd4uXUsKEk+WoSWM0M5ZybYhze3YaCHs78pmvZfKfyPl
/+vP7v8c3tLbv8J++T//ze9/pnBwCjT/6Nf/2QZ/Foz97+q/xcf+922nH/qfXfNWVHXx9o/ta1b+
Y1Env16rIE3Gnzn5Ciz9+0m81+r15Jd5UgVVf1e/Ff39W1lH1bs5nlm88//3xX+8vX/LY5+9/euP
P9M6qcS3HXisP/790vrXv/54p3v5r4/f/+8Xb15jPvf0lrwN9VtEwuavr/vfz7y9ltW//oDa559E
QIoYuQ/QyK1p+Hb79v6Spf2T0AV5AlMZQgOyh3/8I0mLyv/XH4rxT1Mk4WZiTSdDpTPqTDDxkvxP
oip1ENxD8SGCHvjH//d4J0P2nyH8R1LHt2mAmiztOY3VBpe0IL5Nrg6g5xIsaKMzi5xEdSyl/d57
2g1sp38BWbgNHOAKHG1vbt+W3za/n39tHiamhphr/9lGnFsdbSOGeL834qbdey+583SXOo/wajrP
/PLz7RrlRvH723L+4/vrzdXTzfXrt98P365+3bXO1HNMPIaYXB/Cuhyz2x2OND5NnxT5Z+FP7G/f
y6MutXO061Q7vVIN0c7UeX6645jrvDw9P139fIPp1AHP8/wC/aLz+HN3v96BHBMgEecWoMj6+ub+
/tq9mV8vgfXc32/ET+A75lcvDzfX7gbgyI+HG/fh4Wp3525+Xz3cbO68q6vfE8//XsNz4fnHtSMU
fKSWVPP8IMue74Akvexerp6fl8vHq+3zwZlf31/Pl5vruYC2APcUj7i5e7i7epiDWbnsM2Mwx9hT
x3n2NEiPWam99+VP4Tb05c+fj2+3B+eRYgy68f7tEbzNz8AJ+JECEOd++fb4Rvc+dsKbv/PO75lz
+8N3fr/+uPn968frne9sXu/wrh+3v/Guu4ffT79/UYDLP093v584/DjPd9fXP15/Xf1+8J27XxP9
q52eF87mwXjrjtop5HIGbRJIV5BH4k9QJ3OwJ0uBwQN4CgAFTMjEWqgplz3fHOV6skPaoXjS7T1a
iBve/fp99XMHUYDzkxjp3N/QV4lz/WPz9Hr7ejMxkmJWXXIq4t7HWVe1+uEIj6QQC1jl5vdAfjkc
bwOY+6qsRgfg6bLfjLIyf/Uxe22TUi5dYd872sMYR7lGSBt9+CFDeKC9rkttFdstZ6TfuRXPW+34
MnSvAbp3SXOvN9+BcvDaRhpe++O3tns81I8HLZhAR3wad03BXAI3CjWcMzFAH0IPTL+oibe+iAyP
P1Oi333g/Px5+3p9+/rj9ubXg+w8/ZqazqNt7L+74oPRUVcMfpHbJpUiXinDVmt8h3jGOSpXXf8A
rzZMhnuUS66UaoJe6WyJoYyOm3c2QgJ5TlXTaVN7Sa0PUp0PHupipWcpwQAlOdK6HtJRw5+XR3ts
i6Ip8gjg9lkjATqNS3yKpq2KtOII5w9Wsy3bXuP+vVXvizCIb/+GKVHEzL6VzML45JEGWiDPmtD2
orwaHgxEW9FXE9z7ZjTE3y7bElPi45QRzTKo8aEqC0pBNgunXWixfan1Ao52Ks+M3axEkoW7wmjC
KT+zggo1iCk4lqguHgWFBp5Jn32z5c1Q6ljuW8taJtYwm4g9Z14oGmNCaqHrJpt+WRs1JjMCduI9
ODS17MyFTzLqewupueYmhrXfBHEBOizdV6EnxEI9FdrWP0P4rKaq3T5tLcU/XIBTYccebdSntZ/D
ttBbXigN6NbMGs7f5VC5Xxw50CCUhbO949KCEurRTqc0/MJKEMXz6rIIlkd7UFFXyPzlV62AS6CY
yYQojbP9+4XTh2hyAHjXIiICNUguywidJaRA/dnUNcjZ5LIhO1KZzJYJhSYghdMeM0uzDI3G7DxU
MGYbP1dmbl1pvqccAn/i4Pl+t3Hi8SNbo6Axm0WzmDQwPPbgOjT/eI/egZuX1aqu92vYy+dc031P
OYfnjYVaerbCz+ZI7SyUrl4pZruyom5udMMrNZwe5XOLUGs6eACUb1341UAgHlUDygMQwBCZv9Nu
kZW9FrakFz0tCSmAsrVnzfYlmP6Kr4EAqKQSloCuwTtLqoPTw6mlY2XHEYXQSIYiyrE9Grp8LcG+
NeGyp4mGv6zgrBwIaMtsNiacTffHAD5gvUMQorHmZhi0i4gj+o1JCsLJkDBfX3bes7EmV8oZh7Or
zBmEw+xoJgZoLbB2FOjnXRe3xq5+SrbF8+yXftOhmvy9uAqf+tvhxn8dfge3M658C6+d2JK8X+B9
dLfxI4hg8WECtbDrSFHLI6RP2oN8b+30m/S3uTxsNDQ1nfYWrU3pm3wLeCxflyttpz3qE8F33Ovj
JxhFxcbXdL+W8t47IOtjg98qDvpCNdpNmn+t+hEXFUgL6m5nCkQpUAWMHFYKjUyuyqr1lIZyesUe
iofikMjPl4f1HWH6sU8xQ4k7kxRYh0jvjPr0kGkoP1hD7+l+vLbzrPUgPny2OxWgVtY4SaEgcrvx
s2+a0i6Rk3Pq2TcLLU4/25MVtQfHsq+gqH8e2kVtoFTqX0VFu4r10oulrZqaLkTFCLAj9hu+InHg
9OXPqv2hKD86iLX22Vrp++Ug/wKV7MjSd4tk/9Gs5hYZ0GPwK62yF1bQhVEgYzLRcHxl1G44i2BL
Y78D1HrMEJOiJRINe5obp8PsZ4eO70saR/MvG2FPRekv8Zg7h3GtdqiYdaXC4u3pfSwvmqK5s6K0
m8h7jpdIRlBAJmkDAUdkG05nRWf2RYlwZ+uRuu+d2RGhiAhxw7/RFPoL+D5somRLRlthE7VChOnD
1uMyQbumYrJ3kS63J6LM+Kgl2gKbDhEGGRtScqNEByp0puLnTet1x2ONVEM0e5hpYbXt8qFeorOh
gUDv1AlY+Pio826U2wf6T0BPrdGk3h8Qu0JppfWa0k43FuLzsMyjCTcgiobkSQ7NhDL4R48Uq/J1
LxRcKsxxkfSEqON07Aw0jxKob+hVQ0MLtJBAm7emOhE4P/MQYgmgdxopDjKnVjQb1ir4JRrvGB+s
RWhE9QZ9pmEC3zq64H6PWCx9pMM4LUHbPRv1oxSliPmWceuFgP0R/8pQku/Vwy1yH/YGCQfb8Y9d
vCjR3eYtmjIvuS/9Ifjg9KbVcKfWQvcmfsxaC6EwZYLjaoTn+evxQKCzP2eHrsKUc9oLB7XujjWr
pacgkKq6+6pIfhoo8u2KIBWx6Li/N80mWQ2cTzlYK4fyruxio3BlEx0zdK3V5M/L4UF0yCgGzbgl
oMyX3S1PNQrxBTdakMHUtWe1tb6KAfA5bBT8RVS3U9P3M1Ma6UNCBMlKLidOG+8rs7Y+VIiEoHNS
Zq6dpt1dqPdaupLTfdnMLzdMPPhpw4hDAFUVQQvDvn0ULIzMPmSI+9QekkiKo+7Rbq2C/rhqTASI
4IoJrgcNDdVOvc9keSrZftZU8JFc2sFEzB9iWp02tUJMC8rqMPdmMWw7LtRmrEKF1UTqsvWjQplo
63hLIKjjuUjjWoSDEkZHC6isRCYILjlDAS7fUej/nKHA7Oyt/iUqc3kiXpyFKihMwVQjOScIMqCU
OG2bBP1XV9iCOC20qrncS802qYd6bVZlc1/CWMly1kZLGNzsxeUhPYvM75bF/ofuJUqPLEfSrG6K
cnb0zB7OIlXKros6O7hD5r8Us2yVQDc4scM9i1pYZMMu+HCIkGd6A4FWduTVTcJiXshuJtSRKlRr
vcvtGg0f4AlBXihgtCT5oRwZuWps1EpUWZS8pEpoaNexHUTlvRmbnSDn5xyxhJX5mE2sOCMXxSiY
UnGRJliZEVMYTfzEyA6JXRWxh9ZH+WcQVcdlzAqHujxqx6+XGzjqRmEL7kRxd8HKBnpjZKvhEIIu
qBJ7VUW95z7M9o/UFGVfG6x3K7CrcfsK6OAcPL4f0B7Lyjb2tEI7Lgek0l8LTfO/2m/4g5BQQD0B
SCuMU6fuH3T5wUwH+s3I6thexFqZfFflPosWdZGXE3v98XFDcLWQC2DZxMtg2xkXR/XURkXw98Re
gOikvbZAb5iL5KDNUPUojEi/k/vAQFMrySEb3WUoWP4YMpsKp9yo+3AeKUmKBGJgWf5LXETFTwnx
vfDNTqRiC2N10s4hdq5aX2hz6qHX7W2zvGoGtbS9Q3ic3X3RDWgMEAuyRlRGsfqNui5vZ4E0ZDRG
G8IZjNko88ZhOkXefzabwO6wlDEvqfwBgDKaTWY/y5teQiZ+hjCe6cR61aEQyQHGdis5l14UVh/j
a/tfhokyk3eKInGPe9aySrKbCoLe2CMll8/bcCYqbLp0wsFHOE/j3QzkcOzRaB8n/NE8OiptvW9m
h9jLu8FGWdk/3LR2eHTR9Rs2SmtnDzk3ye7BDw6LsoYWqbJLtPSUvFtaeXlYDbNe+f7VMRV7ZTb9
sL0Qksd1IbFd6UEc+rE3i9hEoUbbLkKp0CZafhZA6F/Sd+wdNbGojhGnXdcHcZxjJSyM4MH2ff+2
DaUp5aPPrBA+RDJDl1W2DadTWyptKdHQXvCyQB2uglqql2qgJH/DV9gRAN9iHwitkHiKDxmEo58a
UpTNInbZTbiwO1ToDYBSE6v0p20R4DJ4/higMYhhgHw2ZxcZMaeV6Heqye28POT+lObJaEl+90iK
ECmzIhIyr0dTmnWzlCphJiphH5PCYwYiacg9pfKrJXm54xpw19RZ4mzpwhtYtkgXsL2jaaMeHILq
kAasmZ6NuKynHDt5RbkVWmgwQj5+1b0JIOwh2e/QSrx8NFiGUVJI1/ke2VQORkqSJ9fhEB2/hnQW
MxtfoMgR+Rg6kYXl1E5b9jqMyiRik8PRfM5aDgG5U5aBas5nRqVqb5ebdT5s4CnZvXG6FcTY42ZF
SmGWLNeYgyh2UxAljAVUCChbZMleXx6h41vJDO3yq2bFPIZOi7sQkt1j6smwT0JN6iPJRYUxB6Kq
lFK+hEsu3QEK6Q1HIWaFHiTZxUTmVczcD4cBule4DN4o+HEh8RwdPboCtCG6GhKRst1f+akVr4/W
IVwOHSqyh6TPl1J0lG5ypHwRpkzaiXafL0mC5EhQZZMiga9sZB5UB9qEkbR3LTkIGkedDX4MPkoJ
G6ePNRLCGaLWUzCw8wiAUajjoRZDeIV6sFOXslENiXW42Ny9YUtzAIUgmNBv9y4P6flcxIpwX6CC
8P2PI/MsrEDOd+re7YpmaK8hJCQ/By2wlHrHEMeaWAjOzLHrgjaK7Sq2uL4bpREOdacbtT1Irt4O
8rKOw6cIMONKzavgqwEUPwH+hQQQeFDKkEdjJpV1XRT+3nZlWHQX9sB9DMqc7UT3nU1EYUVwl7Jt
4DJtnJ07ANRLJYCAbtPmyb1q18FLzmbiBzp4OpyHsz5xgPaYj18cNKyywr0fTZkR417kRnKmFTV1
Dcd9l2wSM7LRh1eOd21RTGn6jU6LMAsIhm2hmMipDTyi8NIPq50Z8FeDnloufBLFE3ygXXNnwicW
UF19hA9zy4nW0pdVWMHi6yBanHRf3bBz6BDZIBLLfBO4/NMniEq94K4qMlytZamVMi3pnBnKUU/w
kOpfPegIW4IiXZzjmA4iEHxobS/VYZwCpnP9sM429VFKt6oeTJ0XzyYBVpjPpFyBqBssTKdWwr5J
Yok8ohun8hFSbF2axfMDWV0ZtdyDNZUgPDcnZrgghWVdYjxHG+pOL7izZnV0w9psrsKjSq1n0ik7
K9bj+VcdE1MiWcPtP+k7Sztt2eGoJX7UV7RMyuXea4xc/9HnkpEt8lqVvpaSxDVPjY1cUwmy416v
eh2RxKaFoiFpnSrJp8RfPus9Eu/sV7iYZ9qJ1z+4BEG4V3u10d06tqzIDavCuj/4lg2cnXrqv9F/
sCnC60wkFtfVp8aGIOJ2uqb/fG1vLPQqkucyiprXKjrLX13TkMMWdzVok2KLW8CRqX1fhmqIKcWq
yzt/0GxvsI/ypg6i3ivSJJ6YxmI0TpZwYQ8ABZEf/DZ0Aqf26llTaFTyUFUXVNZjE0OlO7PiKZrU
T61Q5E7AInd3lqAtlVmWtuERNaxAD3dJGKlrBC7Drx6ERVvI9nMVL6gQxvm6zq/gA7Ei3NxKO/Rx
E3+ptEM/4Qxnuw40QeDppVJaIGrYB5z2GF89lDqybq5UHaxfjGA2r80DQJ685L5UTcrG+/Ls5R6P
giDyLxw9xsQn2f4AvSdHKDeRkpJ6wKG0dKASufxGWp2L0cvWzpdOSjbIisBCDHkqGazT5gVNZBn5
AWtGp81cM/Qr6nybdrY9tFnoFeZs17TyYSIhw7FedNuJI6JhRmKBNYWyFgAbo31V1YSDOhxV4PWA
7B//L3VftlU3zrZ5Q61v2ZbHU9t7AAIhQIBw4pWQYMuybEvWZF/9/+yqr7sLQodVh11HtSoVjGXp
1Ts8wxw20h01ZfoT4Dx0qaM5kVM5Rgv5RsdpgOO4cOj0r3O+E2Trsz0vRpWV2aTZTQs9owJ6Q6EH
2KwHvcmoJHfwh23FLZ8bScsUXPql0qmiwx4pqp5hZh93tw2OwslwW08XOYRTVdXmbQBHujRN0MAj
PvoayWT5JnS/sSps59lWRk/Rvs22BkgaHcfPMf7yJZ/jLa85zfoJ5kZZ0dVxO3PMP02m7b5rpvVO
WBuewUMNWeqUtNN50AfZr4IU4dkoaKMPXDb9p4StLfqHtCnaqluS/jOgLGKsWumGoyKOtzstg/TH
FKOZVRqDVnGpFz7B8l6Bod0xSbL9qrJIln3ft99kE8ymTlrYJJRLAH3wNQ3W4dzBVxOdMGvzuZrX
fnrgnW1arFFj7lDs8m/G6mYoBa5HXrYkDG/MBOWNmq8no0gkeewRYgbLVqIYm9Z9uPnlJxRl4EOa
uIXfFflA17Nx1PkDTE7GL0A0wa1UwOjpztKJPXiID7ALM6fZVPU2s6qUMKg/DiDowB02nMVWRY32
FmLzklwny9Y/tiEyuEp3U252Ml1yjAL6xGsMrUMo8eKwuMttSYU8ZBqG5gCEUbfByablYAxuszuS
aFa+zLuYul2bduwbvJ+6b5RIAg+axUfJGeE5zrEB2gIA+NF8Qp6PRVsXNV0GifSqhG19+4m0Dk49
tM/y730QD1HJYfoqKo3amlZgSGa81PGgf4CNlYBax3j8YNWqvrt1SS6HRqdPEnP07GKC6D04zDaT
1zwyLoJodWrDMsj1ctM2EM6poriRfQW1jtnvtjRrwnKa5QZHktWKfGeXmZ4lbOtIDfuG0+Q+oCqp
Wo6HVZTn9Gwxs/jBIz9cF85OP003FA/dYHpfbWjwXrSwbnkK53h5wNyOfGUyjJ/bEQA0GPNMeV+l
yKPlLstscNaxGIlYymy87mIzxhjuU0N9NXY2+AxdZwfNm4SGd7lebVJOY6GvF8vmrEKCl6d7GU7L
ydg4HS4oNtBLRyBSVfuWLEGZumbC1+K0vbWI8Hd2LdZHkgemLYvFrDCpX72byyHOtau6TEa7CD7l
Yo/KuO33E2axMxax2x4HtJpB0dzIciiilZywpjwbkamaWVcujrd7MVh50aJSZjtC5/jnehKqq7LQ
ZxAMKyz8eKhPmkohd4tRLzSrL9NWFTekKzZzHqBV9oBO2ZbsR0vJpZyG9ImMvddnQEqMFwFkrVm9
plR/YXk+xPul0e0Z32Tf1xg85rryQ2A4TGWot2cuQkax35ZtuFwym/waUlDxUjluaZlD0C0qFZYA
ugtCq6COom24IzLv7omN48+RWyIcylXYFqAVodNKDyx/2kIvr0SP8wgbBdEWO0xIp2QvVCjOLSSb
wQ5eyFrsGI0QqGjms77UaQPmIpvs2NchGiUAOyIPwdolNvlht9YpaKtt/h6XUJodzLJaMJJCMvp9
CN71VkaR8OPe57y/jtYuD2pnkuQORr3LVs8U1rKl18pcLZsQHh9kGXk1R1kL0jInCy9jHPqwcvOG
Ca0TMgzqXGp1kQVd+5PpJId9x9Dpb2ZZluuNzu2XaRzJU4Qmw8uW9hJRww8G3cVQDDU2Due7YFjU
WkHubfzFYGIK2f5pG7rPMgAaFvOmdb3thQD6RM99+zw7Jl5mbK219kjK7TGEOaMtfZcWeG9t7yNt
lvM2IdFQ9ovv72K5pN+RwEu2p0a4K2ANwpfGi/Ez6YvE7/J1nb47iUNdGr7QHwVocv5oUFHPJYxU
h6dukC4AlKbIDq1HS6FmFCYl55ox80ybuAdVfiP+B5BRPtgXWO/LpJ+KBksnsGtToKn3qQAwYNd4
MDjLsCXUljkpHD9EgtkvXd/AuGAeyfc12NzVqd6GnlljcUcIGt6PNhcGg1RmMMlIt47uPfPo/XZQ
ImJVvEnMGgfexed0FOYZyZS+c95gs6X5aG8D1sfPHSzgeOmdUzigQyi/t6ldERr7BjdJEooIV/MI
KXmSLx3Y2YFJwgr1cXMvt6AYg4ttZLiHD1pz8YUGuhEw4VvoWM8eAoEV7wt+reJF/7R0bM6818tz
p3gzVGbEh8N+w+YtZxXpO1xs6Y+io4lB+A79fWtp/20e0lntKW6iscraRLwQr9KnYuCD3bd8VlBA
M/EMU3VK7FPIGd0qT4J0h3O1AYGupuETz/q2LbvMhbpcJ6ewOplb4D4mOP/KtxzxBs67rMdMOI6b
MpCIfFXUxeZ+6HzmqrnBb1omUCHs9sngPT6p2lp57rpVJmXgYa1Sr0hmo/2WtlNX5tkW23LjIZ5a
MHhn7eN0Fq5CfE/u4cCdrMeUGHMbEUAHdy3ppqBqgOfbAOWfWihxuAakSCoX+0RzibdQeTdNBwk+
8FLF1hcTgm6cPyxLk2MbtF2hajNavACsHg3EaZgVuoqRjwQYfRXmq+db9nPBXFjVpIWeCZZlKXxV
9C5/HtwYPUjps4vYrv0Tum7qM1na7dm7aX4mXdiqCj0XWIEA8d6EB9z7/aUcCdiMcz9zUqq1666a
mCEFiuDote4bblmxj1jaByALzPyOY0Ib1FaROUEm4HhfEpCKfxg9RD9mHU6mXrjqoeomfY6gM8QP
AVDFtlz00KyHlFuHfbi0DQCUA4fvBFBhYZPXDAlfj7d1VrPnqOBxVhZecrLndpqmbwXqL1YT3C9T
HQBxe8sS2hbllrQd/lIXJryiDGt/0KNtf7k8UEC3bjkYy8QI8Yi0E4wmFAjDdlg0x4kJN4ztPmXN
xJqjt1uKYydP8dBMplt3nsYzwW7O1XNvk8DsMWMcTpT82QxlJ/oVVBomSH9u0V2Oa+8AuUN2hjCa
oTGxDMk5mqQLXnqAX+2FWVomGMB9ru9MxYiZi5t8nkKyi50es0cvRXuXca9chdaw4m09zSptzzC/
Idt9DkJm+lljnridzaPchvNsHIA65cwgu6gYnEOHCzKkE5ztzaS7g7cwZPnS0c6etz1Zdd3SgATn
Frl2dJ6IhOufcYckE/JVivChEugKDjszCbNWo9H9enAmZ8AbYgBYNDsCA6+27uxs2XnMwVL5Bm+F
ufFHDJHkPJcxbdbiHGAfAc+DcEXih3ASm9sB+Y258LZb4y9U454MSgZoj9rhZ9N+v06tK75uYgC0
zSU2L44OISK+oUh5msoBqtnfTnOrIA/gIr72KL4D3j5kJvdBqTOWB4/96Jc+wDkxA8PlmaBkwP+Z
5GdLLOEwMYpOBygJgE8q+Sx0h57bCB5tGnEFw08rRIAC0dhkzzJclwclEKfvQokP9wk23l16nkF/
yx76STdBvUqW2a9hyLftOu7QAZzP2gHmBCOMH3jOsrIds87+yptmhKYUm924l5SIAMBw3ZH7LFrY
8BnWWmgkZao1yVanc9IE5yiGabG3pl3Yk4agmRDIiVC2hFUWg/1YJWur7icXi3XXGoAP7vKWElMN
Y0PJoVPpSi6ZhVu7LH1rCaJBO02PiwlxtCy0vvmeNptCppcmp4Js0QhpFJbNeDA+HzubZ0OQThVZ
I8MSCkx6uZqD0SK4guAxyL2dhN0udIMewksRFOCTUw+79u/pOKr8ckqFtjdzPiT0oBUbTlnjIu09
uBTZ6fp3Ylgf1hCqtrrMMtOoz2IbMY4oYWU5qQrSoQolX8Em/TPgOUeqpjHqR0ci6a6mHjjBaoQg
xdlkmd3Oop4kEe6scBFr3RE5DnvWdbz/VCwdW0Bs6TN7HUKRRCFvis23zILK8JkqDAVKqlRgfoLI
kYy7PLH2wfcRQnSeuVjWca7EUrbDVtxgABaOO7pCw6XqVsCPdzLo3XiAQEYYtWWsM1QUcK1QwX7z
ymca/p8+73a9auSMlA4aAtlLM2Vhc+UXgvTOrhv92ngLe5gRWf26N5qz9kZEoIzXOto8uUDDHRSL
QNAAtHUS9x4gyN5Gdxofcdw7JJJh3TT9GPyA8VycHuHL5qgGNUln02GTfhq+rEseqnJNYOh8yfu8
YZebbIAeWoOI250mbptvMafw8pshNOEXiZ17/dXBSbFPS96hfiuHTqrwUACkxs5awxHnGHWU7LVT
80uT+OUxzLYNrqBEmewsXRN4nwZtlPRHC1nLm6LoFlG2MQaTlQyoGy5aIvlUsbkFi82g532OcTPV
VSEMyih00kh4vYwYSpUhFCtBcc+ZR8gZXZPWJkV2hP+CVzwb9ITTOqwtw01f9CmSjCTqGfzb/Wp/
wPV2LK45MIbND7aFY3feo7LMLxa75vzBczQ1LlgfrOOnji5RcmXxi29XJI6cu4RIT4LqsxiUGXfI
aeOhijtgRI9z4LH/FzfH6XUnkqyHVm8P107kdlsr7hPTkflp66X/xbxLkvE4NnjOTR5oRC7B0BXf
CWgGnme52hC4kAPl61fT0Um+rG1AeXtkulhC6LkO4j602C47b+AHHkPLbd0zMzY7M/fgbWDB+pcW
R6rY9VOf0303+lmVWacNgywgzy+GoM/1RQFjTPg0QzzzvPF9X5TcJ+ZTmqgER2EZ83Enkw7224Ch
RC/ahYB1ocGAm2Hhs3xObJujEFsyf91nQNLh9AwngeiUNwk6dhOUffHzgLKLSJs8osSdtsNm/PAV
LP9u24k1j0WVS7k0ZZzo+NPatxPdTXaKlsNy4juVKEAGc1gIDg8AMVkEp3oIW71sCjq7azTNB5PO
9tNkwnwoISpmnnA3C1duoWugjIlOCik97/lFNjIo4RhWcLdj0QyxM2mDH3RhY3Sc+tM5V4FUyNn6
rGB7TF/XmoGydYcvgi4C0obmRncD+nVd4iJV9XK1z6kL058+a8ehItZvN7MWK3psUMy4zBTNsGG3
KHnQqjcJymWA/6QXMNiDTA/7Lhu0afcSuiT5ATXlOF8pEsxpW7LAB20Jy6b1Z5YtQNciO2nSviJp
wr8nm0g+RUXjtqrwpgh2SdDbW3RIZLiL+1DdDjnd4lpEG/OVC2dzvxE6AOLrACWuHQB03xRs0toq
dbGKqhWSMrIM6Ry8SD+u8c6HmFlUqwv0duxJiLYrFH7nX/hwAxSNVzLZClSz9ilPBnISw1XOliDd
948hE9FcZZHG5dkW8/g0LSGn+9mStSmj1JJvbtx60lV84mF41ImJwt1KW2QhPYpEUy3LGIal9TbE
EvslRgd7nOYfMEqfRN2QBo5SxotfS8QW1LCTeQxdZ7KKoV7HL0wJEvMOJcNX8PgcL/MFzdB6GWPs
3MKn7C5gqulKreGQWEWrfelGNHiqdebbfCj6Nv6paDt2FQT33GfaeCAYU2TG6F7mmvMSzUhzscLH
7idJeuNLV2TmLnQAlnnoYCC/kGj3HQcTFFuVGDGH59HgurEuIDHyc9Q8g07PpNgjJBQyjnoHSX9N
+mAbkcXH67TrVGG/NTkPJUelgHwjZkA5Q2+1NEOUXWxU0bn0TdvDIpqG6J0hsGgUwKKYvvkoVFMV
NwQa6ZgqtKjPqLYoSoVIt1o5cjKa9shqS5zjPEKcdQmamWp1qgIBCprGbFubn95IxHPbxPAb511P
UApBDf0ayRCy2SFv/AadlmD5JZnHk+NJtKJiOe5tgOIUEBlahy0/gw0xyWGJxPp0p+aGvRBhoqRK
8j559LxgS90II3HYuXGkNjDgs5WUVnVXcDBhfNcgpLlLlg8Doo/IB1dxNUfIu/g8f0KuCCfnTtg8
rPpg2R5iKjGJzVYFJRmGoIciUxtp6hYUsvzUXcp+taZxUN9DTI2ORYJZ6kWsFKhtrJ2W7+u2ePQa
7RyySse6Q1ah6aJLjuGaAx3G+a3q0GlBRyaJh9sZNnTiipAu57uoK9gTNuOwVjmu3LBOURQdaDf3
5szKVEMsBI3+EYEDOQTwqWEbwW54Fu3BFdDX2TVN3qi9WWKGcgci+kkN9TfIhPVUjrCEQ2sOoWgs
0LIwXk0dMtgpvCqUiODf1moVl6C6D742GKWNO0IU03VW6JSWE487dSTNGBdnZiLJL8M0QeXeoVFV
F3nb3jgd+dtCiHO0oeRc48cD0yhZs4AmWqghLGOTrFEd2FCo3RwVdq0jM6mmjmRsmzrnWxrsbLKy
F2FlzirvNwqXNND52rRGtWL9rWr4YioLmB/aRgvNrpocFUwFyGPwKxfNgDof6eLFLAK/HOimG1Nm
qL7CWtPI3miT0a84HkpXClPiT1xNYVIKMpgr0FrRxyCCWwy4SLCbkn5u69AxHB90vb7CPz6KsBfy
4FsDdhTbFdOKllAHR/u5Wop+GA4s9Pjbvh8zzERgRzqU4ZQlvlQdC0idDw1au+iWkFvVC9bicp+C
57BhaV4SdGa6s83pwR8Yph95Gdlx/uxHdAEuMfQNDCoGs0LuILLFBfSN5HYhHBLyCsVvAAVxnYi2
WscJsarNl/xrPsMluoJaM+rTDWhE3d5gsNGJa4Vq44plyP7rLCboFMEK7nkmWdxWQsvhpZByu0sw
pdpKuLfREL01Nnxi3IbAlPn4RLVPukd09EBs5kaNx6zJE4gmNlhk9JTW5bM3ZqMlYj4SpMB3/ELp
QRY7kadIexOfnSNybo8yAXOuhBEuqNLI8Zw9oKVKjtpT05WTLxQaV8Sp/3qC/yslnM/zr/FWq1+/
NERu3irbvNLG+f9XDedkGvf/FsOpOjb8+qcQzul//68OTpr+5zSwhAY44Ab/RwIH1MP/AI8JsCQF
1gimj/gL/5XAIWH2H/wJPYmkUVBr/mIp/lcDhyTpfyDCDh7jCTAIA3sw1f+FBs7rgSqyG8BbQSpJ
oRiQAYMavpn80QyZJwlBWgq7ZBmhTTClwxetcLK+RqOYwq9d208//rEy13/PFf+pu/MX8u//jhsB
agdeDJhpyO9gzg4455sxZxN1YYCi78RecvU8HTIBtPfW7THOLTPka2D4IvphFn4bTkACQ4SR+KRq
lqHSHJOu+JwDV4Omw7+a9aYnHSkoZGAICiTKSU3tNEj/B6xhbpvNiyLThymL3Y7wpqtTBudl2ZLs
+s9L8HrQ+/ejYH0I/SPQeehvGNOZgLszFFIfSNJMd22Sn4+b74+4//m5K5wuNf+Q5PLmU8cR8GwA
q2PJAUTBB38DROFr3G8cpqVHuYTLfgtcWibWKOSf0Xguoowd/vyOf2kZ/OMz//XAEDgKfG7gP+O/
ZED+sZ4N6WWkMJk4SoEIFKk43cWjSqsp4RnGe07WHJNW4KS6YtdpmV0AUzgfl9ABxFW0Eo1i7b7P
c6BmTPVCc2I4QXCCMUz6DfPou8Jw4YakAkivRBSXWdOmpUFZdmzVnB9mb/WOLTY7w2xKXADHK3fQ
rqQ1NVLuE/ABqhXF4A4jrxD/BpIqXEGS/Z/X4DX24iTDAQAsSJfAdgCbBqzk6y01aZEJYYp2T+cO
g4RhGPbT5Oy/fUqSnfzV0+SkIgfq7Ruk7QoefMODTe7XVERosjV2D9tr9cFTTmiUV58TlCxgB6HB
dwJ5IHS8fhcwHXmUrCLea12oezTEyPkgE3dr0iz8AMb0zqNgsXrS+kKMg37Em2WLeCOyDkim/dpm
I9Jfwr+uQpsdLFjNzZ+/0HuPQk8LsMgCEDdglV+/FaBMObCDQbzfwjbZZdJtdchYuO+QNH4A9Pxt
M0A2AhEWCBZ8LuAs3ixgH41op7Iu3UPRNIH7MqixeiAfqUe8DS2wEC+AXcWlAeZ5jqP++oWaxTDQ
2wuDNCKMXkaYxHeVGmL2MjQFwtq2ZPNtsViA9f+8kK9RkdjmuInAgYSEwslhFeDk188NIri/aOSc
hxYI0LhM7aAehwTTtv0IhPCDTjL1jeE2lOUQLtFHwipvgxuCDS5LNBkASoNS5W+etSICrT5ehmPI
Awn+XIss9OgX+JRXmeLBDZK89iMQ4duVBvwNcEgINwDvdLKwffPGufBK6JGkBysndkTUbR/n1Ilq
URm92HIIY0JxT39wNN5uIsinAkkY4h8ElgiG3q+XORHNJtBnmo5iRPLaBcmECXjHPkCmvT0Vfz0F
aKcUsBGI3b7VhwHstF1xAKej1Iu4CEUzAciRaPSVPfmXpwKPioD3RAoEX+UMM/3XL9TaJFx9jhdK
VbHVDh36Ev3Hj6iz77wQZCgBwYxgFJ4F+Zun9BNmZVs3zkcMztCjKDDwZ/u2iLuoltCFiv+V7BMO
A04Brjw0GaC7dRL8ef1SJp8a9CS1Pzp0Lsopod1FTgUcMIz7d8JFfz8KmRTknaFxlYKB/fpRmyFo
9SfpegyaRl0lzaAOwVz8OzWEv58CXBgAmAHwcL9Dx0FkArpmWY+hWE+9YoayVY4fJIa/721wKjNc
F2BtAxAZnQ75PxKGRWOzFaR3R8zMtl3vJkDFe9aZlz9Hqt9iBVYrQB70tygXaKqvHzPlHgov4QAo
Evbk5wwtjk9RoOTlvOZbtax+ff7z814zNf5aO5jUAyob4Z4GCPPNFRMmw4xKc/LHFC2uLylHvyGk
XEFFV8haogNW61lHu7xv0jOg7qYPyFm/b31A+2BLDc0T8Kkx+Xj9upBZDrMusu64JIzsmpkRVrou
8OUg048Mzt75ghm2PI4YQiL4zG/oZnINxIDWgDu2I+SxgX8poqoAjO8je4/33gmKwAAfwzkHcN3o
9Ts180L7nhbrEbK843esaLYc83Fh4WHCw6azP3/At2LaEOsC9xYfDurRoEVCz/T14xbgNBg0VMhp
BELzfTekMr8OSDvdjy0hV9s2iuVbL4r8zjV5fjOqiebwKYIzWTmZAaP3D36f33ZwCnxyAtZICt0r
fNM34aX1aR/3LgiOLdYB5BvmbXEg2ZgN+2jrYlVLjRkRWudIemuE9yDc8y61cxX38FI+gCKhIQEP
ip5Hp2aDJyG0h8k9pKzW68iPIAz9+ff97QDg1wW0FFVHiFv6t+XzadYbQbf1CBuq7OfYkAAQMmC6
qw4YrwsXAUBWwBvr0mSQqADx2H0QjX+7qE/Physddgy+3m+U90ybOYmFXI8rRTszGgsgvJ1lBwpW
1mMDo6xPkKVgH2ya37YoHoraGijlE34Yweb1ntnMpn00kvXIWG+feGEHA1DgMgFEFI7/W4/4lRzx
P2vqd58GNlaK9O+kJvPmkM8OqAKbAqMCRIk9yyAShu7zIjMgYqLgg+333nJCQh3YFgh04kZ482Y4
9o0zGodv0ATQXJRcCNMrM8diYjCTyiK/8xnAZeWfd9Fb5wucwhNKEY2DLIAQP/wFX69oF1IIGy5+
PW6Txsx5A4byEGnaXFOWO1A50LUbVruf54w/BEBMfwaxfAc0NSAjnYJeOYazlyHKFgyAhlZ/xOB8
70wiDQSVNwnQ2ni7KoRlENECkvi4xhpkmXFZ7wZoP7qSABNxQYPho8rlvc9QoG2T5EihTn2L18vR
ZD2wEU4Ex2RIh4qLsbiUdJm+AiLQ7oyi8WFyKflAjebdhyIQnnjLkOZI3zw0GKglSRdtRzm4IS3H
PoZNlI3kbcRUd9PRoIMX0DwBifHnj//O/kbz4kTHOw0SUU+/flkvIQUFy4zgyBwwEBWHeSXZDY3N
f6b4uA9/ftg7L0mRk4IyAb8AZApvLmziC6DvoA967HhAsIv0MID7npor1y2YIKfaQGLLfCSM8Nvd
ebrHkDFC0DwBteGtokQKQPZAVbodg3hO51KFsZRVALBDu/vz673/IETj00KeCFev1xL4WUoH9PyO
og9MjYKKHwFz/IjL8N5ToK1d4KUiXJmnfug/k7lAoscf6gnjw01NcMhp3BjUYZYAPfjn13kjIYD8
CgsHMxX07E6c0PDtyQPXryANJ+FRqiAARFutRtZzEcPwhLan5QsB5LtbdBvntdsgzn4CLi4t3BFV
1lVQwwoy4NsBETiynGGS/udf7711yGIYCSA0owOXvlmHpmjGmWHKeOwHjBDqqefJsk/jbvuovfDe
Efnng958VtSqAN5RPCgZ/diW2yghszUDwnoTKkm3D17rt3IfIS7GdZ3iOkcS9vZASqnN5PiI6EMI
RCg7Sh7SXkdni/fiViRL9pmpSAHjSulHNNZ30ok4Adk7hksohDHe3gNr4/g6ZIgFqyjGuyTfgP5S
svA3uBfiFiptRfCpJc16TotkrlYLQOsHL//ON0V5h3cHERl1yttCJYsmI4t0CY6pgJVdOQbL4mCF
sczFB+pa7zwIOxv1J2pxTLvfMu3Gddj4yHV2DDDUrIdh9jX8IMUHPYV3ri7YXCBDwt0K/lv6JnlY
qHG68E12bBKSqrIQzhe1BSj7GYGo4xX8X+PHP5+KdzZrdmoTIXvHnk3f9oYjoEtn2Q3ZcSIOpuwt
RE3pugbnKAGbD+qfd96uwC2JUHfKmdHBfB2IkBnlgFKEMdrQWj8J3o7XtGgg21ZIMcMecsqU+SD3
A2cQP/SfzVLEJBSx6PLhegan622Nid53IoKtT49WmwKjbo8kYK9DLb+QoI3TqzBQdDzkyaz7AzMF
wP/cR8mzhgxOsI+4xngclFib7FKW8/u+7eRULwjc0xnrI+C89QD+0s72VN+PAMsAbQogJ6tbC2/F
Khi35naKwuEhJExcBYBoyEe6cUWPBQ/9Z5FmAOfmC03S2qKflB7gE9vMYGP1lFZrRGJ30XGp82qL
VewqTJWzHrgAEf6Eg5F+Qd4np09dlJClGgDavJcE7HjsG51BYg6yGTeJsQD29guBSuW8LJndTZGO
n22RO7ACgkaLUo4hlsStpHg0hYBRURJ7rqDYZ0m+99iQDjid3qtKcNp8xljGTjc9eOfwlaO22EqC
1leypz1QuGWM2isshcyjZreNsX+CVgfRn3tm1KV10AAs4bernvoZeXE1oMX0fWmmID9bBXNgdhbJ
eg8Uhrmb9ThCcXfZwjvKevJrVVH8nC86lofFUvcFoplzhI8JdyTgmaNirRuOggrZr0/olyFMVVsD
6NR8URhPQ5Rz08W1XmZgZcKxbZ67UfustH0zX+mgsdkR72S/woMoaT6npkXQTgC/hn/0pMSVGcN5
qQTaSHAtoo6onYMaz5MD+Z4e6JIPX4FJC4HCkM78jAO7tkeDnwF2V7h0MJFpguQ5b0MIgFI5j+NF
J3QAMP7mJUj4E8ckIo1NBOiKwS+0X0Sbyz0D7Gf4AkweDG/EKMMIbVwPcABYZEFzRoCHtpWOApCk
Omo57E5FFx0B+piCg4+KqammSCwUKq4uADfBcvoMfl0CmFoYuqzimbIAMpB5+O6F8c/I3LazNeM5
SI5hpKYyiaSie5X75kebB9OPmGoR7mGPOARV1gRkBEchJ4+kDdKl5sugvsy4vXF5mwC/BvZZuwM2
zwVlQqiDKWvgMd5yAwgeuxZ308v/stw7QIklxa21nH70iqYjGDxsHj7oar5zPUL/AKonoC6fnOZP
f/6PVlZP50KSZomPsaMAqqlgkHzHve8eVQv/XWBUMOhXMINEKgmG30cV919aOG/jD7oWEEPBwAZa
DG+CXjKpeQUzC/KH0QYN3QWqW2vZSQFWB5RALzY3zjetbM1LrKkTQLRDxGyyAJfXf47z78VB6ALB
twUjblC436TSAgozowvm6KjxW14pTCxqMQzdB0/5H87OZEluW1nDT8QIzsOWNbG6Wy3JtizLG4YH
mTMJzsPT3w86i9vFYhSjFba1OH1CaIAJIJH5D3I269ly2LLQPA9p46xWe5r7DmloUENQVHFp9skP
uPldtS8WX+UGhbZi5M7fsTNj5/N4glu3C9czfTHsFeQtevuhzb6KZKqgB3Oe1gVKQdZ8aQ11+cUS
rnPBae3b4/HupwrJn04idR9em2j43Y4XQmtRtHi0giUsOvzFBmD7B68egeAr2WLZvtJay3SOF4X0
9/HQ9zEt5fUYmRoi/bL1nS0FU2C1TukV0cDUO1WdY/wdJZmaAgQeXQxDKqfsTz0Q2dHXkWDfe3tu
lOEo3NKqk48W3mbrh0s3x7Y522lxtRM7jpC9dOP6UCZlVfuQRMLy1PGk0/xGSVoDEyhbKOfBbIyC
i0jtvphqCe3t8ZLcpzG08qhpgRYgBSYMbr9GpiS1gZlIdq2blj601zbe8wycEb5I4v71eKz7SGMs
DhV00tDK4KlzO5aIrLqs1Dy7lq7Rn2IDBB7yQP2H2By9s+UO8c7c7iONNwuQAZacyjVKLrfjDUNi
otq4uIGbpNllsiKwgkBaPxjprF2SNtP8WYUc/niSGwsqC4RI1DBH4BirQQ11ApuB4UTAFZK/klHg
Ro3QA5QItP0fD3V/NMF558AgJmz0MNeNkyaKbaezWi+oLKGfFbPPnuDE7HXNN74a8insGsq1dLLX
iaAWLjwWRA+aRU0V7jKM69p4HE7JCEs2RtFxh82/EpSXr2Eyefpp9AbZKlTjbz9bCsBvnHi1URvW
q5zSFybAB+oZRv08jbXxuarL0b6OXdYWgI5DgJBprMUf27FxPsELrwzfHSdai2nYKL+Fs9MC2WuN
Iv+Q6mZp+dD00YxuhdV9TtVuCF8doMjfOuCeX5aInOz8+CNtxANAAF57tO6wr1t3sxNkRlLD6uBu
qfqkgQMJ6/iE8BDs6Dmypuz94ecC/6FuwZCylHe7eDCdPIifWRiIundnQJ2o0oB8rpvfTNyhlXc/
I4HjyIakpqPjxbl6O1o9a43ixFoYdEVLnhsN9rfe3hUK24hzRsH1FagRfZl1T8ZrGCHP5zCobAXi
m5IZaf9FndCI2wE1bdwPrsHyoQ8sBVHvGk2OCZjWFGGwOImzHMnbddJQ9LKati8svwnt8STcKX5J
5gWa3PsDRZYDeL4S9upa+zWnXqwMrR4GqtIlv5GadfofWWqUX3SlMcVv7x+M0iBvPN6wAMZW1cgI
1YMRwLkSKE2n+EOdeqlf1bV6HTT4CI/H2jhACHzqu7SUyTLuYDcTRCpTm5UgwhXkmA9dd4SOM56x
9Pt7ZnvsnIobpz7NCpB5VNKk5fMqJi216ybcR5SA1nj8UYdmcbQXO39ps7z0SygCV3js9k7k3Fd0
wKlQ0ud6l9Jd66utG+Ju4u5WAl0UtupHhRqHh6zWWuvU2y1ShQiO2EhpJeX4l6KH7kVvURd8d2kb
oywwFYBmpJHxuoyYlZNdWHavBBQuCy2IqxBg2BBZ43g28gFLzsWLovbghnPz6+NPvLVDpRDu/6pJ
YGduzwG2Yjz0baEEeb3Yz0WKFlzEu3pnflujuOxN+l+kq5RMb0dpFbFYjVvxZbM5dvyRPpxxLHuv
dXYG2opY90eCBgCCBsVqOvaAxogVxkzHoZqUetA1IVT/a0bUXJsI1vrj1du6ItgWGL6A2wTztBoO
VmGaC8xVQcRA0TWNqqX91Nn+nA4/sTnoocveK7A0QmW1OVyLBjfqxWHQZx3wsN5N+8+Y0EItzIq+
0P3SFEwvrT3v/YcA5ynOt+S+6G7dHQIVod8tzLEPuy6gLJtDmlrsL/lAoYhia3l695qylty3SAX+
8OK8jRUrlwJ6vGqDHEcDlOa19IishEHxsW13Pt9GWNJk4RhFu0wWOVdpLa380tCAswcitZLXHDfc
J+D56eX9EyIFIzsCukjsr4If0q02QmAhK8ry6dlt0+4UISz33YusPaMiTWdxbl+jpK4IvkkDIfDV
6wtXz0UD3Sj1gtRrq6tJoec8zXoqqwB2dFBD1HjzLiwPedSD0msHjIVsD4EeY4mQfVDcnfrnxrWM
HQIZALA46f6+ymlyKixFAy0+qFp0kA6ZCw+v6htI4xT0YKlH+SmBXoz16KDUx/cvOw44bEq5X+5a
xQnwMacvGJteS5O+jPYEHMotTVC5tjLBjfqJ4XijcuxwgN89xnGlE31pWGSLiieuMWrz7pGQGD+N
Ah7rzmAbxxysKrJ6/kTXb53ujOHije7AZ14coNTaNCk+GY/hh4AvEARQvZ3xNmo6ZKZ0Bqks6/yz
zoVtZRjz0uq8AG/lDsPaTjcKOPixuZzmUG2Us13BOnumzN8iXBW1A1y10oBO6xX4g+9sqB+P7XWU
0+qGV0ZUcamsdlQ6mq2ZumYYtOlYmDAc6bo9NVVRxR+hz1H3jXMIyqcQ2ebpiM5X9jwU6fTdnu3+
j1i4Fe5lfQ6F0p0SuPpNpBXFRYVN9DRT1UKQKRzrcOdU2/piMrvAZ5t0+K4YVYZJNKlLHAZe2jTf
hWck39Qsq76Bl0Pgr0QBQt+J//u9x1OMTrl8VPCkXR8FDvscbn7hAgpYxvpitoP2LbTCGi0h08i7
UyuSJjsCyjF/XdrWe58bk3wLusgEq/LqUOU7d3Vf9VabeQiguORVRuPBbLOlNsAEwG/nfro/xOVA
CIRy3vGUWYN/Y5C/Pc6TTlBHkXtR4ryE4W/uObLf3/SMwi0BYI1iCzF3eyu1edTYWdUyShbnaJ0N
kGebMj6DS5x2wntzQjyBoKcAR7xT7Yxn5EHAKcMTDQHRePADAqEP/eG95xUTIo2gcEhVh6zsdkKA
bBEUnG0niB388lpPqw/NoBpXR2nenyUxFE9pipHIfNwBYHUjQr1fjPQcOCoObqnOJxjYSJDNKD/9
xKxckDDSFglE9+ozlbgVchnBsV3i6asGWAgg9the3EyMO1fb/YaWCCtHhcwC/IOK4O36JRYow8We
HIBdVXdF1949q0U2HiZMICEJQR19PLON8aQoPEkRawmWf5VqhrGhl6CLXHxZbPWpUsPMx52gPZVG
OxwwXtw78rfGI9tkU7m69D5dxUeZlTGJQ8fx4aTqp55W92febXX7EhaD9Y8aVqm+8xLb2GJwIABv
AtiThKjVt4vGrsl6RbhBrPQzgmRj5dPBd46zmN+nD//jcKJvKpMDUk3tDs7ldFUHfsxwg6Vc3KfY
6uAb99wVpVkOO8fwxm6mashGlimQTAFv4yTzasPuuHQCA8U+v2vaDCatMu7E/dbXejPKj/v7Tc/H
0FJwvCh0BGwNwJeo39F8nIffZjfpgqmw7Z+IRoKeirjD0U7SczurkfRtpq3Mt6qWEnWcyvs829Ps
R1NVnk0zRTTxcfhvBQeQL9PzCAzKSavwR1DKocZXuYGDRuXJab3+bAPIo9027bFJ5Be5zS4oAsNO
hFZhUwX2VkP1VtqSEJSsZaPqh07QIctMIjIrluywjNhcCZc2eA1T4Wiljf7v45lu5PCMDzyBKgjg
Ovott2vbVUsWGzZrOzqpKYIEvvx3Dy8h85glLprHhW631ae5zprx4jaI4JAAGe2vha23Tyjrybb3
GGML8/jX2kgnOAtAeMJzkeYh6/OgmdO+mQyHupM1I8ZoV9oHOOvOX31ft+OB/rfX+q4x9P9ptUUv
+vHoW7uILhdEF0psMAlX8VZIaHTtkfDajdIep9xODhA9levjUbaCjOAywI1BjeQvuF35OHLMCQ0s
giyr51ckW9JTOszu0Z3EP49H2kioJX2Wm+oHY4n3wu1QHVtqocDjBmAvho9jSa/0oNHnsA9Tmdvf
zLJFQzbxovGqqjy2PW2k7dwpe02kjXWFIomDID09HhR3WZqRGBBsZi8ovTh77TMx+MNcvhuabzNZ
LhO6VdI7bn2yN7aZ6WOjeQG6eEn4ozoCCnt2Me1+vKxy1VZbVwLToVjQZZDlpttVjYtIAjyiMIBk
UIW4qChGfcSoKfs9z0M7eRrTvP5gaJ26V7zfOH+R0gY4idg1l/T6eJobIADIExOfeaa9dKz20+TE
0QczQpygnF378niim/Ej8YZA+1hV+s63M3UqnRwx06iSmMbwLXND8cFuY5ceCb2DeAwxYUaq9Qjd
1bu0WVqc0TLcC56tSdM+IH4gcJv6unwymd2ytAldrL6xsm9TWrXexXYKtIFEScKOnlC7ZKfHE9/Y
oqTgENppuHOvri8eyh6jUXhcdG7n9IcGNQTfqDxxThvkUd4/FGNRupHHMFny7RIb1owCsBVzx4Go
+JInnvkdabPFQpzPQnTx8WAbxytY1f8fTG7UNxe4qo5Tac28Yuw+Vs0DSh3oLy95e52Aj5V+vERI
WeWN66C9EeZT8Hj0rWOA54Zs7OOXp65PI53eo+nNiotC8li9JmY2vsAU0HdS5q1vxxtKHjS6LMrI
n7+dY0Y+IfqZ43W2mpNpJNFhmm3zFNci3FnOrQlRKaWFDFD0njVjxugHqjlZF/KW9TULl+Tolkb1
E6MAwZSva9nIvQMFdCkcuzKzgzgv4suSoZ+/JLXYicOVC+uPbBU7I44VjKEk6H4ViBSwJ7FgYBhU
dY7heqi1vyBk5PlscGp6ZmYjODrHF6FPybEVoeorUN1eQLHRtDR75agqo4Y0Xt0gDRyhrrake4Zt
W+cudUL6vry8UIdY/YbhIFNFFDKpbuj9AZMGxFKOJ7WMVZSikMx6HK2bh9/b4VabBS5lgV5kZAdi
GLS/ws40/mWrDsUZ+Rl0qIvGzIJUxNVvEAVM8QR4ZjBPXrjUe7CQrYiGXcRhJpvEZEW3EV2ZOEEI
e7ADZUy7P7wYfSCAZNHHzCrjnSjYimiXpJQ2FVwUkBi3Q/HlY7t0Zwdap2IcQJUsxygGfPl4abeO
dAr90rONAvzdPQaMekRUSeb18exc49ZFTA3UGGWOqvxUm0O806/ZCByDAMAMhYeEdlcghvQmOuGF
CA4OS/8cDsgxNEuhvLIC02FC9w74WPsTBzutb4PUmpIONbJVC1XPvDByFQY10Iv1s1Lox3FUrEBH
xHsHRL2xnnAQAM7I3gmbdx2p8TIgpxHz1RKB4ptmJsdBVNEldlv8h6OqOz7+fhsBeTOe/PmbIxZ1
8SUd0tQJIjtJDk2i669O1aLcO9Xpzp2xORTdDIPaEWu5jn0xOXkP8NcOCjwo/Qjs7cexVsYvlR3u
TGprEbnsJTsXlDjZ+e2kkIRva4Bd0XWssPsKkxGZ9hZJwgW3xkMK/HonuZK7dpVFSiNeWJfIP0g6
6e14A6q7xmKg3G40eMxcu3Aov6SozlWI0hnjn3g3ePlJ6kdEPm1+/bnLhvT6+Dtu7HZKG6Az6E2R
0K6rc108qdy/bnTtRaudLMHjjzuo3tntG0kHRxdsZARCJBZkFS2Wnid5XRsRSUYnXtAJGT7Y7uIg
SmjbL1HYVd6RFeoiRLe86JfHM1wr8cgCsWyWkK+TEVCSk1/9Taji0BsVylTG19ipvJpMAAA43aDC
NXHvGME6a3VFfXASvCZRi2nj8MnKBzqdg1KI6qiHvXlpJttczlLvYfFrFBn7C7Jybna0XNGgxKBJ
yLQzmvUehWBr4Sw4Nayd/G/dz+6BsxvC8gBGUMaNEQ7CcCPssdHMk6V78lTASm7WqidnxqXh8bpt
bTsuATpNEth1100MnSrM3Q5xLbVQx6PXL/olLKzpmFXTuBOEW/sA+I5UYiCLun9jsOlw71uSa9nH
mXepQXwsUmcv7/7EgFj/0x0M7dukmCBQkth0XzJEP70d/uzWdNGJ0uV7jmbPutNl5F7XmEkfX11t
QqXNbcLT7ET/tHO87JwyG1cRysg8ZTARlQzD1a5PszRSzTkBWOOJ3sZFJYImhWtpg7ZfATjSH2yv
QxMUzHu6sw83DjjqPTygqG5ICNhqaH2kLmoMrRIY1K/7DwgXprXfDBVv/oqf/dKacV/v3EwbC2ty
qEpIq6SJrGsdU5zowkszJQAj/SWvu/ILSrFfis4ddr7g1rqymiSAYImQApA/f7PPsRVChlfHlxit
RgSjVQUBzgUu51M9OkPjD0ALSlATVbH3Jt+aIWxGngF8TjoPq2tjVrUOxfiR5nPexShZCqVUkRjV
UsN3pmbZedxsHAlgBfl6GN5KoatV7Qit4ZyrhHZzMwk9unidAx3VnQe3QzbWaiqUvVz7e+zk0a8l
lsnzTghtDk9FGwMAegN3xfNMGWK2qxsC0NCVL5pXAKePnHbO/ZY0A0MkmLxVYLpIYl/rZRyU3x8f
SxtnhVTAoXpPL449tJo+MkeVNjdpfE2LwRn+hdjRxU8V8TccF4SQMR5xnbSEh5Ghx9VDQcC5wmvF
TxT2JdwfICr+3vdQPIBw9ZwJ4EzK1EbPuYu5gZv3cJacqNjZQBuccNd0aQhLrgWRvX7OVqWbZ4vi
KAHa+Ur0wRNGpJ6RL0GLekDW+1qh4wkBsVdatBFiWy3ar14RYb2j6lHunOuhQJvYgS/5ZE2K0j+P
ijK/Tj39nZ3Q3NoIfBmONi7c+1eKVYxC9ZpIAU099hbqdVn0pzIMjXkIkczc48pvHWYEIa1nDlM+
xmrbFVmIhlYGQDEubR5G2HdZvunGi3GNsG/5K2H/zOfHwbeRLXEjAhbHFZaa+bp8QY6D3gFSH1dz
1opzK5zqvIy2fno8yg/z1VVeSKKChxDezADT15jZzEUsuXItMpYGS9Z/6yjTkufW0ubEb/Awm1Az
1yPvae68crr0qrMo16ofMScJAW+l1wjbzPRrjRMpdhKN0YzPYTn0r/GY2N2hMwZhHWYczWaIHHY/
P+mpI5pfEl7r9neFLKzDHgdR/cMCBWJPp2WD3gDDk00DSpdu8N32HU3ETgG4JlfFQ+L7qtmLg6Sz
hLr49Tx70Yc+VUWDIReKKod+aVnhwjJb/YyPc/4qvAwO3uPV3vqm1IrYy4hX8kyTQf3m2rA1nKFG
w06umhOKa1Lb4hDnwPkej7KxNchrwCeDWaeXtS5c1DVOwY3tJtfCsdInlXT4U9Yh9ewkpfbt8VCb
EwLewL+4iN9lU0uRNkmzsMR6FE0XvAHEQYMHubNsG7et/LvZ5tBlyBBX53Cu1ijI8o69YluED4vT
1Lk/NoAJKgFxTZh69yHSYnH5mbmxiOho8f5cvwWxCjHKumMD6ggY4zAwm0p6xBA231nDjVsO8o3k
FqA6AaVB/vxNUISj21Z2lKfXLIp5EjFHipSJoxvCL7IynC5e6Cbilar/8AXVlfT9gGjeO0zQkkQH
oC2rXCaqFzGZGXot5tzwLMNb81AXtXgtGzUMyq6Lg8frunGWMlW0hiCJUBxZN07QfIgEldT4Wlhd
el6ABQfmIoxjMsfzV3VK94QTNsajnokoLCADGrvrEw5UlwMJoY6uRdaKUx6nFibXSXlBuWkK1Lr8
iZsJ5Vd4xdhbAhNat/UcY4yQDBfRdR4a8CBdLs4zR/kZHuseOWVjpzMUN6AJwADtutW1xNGdjjGy
6dfWTjyAcrb+XKtCu2IA1lwff7XNoSjXEqoSiLJ+SaCmquWVzusQx8zysKRt/hzWkfuExvm4Q7nZ
2O5oblITlLqDNGVXAblU6NAPfYba9GzN5fPQhkbjCx6ExhEtfqjOc4zP3h9W0S3x18ez3EDh0WUD
V0ZTlpzvLjjxQ6p1i+70tVrQeroAIoFROrle9W+LI+tzNpF4nntMQowjTfMZBV2wb/bZsZM4x2C0
xwoIsyPz69BKMnjd985Lb/M/nLCRSV4j1TLj3x//ylsfBoi9BsHrf/C02+Mjg5sEqmXABqi2okME
cS+gCpQ/8fLZkxbcqlFT4EAnS7bw79lDigkcgqauJ2HM+mvS1CaJcDWeBj2qDkUdx6exaKcT9g7J
ET8JLJ26ZE9VeOO4RP2ErjmpHzfC+rhqW3dskEeXfVcx/FdV0/CERoZ5xFLMPMxmMv7iWsX3MK2H
ndjYuOt47VGfADPKk2/dVl5iq0Irl4ZvNoRdgDSI/cmZxj3VkS2kBBmLxz5DkPqeMjXNojcmHKTA
YJkZ7pKtYobHOen6+KwXRoOj15x+7Qpl+Gp1A/8HM41L3pp4o1VnZYkz++J0ixfvZKMbhyhFO7jw
Gno6rL98Kr25pHItxyvII7bapsk+JE60/Gd70YIk0hz7Yg7FH4+jeuMrA0NjofnC6DmvSQjx6ERI
v9DrGhv6Lp79n6MlH3Ft+lBH9tdGM/6qUG9/f5ohiacO9zCY4LvXbjtCCmiyCQByZFTf2rCYD7iW
6qcIl5PruAislmxz56zb2L1sXR4WlO4lJW+1rraB1xapL2QLL/1Gpak7tAhPIaizNMfHKyr/plWi
Tyoowdw0t2kVrJIou7FshKJNGtuJOSQYPmMC6bd2Kia/rtlt+NZ01nCsYq3+O2qWNsRxqFHeD4cj
D2d1+aS0z9bvqKrJlSGpKShoQtFxwcxU+7V1rBBikN3V1fsTYZrPvGwYE67XOhG22glIq0mxZEz6
HCRKFf3eWHF6SIyh/pmJvRlKHh5v9seQKEM0FUMYJG1aXuoeZ2eRYtuqZeNP7EQKOpDlED+C47i6
HQtEKnTcjOHMFJNyFXqsviwNh4M7V93BxTzm8jhutiIUMiVnkSdhrut0TRgGxbS8DgNDzRDBQ+BZ
7U86hlnfDW3R9xCa8rdfRylvI6myQI/7rneWlGqttp0N18PG7NDvpqRIXz2wItlRn2dc87RU12If
FYxkryW9NVHScMDJHPKyHXn7CT1jsvGyVNj+bjqcpNL/a1kV6sGozPr0/jWlgkdb2QHkdYfJUqbE
nt0Y3lNdRcu5p896aM1IDbTe3asAb80KfDAVEnChoJVW276LB1UAUHeCrBrzT4WqRey92TkMeK7u
MTi2jhgSJ9qCst16l2mPjldmi0pjUJi986lGMeHah6b6GWg+ogFaN7YfeGa1V4il47eR1sze+3rr
1gBLaUnhY5nErfLhyMyUZcR4LKgwpFGveo2n4HmhbPJdzaPwvxpN6/YYjbnxlWwh38PzbS2190O3
gsI+v8E6gOjh0XbwnMAp5uJjV9jTWbgtrgBgyHdykc2hXGSeSEaA262bXE5Vx4lFwzeo+iE8NymW
fPWQZE8qXm07sbp189M6h39l8edd6cvQZ95WGKYGrecuL8I2kKwB5HaIawz3hqzZC9iNIGLxJJgG
HNh9cySy0hJ/TtcNJPq3BftlLV9qUIzYORtV9G22MFY9NCXiTjwiqqcZf8jvj3fnRqIHKIErmVNW
Mp9WW2bGYmgxKoBDurCcQ4MB63FAP39nXTc+Ib1C+pQgLKA7rdtthosMoh4D1+4n1zmPtRnDItCn
S9pk9k5i8yM1XZ2qpO1og0Ef2JCeiAu3r6ze84KhV7MhsMYkM0q/o7fxN6Jho/dVEzlesnnf5833
SOmsl2Uyk1dNhIb4fTFRBTqZg3DG1xHhpOk8dvWc/66Mg9Ncs252NJSlqqj4UGhxgfcofRcfQtDy
ag9tr2Co1mTLCz5T6q80gLvmpCAd3l/w3Zr/9VKBzgb2S7px1se5PvZgQsvDOHdxcq1yLARk2VlD
UwqKcfw0j6HfeLn3h+aM8/QZYT6vPehGYmpBmbT5r9rS4lnRQhofjnrrVf+1Zp8Dchat6A5pUepo
3NlJ95dS1XqISlpPKLl1G/9iY886+cLOzBLjxKEe6DNIP2VRerhlqNgwAkBSaZOdtELgD+4K13xN
vTnNvqKRZ6g7sbGx5+D28dhmFxCA6+09N8OS9nLPUdVSDuOYiqtipChyldZyHfTSfn+ixHgS6IS6
0r1KSEIKGloj9FRrVJ3PFf4eT50AeDWo3s7e2op6zkAoVEDAUDeQP3+TJ3UDCi8ozUbX2DKz6uz0
ZRQdtAxHKLyS03IPgbiRTnDzSfsGaFs0W9dbuQbswNtZCXqAQWeux+g3a55wGkO++Ziapnmkcjzu
bLfNOfK3SjFZsE3rnV3bDY4wKuz7chjbKx8vfEXMy/4I0bk7PT6qtg5L+OcI5KIJRaNudeG1zmTO
Y9vQlwCwMtAR0iOKFlaT2Kj2NKl7NPK5Mg9JrppP0K1QhUtjx6iDx7/F1oTBHcmWK5Tju3sfanoB
UYJqoYjH6AtoWaz9lsb9vVD0didSf1yi66OMKKV2DmIWbPJqxkXSOEaHunbQkAjOv/ZeWf1JP9QR
vsgTM8Ycexkxi9XDMn9eEiV9iToaaH7aZ/YfGXr8r0UuvO5q5JZSHlFvs+neWiCaoCBhIfs5iWyv
PCST5WAlGPfNlzovM/cwth02zFaXYVlW0hv5C+xG+jupaqmcIWNrT/gc5bE/InDy3ESY+b0/pKTY
vCetKoBlruN4oianaLauoHpTfMkyw7uIGb+7XJ2MnW+5cflJDQ7GQWqbK1juqJsNmuKw6QDFgJKf
o26PZXBTiWTnM25Vkig102qkMcNpsH6aVUKYGPqZfMbEnF7qykAWw5Ja3p7GEqelaf4t4OKfJjv7
YxziBMEi7fvjqN04ZPkVqCIB2t1Qi9F6Cpmlp7BNUQMIFDPL8W5NsCcEKKSdtayMdkADG9uEY48C
P5e9KdHXt0vbLnY25i3KIxnwdr8MB3xzPSW59Ap37+O5bX5FcmCOvR91stUuqZfJSK3eUAILw58A
da85GL3G2gE6bo3Cw1oCuqSq6roolJQ1LjFjqARthBl52wCM1zswvI/nshkrEiSHkCol9bs3YeUq
iTvNFPDVsHGuHpTYoJwM8+NgU/m2vGn5j561avvm4NkvRmEt8REEmP358a+xcZUgqOIihseJTg1j
dZVM3ljgLpRQ1s+mOJhhmR6GvklPpKYoP2NIe6FtuKc7uDWoxCoBPwBbDhvjNmRqOlOFGY10ueMI
7XVVCZ8MrS0/5MiJYp5Q1r/ofd3tVBg2LhVUYwhQDgJp6rE6Apq2TuxpQtgkihPxu4ZK6inqakCK
i4F7stIUzxNEdYxquTk1DF53zoatfckrHFMsHjj3VRsVjSqpzca+pMn5oexEedQ88T10qTRK0u27
twp1DcAd4NBh4t21v1Kt04Sut2EQL47+m2PMsaS7zjt7/+5lKlkQQLFMCXTmX7mV3hyrs153dUdX
I/BE635uhkZ87D29PfZ577zWheFAwhOAEsEvvfuhwdCQSqSWI+VkcvrbobFLC1P8HPpgGuJe9Rc7
rv9sw2WZfZxXwz2K/P1uldLhPL5pSdGupS1xO1w0u+YCyRY3mIE8GlGCSsmRBE2X6OPgTLV91ASF
0MNSimyGbyjwhc91/JF9Uqk03cGzbCw7D2SPniW7Rwr13P4yadrZapSWA3Mv0bjNAO4Xp4jV+JrW
vfuHq9a9eY5awxlpKlk8Jh6fGRvDU1GWFwzpEbfp6hjuF2RdRzr8AWmLcag6Ckt+t9itX2bJ8ILB
eHYUee486X3x9f0jQ3SWL0vu8rtmhYdjEkWWZuQCCBs0SkT+rJZmPflmUY4XbYnc56bBLRhodXh9
PPQPt5SbFA29J7CNJNy0iEhXVhGAQhkeIJ41BuniDE9Z05nZccbq/agP8XKZtFZ5wSnY+ObNWBcX
ddKeU9UI/dpuF9nDbHzU8OJ/+rDcU/25O02lEBUXPn+AHLINefK82YSVATE6TvUhwH/Z/t0tkcAq
xeJc4CAsvzXSQLs38/HL4+W4O84ovlkUM2Cc8/DhQr4dVACuiaxW7wORC1U9IW+ZB60TJx/xQlaa
M2RFc8+y7u5elvU+E4EzOjaSz7+OevTc9TQSQ+CVvHstPZlPKmXw0+OJbY4CdggxDC6LO6hY1zZm
GYbtEDRNb/2N3r/4SHnB+IlReKNxC4EXkD2S2+WrzRz3ZMx9g2Z0LVSjpwpLHm+vU7A1Fxr2jgpK
FvmINeytnS1TzMM4BGanzAfRzDHOafGuxos8alc7g3421lUAujRy+VUGKGoqFTZaA4E5Ou6l16uo
OZahrX1KoxqLYgE43vMpgFivS1JVn/D5rNwj6lfYKswid/euvrvQhL0BjgQ5dRIaOgry+Hq7Hxw4
/I5WL1KcAKNoo6TqghK6WsW+7VW6QuN7mv99Z9TIMSmv4RwHzfOuydaJKh5aAGCBQnr6qTe79rUQ
4bgTNZszgywLE4Z7nQvpdmZYUFoWeqsLKQyyvZWJfWPaJ/UvtG/1i5bgX76TpN6d9PTD2Wr01UjS
yJpWuzyaEAPnq8/BkpvpyQPO9uKUTfrrhCu6P2mRc9G1qg6iLone20GUI9NL4B/uGGrJt1O1E5pB
oEDUQFFqcTYLI/lszvQSbE/p9g4W+XfdxK8ci/uMrydBsevHoWvA1eyEsgRAm81TE3rzS9fY8a9j
YxZ7bMf7RILBUL2DZ0TySwazOq0nOoTIzmGNM+ZK/dUY9fiZfNRNzsXYDJ4/mGiQ+V1rdf+MkWe+
uoM3fUxTKoI7OcTd2UCbRqp9cTZA56Jlc7vAbtSJAduTJdBrvfwEWaM7gwRDK/q9G0ND1ogXvq7z
J8yV22GGosPP3SFkCbAw9aMa5YuDp0XT3tt7az5vB1rdDpmmF0qdG0ugFYr5nDZDfSqy/N2oK1bt
zSg/cKdvzhb8RckP03kJIBu3flwOy2ds7/8J9WU4IoQ/7WRad1e7HA7/LMn5kaxSOek3wzULUo8x
MhEBeljLqcIw5ZqY5nQZ06X2S6kBNBYUhX/ik70ZdLWSZTlr1mIOS+Bak3ZBeah4iupR34m/+02H
XzkFL/6TMk34k99MLcNax7QX9gEe1/OnWJ/rU+ekuDJDddgZ6j40SNiR6ICKiYzMnRi6oqRx15qD
EZRKFh/NGASP2bd71Lf7CclR5Jam4gzHeHViyYolmENMA3Cqrg/6nI+H0ZjEr0lP9f3xF7q/BwCs
EBgwCICO3j1lU1PPwyxRjWCGOu27uDqf5qV1T11RJMcRNO7Xx+PdhyGe9MDnNcmZgNGk336rjujO
IbtjE+DlwwUzsfrPqkrR7o1ElJzSHBtuHyirulOI2VpR2SdAEZCvR33pdtgKirCDToQZAOSMjyD1
hkOu0SyvFEPdifmtFaUWI+EULCsQrNuhSl5ytYpNWVDnWX2Nuz77EtX28rJgo/LdmynZ7pyLchPd
3jlgzUiauA24ee7kli3EcxMRw/4csUT7C214p36C7A0hwRBFhSIyHgXWJW8KvPmo9F9LU6/+efxV
N5ZX9nPJkkgnyHRXN1Goj20ukhIBrhA33d5zMH7MQu3kuum7ddLoibA7CFqyw/vG7jzHdKkiaPFL
ZcQXSHH2cWFtTo8ntPERocawKQCoUktf40ahgFrFwDFKtlI7tOYspDSE1R8hjooLBh84mj4ecHWw
0InlYkO7hBwT5A8FkNuocUABlHSY8iuVFffFCpGr7sx47323MQoUaG4WECQAjNev/bzpsTBt8xy+
Tla+YkHZHJfK3SN5rva4nIuOdR5lHB2e511zzjHrLBNAP6+mVvZ+3mfaCVGLv51BW4RvzmjP+BFI
iJ0VXG2DH6MCiOFRRw2ZPu4qo+27ToNl0eTX0UrK3zDIaZ+GENNWdIfTyvOrrJY04j4BNY7kjvEp
c+mn/czvACua2JQchjX0UjHMeeJSza+oN7u/WAYJFy5Xjl9HYXqwk6X5oChe7dtzWvyRm4348jiI
thaetw7tPB7TvDflz9/c8SKn9TtUTXWlzYzC5Twa30LHrn3ys+6gK3r5AXIYp967RzWg1CMfQJ8e
FZ5V6C5jM7XeXFfXBbLZ56hT9UttT+3vrTq5H1KRfU/AYPzxeMyNQCa+6Ng7NLnuqzdaVebd0gzl
1atq42NdKbUfK2oePB5lI6SAH3AB69RqQNyv6jQoNQGQq5XyivKu+6dbp2l2GusxEwGZDWpXhR6V
FfZKUWr7WeUhbyLasEk+P/4t5Pq9Od9lYINjo7RPpk8ba93aGjvX67F0rq6ymPB/nJ3XbtxW27aP
iAB72SU5I40sW5Ztue0QsR2zrMJej/676H8nGs2vgV8gSIAk8Bqu+pS7fM3c6eeqVy82ytH+9PpI
l2b1D+iQCJGL/PyVLKxmw61Q1ac2y4ZjJHPvuDmLuHl9lIvfwx3356mgtLzP+n92adGXRed2mz71
FaknLcgurp0sIFMx/hLu9GfqcPagpADRZ3fDfj5U73l1pTEhOgXBYn+eHQkjdDQ4u28RA94jYLue
/FNeFVWTUoj01N8fDUozVDLA5waU68/uJHRiQNKWQ3PaRmGk/TitJzwZx8NcuypFv5uIZxmcK7HO
hVUEhBQ4JlX0Xcf/bH7nqs4xFZvq05ybztHJxjqOlvmaHeOFVYQVQw9k7+ODnzv7NAdhfnL9TJ8K
S7qxKJvmpnFsVOgMYzq8vmHOeWr7MjIWBRGXpHpfzufLKCS1e9PgtPdt0S03Tpe1fYwRjnovZ7zw
jg3A8/vc76Y1ndDDEfc2jD3j0K1BO+PSG+lrYoGXphhtHkzjocfZL+QdF1Xk42atfPy06J+tPQ+Q
4fELvZKzXRyG9xOEFYW3F7qm49KjSFdwHkXbd4/5LIITBrRG+vr0nlVm/swufzyIxL0P8oJs35bS
7pao1SdvioQTa4qZfuqosbKOQ17Md+5aoDRdTUZ1U9tIQF5Z3QsfGbmkA9TDoSCxYZ8vboTRXG70
W3ei9eF8Mrx6vrOi0b4ylZf2EPrLBOS7+ARl0rNh6DTM5CWqO+WGaz5FRpc9NJ0Z3Bid1SeNcI2k
wcIvmaZtOGLeGCW2WNpPnqHElRTywsGhRwthmp6lRTpydieVy9jZQ5F3J1Ag+t3ke/oLZaIWFcV8
unLTXppaMCdkqyAJ+Gv/Kf+5aaum3Bar8tvTSE/rMGnIc+yhv2zB7mAlgvFdBwrSCZHf2U0A3Tkz
yJTFyQw06q2SncbXzNHEGeX5NI+U4vv3uZ3Nf+kr/GdkIp0dmwAJ+AVYXmpCoaqFGEi9Mv/gDPC+
oaeOV4jUL2aR7wM8xANCMZa48mzBsqgbdGiJCg5ZMMYa2mOs1/baWX+5Qfdh6BbAfnVIUM83qJJ5
SYSalad8ajnjq4KEEHudipp3k1Bz9mQXw2bezbPdO8fJnErA7MrTxoEOwCbCGEGOyj69fjWcy7X8
meG9LboTcklQzmO7rNG9HRR9ddLN6iy8Wybh4+rmit7owoY7mCpbT01Xb0FchFX00yH6zWL4YWb1
JivKvZE1CBGbHcag8eI7/TdrhZx0xEyu+NR3jdAIIonyGlPlxSFjMlGBAIMOYZQQ42zN3HHSBT5O
4oQKzPKm8nV5WmqJTaZU0ZXn9uJQBBegqZEQeXF/GRFNYhVt4gQbSdxufWHHSy2C23KTT6+vxqWR
dit6kl+Aqi/4trmqgbDlQ8VBU348ON1wktniIKwgjcPrQ52bev1ZeOiupHF7IYpb8/nVMaFYnGMg
Jk7Emvav2qVPBnXNiZ4MGF0rlsdSfW9Zg+9VZYrqzod1G8ZWPprfILl1Mmm70XXobQtjfOs1k/c4
yMEzDoEsgzpZ7FD/MLPMteKpX5zPdYgpbGxLBdp0zp312tdcnLg/lXnQRS/vfrsFyU/DvToFMwZl
YIiruDW7NplorFyJ+C5dFqTwiHVD+OYsn4UqWG0WGtxydXJLDIC3cS3vgW7lx9eX59IoPNng3HaP
MkpGz1cHQO4QySCoTn4VhWlVIHtUl6uf/v0onHzeZoAuL90LMNHdKOaP5clTq5diN+cc4R3+pR3L
vtO4wcF+7GDXnbXz/FtK+CpFjZflaRZ2/n4JUeX2/FH9/SXOKMSRAMpB6Z83mVfDn7Uz5oxirt0B
HpI4ohPvXIkyLmw0+iBUwHbRdiLWs2unM6Ka6p/gLtDtGhyCXPQoLy5hqGO/wbznyjZ4EbkxdTub
ZCe2EkOdv+9CFUgwDlt1Ah6y3o5TqCGRSFh5EX7FXxarQBTcrJx/TFldy6z2HfYsKd2HJvH2/lx7
L9TS+iLw94JKdaqjzkk7J28NmE/W5twuGOm+tYpl/qyBuv1GvTj41Zrer9f35qXxd8lmj8Qchvf5
CfAzT2jdReI0aVWvR6K+sIM9LMfw5EdC5JgHtt1jD/xuPHBjYXbgbKGorwRY+3qezwLis4AWEBR8
GTpLJEId3FfEqTAndeMsPRexC3Trw2BV+mMhqtK+a93+Won5wjZzKNWSfhBJssvOthmC6DPqtx62
pLPnrEkW6taLS6rfYG+hMfz9A0cSyUWzl5TI28/jOycAjeFpfarb2bRjC4vuD23Y5r8WZ/WvhXQX
ZvTZYPbz20C4Wet5XUbGPgr1xgirPEWn34z76smozK915tVXDtFZqXe/f5AHoNWCEi5X6vkhGsth
bqPGFScPxegpFrKaP/UatWGssEsz3JWU1PL29d17zmH+MyjNfW9v9FMcOEe61j1ynhNO9ycVttsj
Ou850mPLeovWHW7Wvp6PE/7N6VL5Fraa9ZSAf+gOxI/dj37V1+gvlyadhxFcOi5qQKLO6lzsnnLp
7ZDAwqv4YHMa75YobO7HvKjSjLwJuLjA5fj1SbjwiO0XJWE1JVtUbs8eMXSchPaNWpwwZ98ehxoA
WGsa4Y/XR7m0vHRioBDuAin+efSORA/W7gOBzFaExlFjkX1EkaD92IE++CDwa7/yaF46m5wRjiXn
haN+9pz5A+F5HxnMpUO9edqW+uDlIxY1vromzn95KOJy6qA8OudNCnPxF4wzlDj5ne3FXrv8aFxr
S9bIu2awcnGpoL0AEqTD+uIKqPrSMCSg/VMxVvreDIz5LqO2dqXceuE52xVFiaJ3VtkLYeXI7Pox
mEm03Ept04PO+nyJl6jc2kOJKn+HC3Pu2GmULW1wp4u6+P36VjnX9tpPJbod3AQIIhFbnWcNm9sH
Qb8RygsdIuYIcty8zQ20Bk7G1on5q2OVgfyi2xpb55Ci+hyXxor6fDxEQf20lpXvplVTdX2yeZWr
DxonTf8YNZF1zXfswoLwSyPIAbwBL/lP4Iy1U3Scnb4nqxGyVG8oblw5OpcGYR/TFqaXyTBnW3nK
XKq/oKtPJe37GxIbEXvb2lyph1w4oHtuySYGv06t9OwxQ0FIT7ss6Mmbu+CDla3lQ+8t5T9rE8qn
llj9ml3ApQF3rSTqBX86lmfvWQCi0SjUlJ+Mum7ToURLc1jy9W1obN8cmt+H13fVn9DyLEggUqc3
CtJ1z/DPKk9Nhl3HXE/FaVBt/ej4W+HGUPkKL6XnrT9aczbVb8PM9OEK0vG8ncdtorzvzuudv262
d3RGEVap3ltu/1SVchS4gKpYU39QkxObq8izZKj04ibjYltgiS2nyA9+VDqCqnboUIeB42PEWlWW
kdRdLhDQ3SV4jtJU9TEKKqO7a7PQGeJukZWTqiro6FqDvwyOnbXU5d/fkRTECSh4/8gvz2ektrUb
QmNFQ2Z118McYqAE2cZJs6Ffrwx1abHpqhKLc6z3AtXzeELyn2bKq/ADlmg9ZdrWn4ahlt/hLppJ
KQz7f9ld1DIRAkEziof9bDtn8CpclWPqOltjkOa18y63XPJNnNjuts24Jn146YzS8KTWz+W1u1I9
/75NCXMEvIOHrGn2ael4edpgznPlZr7w0oCTRopq71C/7E6b6JDnbeQbt5Y9mFC7WutNr7r+A4Ig
4uPrx+XSB/13qH1B/1OzhCCGOnOIjFKPXV3iGkLdBDViVP/DKDANKAoAmUBE6fkovr8txbQzZnLZ
dbGgLn5DF++aB+iFB42mIaBDpN92JvPZBSrLYpH4OOSnLHAwBBGWcYAOXh6h1dp3yu+KmzyUZppL
7rzXv+/Sto/+oPJcOBtogz7/vtEcbHhHnLBxWcuk58jf1JO04kjwufOkvOT18S5EkJQuMYvctUQI
ps92fQQtjDw0QLLMXY1Ht7fCo6D8d1xzHObQUJEQZ9drgMCLg+5mD3SF+Md5jWqg2SorLyxOs2Vn
BzFvUzJ2hXdCkiZIp9obbiNqqlei1gtHAXknzDDRg4OjGu379z/7M+j9NjOMHr2bUFvvGuEPJLvB
+NmYIuf4+qReHAoeFehcnnmO+POhMGz0p1Dy/uqyDI+jn8lYGSp/F7bTr/9hJHI8IOQ8wN45oanS
kfJUgyJb6LXtmFglBgo02Gr1TWGLeQ17fA5c3eMsCD4EeJw93uAX+gFLXjSDKIpTP4zjvRsa4hhg
d+/EYZj7H/sZNb+Dp7ZNJW7Wu9/d2mnv202pa+3Z/88P2ZtfHBZai2fbNm/aoK0lauSl1TppYbXi
BuOv8TjbDVamU2SQA7YTU2HVYYJqFrdSNnaH1yf/wlndbwfeKNhzJGH282WG1aNnb0GPvRcjUmpV
8Es5do+kk/AorPjB/7CBHZp+VHYB8lPZez6crGfXzurdSn6v76X1MpbQE4fixwA++pow5YXbnN1E
n4sqMgXr86bGUm+4vNSNcVuqeU5g5nV3qzDN0+szeOmg7ODFXZ0VXPD5I7iq1h89Cfl3acp+Sj3w
WrergNYVT0PpfHt9sIvLRR6E/s4udnbe7ipm069rG8ZhAX3LS/RQs3KZRRekqq103sgLrqzYpRGh
ICC4RaHLfWGk1bjBwtsChx0mAjr5oatGYAxVnr2Thr8OqSdVYF650C8tHIURWvg7KPQFBLVtDBI1
Oeanqqw4hsqNIAn410a5dIMTlhFXUHl4WcfO4BbR2iMU77QxAsTwMQ++6SCsHVGZH94MdCHwHXcK
7+b1NbywYfZWM/qaMP4gO51FhdFMcanQJtvSq6y7oqjLg3DmIM6ADVxZvHMfn/2y83fgwt6KgtXs
76v7nwcD1e9tjaqpPE1FrswbW2VDmyotsy0ZZ7szPmez1/pHR9mqvNW+Z7RJpnuQMfaWAY0xKzP8
aIYFfdRcOPWtGNX0JFVf+cfKyzzzSuBwaWb++2vPbsTOWCs59AptEYAjqbtOiNfNgx1jqfmX3vb/
b2LAi9motePWdJ74yb6if0ePmvrPNn0yl61Oak3r2DH69qEeGzfth2G8svL7yp4lYztJiggSbDXZ
/lnyh/Ry19YdMUOgo+pxmK019g2rSEactJPQl0aKBob7jeUx02mM1OPrG+/CUQaVswszUGvcn8Hn
m2GqC3+Yq7w4+bZ2dJp3ksZp6A3KvskXjDni1QzGaznQhTCU9AAQFIEuWcl5Hq8QJAOIiZtCZNjl
G2us+6M3zyLeDGmxiSixWlgAAhUs/pJ682eJCc6Ikui5UCQ/+9wlbyphg8E8GU3mP9SB2dDwK6zE
rrrgysJemllIN2ge7mA82iLPZzZYfbB6au+FVNke0reOdaN8Yd/4DZXL3Gy3Kyfl0qzCpSArAn4A
KeVswGpUlQNCsDoV+ZR/mXvRALhqq0PnWWtwV/ZjVMdcmdGR7N1QVwb/86ef7WPcSgm0yfkAu56X
qrzRyuhqt8zsWFQjxFHDbVMJj6O4cxA96Q55VU/0O6e8SJ2BlJcuSGHaceeE+sEo+vkp7wxgsSK3
e/0A5bTzkia3srvAGQfxmGXl8Bh1YfcWTV78UJsmbLZjF3q1vnIiLjw00E2hMXFDYqN4vjmXrmhd
pEiLU9tUywMmo1Yej1hQHV8/eJeGieiZkJ/QMHpRZYL2JFAglMVJT8Z6H46IKmk3uCYCeuH2RDoW
yQy2IFrK5/Gk33vb6M++OjUerJfUgYGCLrbRgJBzKQt/f/2b7AtbMESDC4APzVMQVGfP2ITJUyP2
Zknm9GF+zPpmmWIQWvbHUrnzmPhFo/OYbTrYN6u9NlWMPmcEw7pfVvld2V61HfmOUqZrtY6/HDTf
tsRd7E7eBnXAH7AoAwX6MQqz/qbe8uVxhpoxP7hmkc8fB9/PReJq/DySsc1y4w5F25YXaxrlGzcf
9SPMpq29spAXphgmHyI6QO8ospzvF4RQ1BiMjiJa1mpLsnaab5zcLZrTWPH3K2HQOVV7v8HwSAX8
A+MHPur5cJvUw4S7H1NcTlaYoHMlrWRUZqdi7cl8TAp7UN8HzBObexPquHnT5EY1x34eUGACV9qH
sTF11kh93kGXcd5U06av74NLUwIjDlw/MT1CGGe3rDYttS0TeHtdhay/2YxHY1n72JPyL7Uu/0wH
pFFgn/DIQHyfDTW4dVHg6CJPCKVaR8TQhp+ZynQy2pv+/fdfhXo0XI+9u0p/6PmFnu/d7QYJmJM5
1OFxFY6fDuicJL7Qn14f6dIx4n0CIEd5Fknds2LJnIlRbL2SJ6ox36Uqw0OE+mRsIpry6EbzlGDl
ItLZaqorqcSFS+mP+8/uIAsI7jwYyQYvN5XHbNb10BycdQ3eroC//r5/u6vCUJVB6AvVkLNbQvau
1H3Xsz2wa7vdhNEcigW/L2O0rim779Hh2avEUNQjeZmAKJ2HdOVgZsoyKz4ozIu7Qs066XwysnJc
LR4go0ig+NdPry/fhe0fgYBghwBHeIl3zobdAGWCOlOuXQ8Yqs/eVBaGbXVQXgGRXNgoO88QAyVi
jJc6O0NpRx23sTjNizFtp8hGrveu4DJtktZZYHdsVb0s7yagpv7HPA/t7Np1dCHK2bsxXMo8MC9h
D8PaKTOvTQg8plv+zAxq9nhJF9Uny5eyjfvAV58Q66JSi/Rf5X8w1gaiTUfE68ej55YP9oCH982E
IsMbMF4YyzZznruxzKDXHl5flwubgaSHxiQvIszg86JSGbjTWAm6aQ0h2Y2yFz+uTbHd1p6zJVIR
32flMl0he19cIkCaZJPUl+gyPL81wqaezSyYxGkMpPPNimr5tNZ6Ji93i5uqH8S9Yn553kzv9Prn
XiomEWFwinmOyZjPh6Z6tGrMIMXJDtYCG28FFTuGqbJViUSKvU15aaREUKRudDJNwnKwuQsdKNpT
a3x4/cdcOhNQAHboOMEhjcrn0zBoh9w58CTqk34bxuT39tcyd9vdusUclisrfeEegyUDSYZa7B7+
7L/mPykuWbYq6oYHCOhfAM2hR4gRfbn077+JeJdqxE5fe6FDlBOvUDgcGUVawSMgWicuzFUfct7F
Kx906ZgRjFLQhoa9l0SffxDug6I1Bh8Gm5eJm16poEycpQi+LGIuHPoFo37624+DhQuOCDwVwRyR
zfMREQWGtB9V6mRLxNvj0MXdEOnFZvDiesMK/vXRLhQliITpflJY9rnOzokp2qUMaGTcI+EUoio+
1hVa0lp54jOm4mQyrurDNhkgCDaPUT0XeZxlEfDxtfOM9cbnIV6pD+dTdtCzXxUHv3VnfWi1PWQx
NhSt+9cLgmIx0kx71AG57Ty7s3t0TTQynyfo5N2hjBbvDjkVbJFDWzwM0bBdGc9jup8/ZLCE6U6C
0YE69MLMAzxdQ92lrk4Z0sEJYUeXVCG2DtqZgtsra7G/v+djEX1QIKUYBc3j7H1GOQy/NGuQJy6V
tU+LcUKQ3d9lqWNUJMxPNWn7t0z2bX2zBV05Jit0jSWGo1rlcKXbRsTtoAr/Daj05U4uefQLEFM3
IgS7mPAY8nnOU6iu/pxO1cxrfOX32y9/Pw2RP/qawERppj7fusGGBm7QAqAqA6t7n1Fu+zFnxHVQ
Pe3NT7rMc/8lcYxgQamIG0gEbvVRCaHWe19LNJIL+DTllaDn5QlGpob9DTCGwtsLrXLmc8Rpbn+q
rbr5ZJWGHztzFB0mNVlPzbh8eX0SLgy3V+65cImxXmrOl4Y5z3IqJcw58pEC1fJ3Y7UBaIp8ijru
Vl1jzbx8XDm6RMUAAsILWJnK5Yo3hAf2pxzKD3MBJnsxzRXyvhtiDbqOt8idV1fin5f3PJhmBNmx
JSJgpaf+fKVhA9Rw2MR0aoTZHrawl7vOdHDlId2P2MstRcuUpJYoB/7ceefLV2VmTkJGpz7vnOLo
w2LJ3+k18A6RtRpFrGbMzZO5WIJv1jDX/aHwlj5IkU2Y1liFxvQLExZt77Q0/+uwePlDk8lCvfPa
Hi+1zlJTew+rZOiTWS9rTZu5K3IgPXbe32RrhthZmw/L9L6ftfTjcsNnPFlEJnEfHk3VoXgfRP90
pjS+uq2n3ite2Zwynp19DfO82GJfElalwA6N3xvKZmuqt6l+Z6l8+GddF6nuo21ZfnrWNFVQI7xJ
J46A15HwKYWMUdxDMxDAWP95P8JFvFAW9Y7t4BVrskXBKt6jVCY/mVqJr0Fl11+tZau6m8KW/eci
pK59sMpt22LZzTNuQGMmxL9IxBT1aaQ2ZMRhJIs5bjw8XT/OmR4wEIEbKdybefZpnUTGuDb/5KVD
jXBdW++DYdbhj3KOWu9QEofPNzbObAIZBTF098KgVXqvoEvl6egtUrwZlbGabwCNO86PSUalESOu
NG8/udEEaluttIGrW5vOkjJa5Vtl+wYvXtc11nups/aj8owsn2CLLJH5a1vaSN8adjs7byunpjeL
FfBi2lzNgaFld8JTG2DqLzssRj8Bh6UX4l3H+0VnQftvSODXG7FubZ+Mu1fO7ULFabqV4SR/FZk9
fqVhTKSigDM8jSYS3LeL5H+IQVnOOq2G1V5iFBYDjIPA3Dd44RVzmwAgyn+HunHcBL5jtcWjVvJ7
veYz5G6VzzQt2jD8gLCxJUGEqeJL62VNC8Wsk98GFF1lYoc9MfnKYxeBcQO4d8B8RLUxaB5ri9Um
gerITkdgrmDM/8py5NcSywLsARw/X/MUnFokU8q9y+dsLax3hDHDN0BEgz4UTS+6wyTzuYs7vO7G
2EfuXyZhhNRv0nlb/5sz7qUT8IrHtY90GZfr4N8begyB2gU0HlVtCSshExFJlTX+mExRUT4afYfs
r4ee8hhD8x/fiCqUNWabdfc5b4V8U3mOvjG0an6sjq+iG1usVpP2+GbIJEKE+LEcar+KDW1PS8L2
FxU2iSi6xN3mBf9ak5N93XDKu6urpVwOsGrwBtOmdGQ6mLwz90Xb2pBLROPeFdSr69hs5v7NWFYr
yN0gzx6tzSy/RjyhEln1Mv9Yi6z6ZHrt9r0wqn5LvLKw1qSys/wnTkiFEZf2JMtEwLLMYwMbsjXN
RKDD28Yals+O3Trvo0Y6Y1zWufi8iM17inJ3nJOtXf13owJZmhZlOP+sXWO143GqqV92YVgXMLhG
B+p/31QIeAeqNNOintYxjuptMvj3Y3SowrHLcJqoqwcEWnOLLyuDtkrHvvba1Fn7cv0JbY+j3Eel
V6Q1/T95awyte69omT1sWRGlCoY6SiaYTq4xsEN3S4YJ+m9a09xTsUK7L1Gynz8Yjt/16TrM9oOb
O5K/ebpLVbOFKlm22SsSFY36ayk6+RvbXAfasG4sVnfNg4FdqPX7dsXVPvHWcvxS5LLPk3bJ1Rbj
f8IBmbplQBna0+0P4WF6FWdcZirtcajNjkPh+599s5p/934oPzt6FMth8KfBS6LeL957jeHnN+DJ
IQKtuh3ztJCdNwLRohCYEvBHFlFOnvXxnBv2jdsLlR+dmiZSPOV993YRtim46dT8lNk2xS/tEjfH
dVA5P0uzzIvD2iEYdRRiDSnt0H355my6KtKQUhl2rYjAPfVGkY2JKn3vC/W9bjhURt7VMbzM7bdB
n3ensS3hFm+WsX7BeFt3SZQb6rZzSaqTuRUWYhPosorUZ89EsWU0+j0ct+orAAswYFM/TEscRebw
Pc+zFvMkXZv/4BcxfJFgLZAw6G3xXXqr3x5yZP38OJoHdB+DkrGSqix3jgVsMy+usrL5PZdAiNLO
8yt1mKYlCJI2NOWDDR3g0YKVsCTDUhQDpmuF8xkmNzVIsxzD5ikbTH8AkTbpf7YdYMJxtIzusOUa
60Q7wGnQtdRgpji9DV0SBsXyuYGlQ2iKZa2H25PGolqgrYkeCi4GVrx1NsKZFG3R+PX1tgWH0JgD
MDiBAXwBnCoiqi76gafazLzspq+bnfEXuCWTYi9U/BNPCNtIdGNb6lDNhv2Z8kDdIvY6A9Ab69r5
1asoegv7CLphsMJxiVtVjxpvS7k+OsvU3Hui6IPYzTvATTyR4mG1u/XJrcX2VMuWvYpQmP87zIjj
DvVGOM3dIey7pRJovsouD9uju2BbF0fNOKzAKpEDjY1KufLeaSf3VOZj8U9ecy3gjlgUIlmrqX3q
XacQx2qC5DJR5q/vkOLZWto/bn9amt76B/PBCnuMhj9hRO295Jofzfygu2D+3Uybg6Q2xB6qyarn
GjT7OnoLySHL03VcgxvL1n2bOJnn6wTNz+FfT2fSi7fGLIpjtQ6B4pTl0W9I3B0WstwmRrzVvJaJ
AgZYYOZaYgVKD1r9Hkt/2ogtippadC3dNbaAFQyJlXe5jK1ZRw9FXiCaYq7ekqwSc6vYddrq6yTH
4t+6secpzQIVrlS1Df8xd8ya8+8ZrqbjJD0CDFRNASjxsIqWdY7dUfcPW2iPfbISMn/IDOhwx567
/zT6Sxali8oIjhteIpta4TqGwKlLlG+h6vHq+n7WfbHd2t4A4eTiU7dukTzoGgBsjJtU+NCgNzCl
wZKxJ2t7WPpbAVvtX0cb+r0wNIY6nnLVnORh2IhkrqJpSVex31p0MdbHJa9L/7ayq/ItUlXYV/TY
9YHn8LrpvcBBYr1Za0j+R24J832II/xCUGCth3pUTfSOFL56xN6C3Ldz20Cl2luBuq3GDpfgvVm5
kbdcNgezNOUQN7nJs4NjWxEgiCPN8t4w8qaOh66WTTJDtuB9nJaGI8pt/6/ehuo9cmlk/5Zb4BmL
K8lm326DXn5F1pjf9L72Is7LsHyq/bV+U6zO8Mk0Fc8gkvv0H3Tbt1lc29ywCX4Sao6Va/L4G0Ig
kxIG4A78bva/ybDihJlb59xllQoHvoDSZ5x1XMqJJecG/zyjmOo4t2v/LblcucQBArZN6lbOaB42
Udt2shQt92LnLJ6XAtIBRiRRZ7A5IlH4AAgIZ44gKzIRG/OaabZfYdz3iFKouGn7if9YTtFDLenb
8c4EuApnczTPN9NAz5D+mSTwqnAN+LexvbGEmU8QC5xSYVQqe5u9kq2j+IX/7ZIhlVxYH5Vq8ifD
G6OvQW/yyOeSO32ssHm6mYsi644dLplIE/m21VGhbowaF5vFN9jw2qCF4uv66xSZU0PlToy3+L4W
+lYupfNJdaN0yD+s0ombzgbTGI2dpY9ma7gAuj0wGildDcQPzVlnD264WyoXLp1isEgeUpdkWBKz
ztUu5mNBq2ZAg8xABnqBXjbGhu+JH6Ott+5Wu4XxQSkTkaIeoPqTtQNEEq9DQC2ufODjMegI+1Yr
Y6F/hwIs1mPLPH6MyqY1EzGE0/fetPL7Ai+ZNRGdI9tb8mSrSqBU8JIYJDuC8FC57zo30/QGw8K6
m1fDmm8UsLs+luE8fkImxeNXm57E6Gv1ze+iqaq72c9mkegAsdJkaJvlSwtob4gLq/dnjICdZUmK
sZuGGBmYrMFxfBbFwRoJxJNIk9mkbFVLJ7SSup+FcCfUiqIyqGJeGcN8axkAQd6QHAQytpFNI5Wa
bPWhLcu6j5H+sX9CO/cIQSKNWHXQNuowV5pN5mLUMscIfrTvcyCNdYzyQPbDGa3h89aobkkXgg/N
PO2ZQKcW1aXTKgYK5+EiujijaQn6pm3Lj321RQ8QFnj/N3/t5mNPmOTGVRvlP4fWyf6h7WmpxAtb
c0r8zG0YFhnhdzV9pF+d6xFhF6b/QSEY2MXa6MS7vDFpwK7aW/7BUAhl+MiCB524ddPP6Urk9cP1
rO7LrjBmHGfika/GZo2/Ue1TAg7pGO6XtFqHWBC9/KPkxOfZ/TpRXYYH8C6jHzMfbUOWP0nRlt+y
kUVPQ0CyRV3VdIJsYmrnuCpcLuFs8fjB82wh2iLJMVRPiSlzhrcgGjw3EbqRPzGP6n66ecSrIV0E
3uK26LcyHSrD/eqO5GaJuwTzVxJaLjIuLHCSIdfzvciVWyarVU5FSpjX7POjkBQZNrl+9xa/bWLs
e8gtPXtzvkMUJfIxymlYUuFFsoO/NNVfy6ycf3mjAspRKVKnGHCK8UDE7pG+jq3MbqZWWXM8jsPC
MkuvLQ8YzfeQF8BZDryKy/pNlYjQxUPQmUbCA1/dZZihcNt0Yv1hzHn5praXvnrUFlCg2lD+5wKi
uDg28xpBRqibyHmDAHrZpGGv8psw6waREnc2AFisdWpu1IQ8Q7x0q5MTZ2e1BnZij2TOyrU51mqR
iZn5e8FY5TzjOLN0/2KaG4p4XreSHJDanzzsj/b3zXCXIfaBBomUOzp7t7RO+dv3B7dKvd6QHybb
LHW6b+o3NV4qBO6tb7YJvAIbS4cqoNDWD6DnZqLHj+Hqj13Sz/NiJkBCDJ4/Q4y/RLbBSYuMrfZi
ktzlVldRa8WEVt1THq7hkgQVChSx0XXGP5JH40e2+P/H0Zksx4lsYfiJiGAetkBVaZYsS5atDeG2
LUimTMiEBJ7+fnU3vejusEslyDznH+VnF9QHqct9tnD2RzJiI46Zurxw81KOP+VkRdsr/bH3SSSo
1dnm5My9v39vXSl+I5OZvpG/NHzO8eEll231JlNkhMHXuY53xY0xjIssmmNIOP4H5MD5wIbDctw1
4e9lmc1TIPh7c0EjyN9NdUPP1n3YihyBNuCq4a6OCnfa7EvPf3vthZM5l3jw9l/VMGSv1WrarKwc
hFe8CdPMzRwC4Of/twjlDbKG27WtjqZw+iVADpYekV9aO4r3jtn3kg1p9mmPOOQcz8Y24rwjpj5X
qsr+kfkzdTnD4DyfsrkK+zO5CGlbBGnDgbpXdvhgavQeLPnpSx6qyKONPfG0Pkt3Sn9vVbt/htY3
d5F3zaijunX/y3HNs5KaiL8wG5aRUxLFYJ17QAB/zR6lz0tyTEdBeKz4j/koC/M9dcY7TBkmAaVY
UByAB0zVbaMOcCQ9uYe9tJltgezdltsjPuYkY6ENhkvLZr7dzHSMOZjiI8c7NbrXj+hW9r0QJhWS
i2kCghqdmt9+Oy1zn2t/7LnOgt2m946y7vvSzMszlm+GoSMcmgeGZta1venrEZWEXimkXn0AO3E4
AXMhSr8+bxT5+6ch8utvLr0hN6Pvy1d7aO1QZkHtTF556SZLWzWJyo90tSMBEWkqiqbZeTsWLBXA
Zau/n9Kw6f87Vi/7dB0zt/TuZR6E7HRkS76mu1/nKgUkL5ZFBW+Bu8rP1mQbJadzai3gs1buLXvj
YplY7SwK2u1cr2gAlus8SoldrUPFvhGvU/PkOlk/FUx0jXPGmAjbgQ8yem2b2BvL3l/I0g0AuPY8
9GICT9pkk3/jfqWmr16Tg7s+S/WPrt2qV7sFVVVCMvj/ND/NU5f5+AkTr0+/bcJsfMahvbqR/eSz
QpI15F3LUpbrClA7D+es/m2Ic6yLQU6KG6Zu0umk2Nr/+YFNm5IYccm1YtbgyCMVYAuVCIufqmDg
Tp0AaPTZuzrs7swxrc9O3w4NekCTvah4XjigHfcA2EjmwJQOaOt4OiLp8DDAeHu5Oxz+nVxkHPKB
q/gnWS642dJ+Hb45odc8Ug+yxSB6m/xI9kWHhRuL7c22fs33Ve/xnTNLJ7lDfpx6EEtLvRFyWyfx
HT3m25cim43aB/RzXyrcgWXq0CXOekCOwrxi+uWviuwy57vp/Acms325DFerX54JMJ5iG9X2PDPG
fo5ZvJBTAxn/nlEX17CQ61aSB7mkn/TW9W8r3QpcFRsxqeggU3ax7pDrS5bJtmHTlr53CodjiLFU
Je53CEFnvh0Nu3WeVX781EdVcEfQcObn6Vovn1sdDf8xwflfwbDDBTT0CFNOpwKCfFSVdA0T2+HN
l2oU7j0eUjUjrK7kVqa2Vr9FsOwpFFpWa0IcslifzFHPP1awNp/hve7UiVkAaDFZDkFg9NBMX707
uRoOqBr+rHPN8dmD2aalTaXDm3dsw4vuvOYLhQ47tj8t69vh6e15Dxv7i+cjeI0pofuvAeXs8k2j
DiUas5o+B/IiHuta1v7l6Nb6987EmBZzu8MDZgnLWH50vvyo7Tr+OjrP/bmOnvo+kxX00xn0HF8s
+sFn/PrJbyHqShGLuHdtOYHAjeXheNsFXRqqQoZM/9+BCvyXJsToZz9uw1YQdcTiyqTq/x12cP6S
JKmYZ27hJVnSoCM4z/W6tzisiM/r/ApRScj97+YZ0cxZvg99NheRu23bJZtBWBhbpPkBce1/a5NM
fl+iRt57k0i6GzO4blN2ZIOEheUy2XLTBC4tKD49ifluw/qtcqa9hofz2w+bNQ7H5mapcJByjv6N
TrIDp0L5/DzEQuJm0wsVAm13rjrB+dg7FdstQfWQmB9e7TcTh1odJJeRCOk057lE8sxPR9TAvrgP
HEQcb6KSFcyr8tYvpIScKu7e0B8JuSSdM9/Xle3jMX/bVbKxLxi2nNtAbTbKdwmPmKus29Kc0WP9
nHANjDm2lxQsrmWWzXtYgTGflAgpNjGcMPmAAFtAmSw8WEHt9/80AAN4tucixpx1MJ5DtIVeERpK
18u9mbHjYhPhaJycnpX4UKSq5BFA4V5K0NMaKUnfvyzdRGV1Y4dYcufKLCvqdprvrE+8Gx+xXdty
oMD8sZ+GLC4oa3J/VNscf2noi+9jvTJjmI7nc0HpO4MTRjLkeNJORl9fP374hrDyfBOJeF+XYA3e
KXIJXyekZGo8pwrS+wPOWv9bJt/hjNfpQjPqRXPXRRf6ANRj52cL+8w0zA+eQM9xQwDfOpz2VVaf
C2fHLZPhNpxbhYai6GMj/4aiaslNr/p0Jr81Bnqm6i5jdZbr8j5p24CycmY3lzUxy2NmDF5wWuDX
r2ay142NBfFbtHfqZRdeMpJ0MAeW4b8dHq3y/Jdu3VxxmjBoiTyVev9qhzi4l02yv0XK6z4GntKI
pOPJvuxbMP+W7RT/GCHaQdBEzLo5Bu3y3iO3lg8JvTkzG1FvWSsnn+F5HbwWSGhdI3YJDlIxPSnQ
1dm76WUarB0gTLRHAdC+u0vjomZK/CEGLJh1fYIVGBOmnHZncncRBnenZvYqdi4vEHeK/j/+9UiN
Wu6km+eWM+fre+t0wUsKcsq4gRTnnyUE6GPptPNz5rN4+UiG/w4vpD3siWzrfxMThNArrMhBgeKg
vTNgWqpstLrigJwyTwTL9hIXlm+nU1vxcWA1tvgOa8QYnt0Gg9Df3sOtnIeQ34bUuWplkskYKEnk
YqPncECGZshwq2JRPUVb6G7Fug/Z99FO23TjE9W7X9aBlNcruOCqG9+yxJ0if9jWUx+M9cfooJMF
vpiBdKhRbOLCJfa1LZu9Ocy9G9dtddqCI8nKcYxTkwutEltKpBgpY4kZX3Fs7C3E/D4hxU4sX0SX
zfY7QITURZv1bvq3cfsIVjBtZvdOL94R5Qm3Z1NoFTCembTqO14mxvQLxBBlCHphcZhiNQ3lNAzT
Dn6KdeMUeKPLAihqlzSubEfgcaYudvNeaMNZkW5yx334e5UC/o/RNdVRhcHgnuKh3X6syWKy0gaJ
wcEcQ2XlIeKL45lf3+QXJoZxK82aqnsu7eHnOtvgJmv76U/HDdbcrChzu3Nq96E9x9OUPQ+rHrqS
lwUIofWTqWHNiLvsJD3corlYIgZEAcCuztfr0butrZDJY8ui8KfqQ8rrpjX4JU2zy7LtvXHMN9JZ
ZJH1eFVInTu8r2gMmWxy4DATX7xE+eZlj8Ry/AT02PTjAQQen0LGmCavelv/w8VX7xcP6m64H6g8
YiVYmmT4Ickg9c/eRBRGCSgYTrdIi9v6vCZzI5/CXVVbXtsjGW8tcPrMJhrSFM57wRAMGi32uyEI
tfeTY4uNJlO4EEQu7LzEeS+4g582txfRi5MRfBLkTrZv5oR5tH9jqqriW3cb5Pws/atArEuj3S8H
Vx5/pQAK/L1czZsXw4NmeOVdiLtGuN4p4MhrT6LG71eshsp0Tt1x8M5TWi/spjw/UKmeJcRNEB1s
+D9lFd6RRhWb++w6dL/TG5Juf9reWTRvMIdP3rE+8n1pobcnslcXjjbptjNZvX0QPCbbFos7tt2h
K7BHtADp1jYkh1bc+PEfGUcquwDlD3XRpxp+pInqbD3BTWQ/mj1z0AJOh/8n2EO9vfZVrJeTtF2X
0ZG8MqLqCSa3GDwp/ItV+2QfCZh1vIvTCkg9hzYVeeacm762wJldeqErYhsMXOi5Pzz7V9UtOEhX
7ZtleMm8r5U/fH0Agpu6cwCIad6ThjPosh8jyyPfj/csXdxnhcKhwIRLDE9QeMSLmAffGcXNolYK
9ojrWR48WhXnv1wsqS1gnkbvxammNCiaVGXOS8gApwhrOJb1KatsCkXJ+2+/eXKZ7SNYdRL+9AgE
SU560yFMi9x9e9fuqTWPvAOeKdgyFTmdhheiDCUu+XxddeT+8eC55zIVQPO3ge17dQusS7oA+nsu
EYMfQXNucVnczJFRTRnFwuqLvyAnynGu7P5bDzyk86GzLuCOC5ReTLvcxscx0dwFPXusLu08IlDf
yK4Z8p4k6D5HKOHeu97aAjqJYN4LX4WZYTUiIPUuA3j7e6gdjhltujYnFtcqONdTRRJgzXmxPozZ
xHMExX1spWH0kd/bq3mCu0oQi7Mt2+KUkkrpjo+5VG12QhMQb0Ulzfrpd8caFhnG6CPngTPxTd0n
rTnr7ojZIjL66k/+uI6mmEO6a0tNQ+F+qkiY88vGhNP+0aWD70JWhkv8FmnlJXcZ3CpLIrmGReCM
fHCa78z7PG0VDhdqqmWxYjLdCk2381GKfl0pvzW7MdvdNdd7L7cjFO0JV43PjxUf+GkaZ7byKbNj
9MofzgUp+eF+aGO1Vx5myYi3gNf/yyalnwhBqvcbSL7mI6yu1xHN4qn74Daba88qs0wWkWXehLFz
GPOauB7UXVsb7sWucY64RAFywH6bJFB7AYw6BXd0GIXfQ9Zb1HetIeAuB6zsRtaGajl+yN2dhpzi
xbSCXhhhfmW2VNXZXd1QvUNEaH4xazvU9wAZqAC0MAaMGX4rPvVbgxAR3ZmGyq57b/0BDN/U52Or
SBvFKRFPpaL7B513lJrtaVwS5zFCXpHeAifEKneUK7z7COzjfVmrCLC0QRAGh6odTrA5G4Hmwi6k
ISlBeVj0e0A0vvYHBULnDVVzNkkdD3kr2Cbv1BGRCUwroPcKMsuKMfQz2XomG0FSh7nSn03oyaOU
9hBVMcSH0lTlyVCU7Yh+55caBibfAHqqzZOgH/ubWQrtPmcdHsrzsA6p++iSd8cJvgIZwGnCkzD1
YA0IohMjBKE+fWVjc+FhPKhhnzXWnqbtAXk9lL/OU1AhP/8WXRM5PjrTNA1k8Apbe1Jtxd4boryO
vqtYuGu5rAQM/21NlU6QBZyjPfM5+A3grMuDPrksYZdwBrJ8OnyvFaWD8DU4mchm5masQ72cM/SB
zfdl3mbGCVxx43lzSBJX/brLG0sb89tAHvX9TMX1XPrCHLCK6DzKoPGi8SEJWqluueUGlIabACIR
RkMUziJYaa8PxPATvKuKCzGlVUMtTLR8DYeJBQEB/RLeqnomlGnFCvJXKU8/W8ivn3jbt//jJi5E
gDF7cAYqdnxqhoAH3ihuS3eq28JkKn3VOhVZQozEGyHIkF6oC4LzOBId+EZ2DZL1hC7Cf+2it+Nu
5BC0J8eKFBUIRx45+AraxvK6+a/oL6R0i6ED/v4ne9u3Fxyn3VDM8NhJ6Y9JvJ6nEJoeW9nmLJPM
k6PtqP923XVVjzWx4itxxUA0D2hexXqOWzl9mhltFBjVIkAWM3ckPoNoz4oTsaaOXfsHBv1+PeYP
tolhfZ6jrHnAVTzXl2be1+AsAYlBCdYO3lZnhzcisxmDigK7rqN53JoUdU88AwrqyQ2TPMKVNuSb
E9hHAWefXYTlMCk8DWVYRMPm75RrzWxzi6PFch67SV0MYqu6CCiqah58SLOhrBYcwzcpAVmocPex
20uqlhdVSH/3jtLUkVwKOAZubK55EcBrh4tT7FFSP27UDRGkPtoUZC/rmieDhBMlUbNE/GDCO06x
8Exw2bNx/tWOc/204lpGCyP43B6BwMP5YI/60TRT/LTzucciq9KF7bsW8sNuvf+bEITuNYx69VlX
3oDyYj3C4+WqvEkfvWAFdEW7pAmxAfRW1Pml8sgtCbKfootUkwcm7TUQiEM1Xa3j7LgcmzP+8wQv
9rnfKjOe6UGMogsvo0lPfpOs/ZnkCERSRu67uvhO3G2XGEWBLrSok+iMIUhXb+vCslzOYXi9EEbj
fvCHefODYWD1ftM5m0UXKR3PL2Vjj+as0lhn572lzOR1qVbxHrYhr66Qc/WrSzMNgrGFwSd0Dzqu
ltiw72YHMDxttY0+5xoLST6x4MEVM7TwynMw/dBgbk1RNfP0Zan9HUoBN/QEItghq4lN8kI0wIy4
IY3W9gy7vvEm+U3l5m4gBXojubgjYYF1DDI+uON7I7fsvd1j9YVqOOwfw90ViJcHnA/+KvuhSGQD
xha5QuFpm/hk3000yeYG6RbdhtsKcv22JFfSgkl7+Rbbaf/PQ4szEDaZsrOmjpz+QtC14oFSRC78
Ko51eB/sRuufFr1kcq7o5Qovc8P5cuc7QLyX+tDBUk46WNHM+HbAglqx2LRAStvtIhLznWheHlHH
idXngJftP4vy+puTkeRcjDUhM7yRtEnftBtxAWUzrbSMqKNyw6s6K6C1FE3seKnUur4eZh3Yp2dF
KIyBoc9KP93hjmqnN8B1jaArQCnWW8Qcdtc3CJkWWzrr5L5gMQItk800kyvKvtucB9bBf3JNN8ip
PYGMnmsevT/duM11Hvjb4YNirtt0i+iPL4FBQuWaipDhHDTGa8p4M+Ev9gskA4Bo+/BjkcZygy8r
dxJFtLDaOd4QST6y8nVzWgBh28dOtuJHY7u+KyeZee6pS5ZZ/kymaoz5pQWwKAEtuebG9UxoSRYa
3P9MZRHuIMaPDiRVdv1PG+cgTWESi7lBKURlQhJFtKmnljaeMvG76NllHrZ/e3qIw3wJoOcK62oc
xP3oNBKF1xyLcxO2ZMtmZO6Rzhco9cP6JF2fZzvToMuZ1AUn/tnDm7DCjfA6Hs+zngZj8aOK46fX
tNV4IeGX7DNke6E5VTyowL4o7d/bvnaTxymuarQKtfHq09YYMHQ3c+K73VkUYFGTTD0cznydUAnF
jAqq4BCM1BjPAVdrt0KRBAEz3o49lTDlOqb1VqJ9axpkJgoYa1W1oT1XpaCDnkycH/s4sEnxdf1y
nZRi3UVhI4PZh/4tt7WBJkJr6SKC4ISm6LPmt1weS5/MNwJy/fehBfBZAna8MsfVHYOGaKa3dRXZ
ers1m/cv1k1cnWbw72/toREZcVU2OCtUEl/pyWE5YcuOsZRsTVjCJ0ZvE3Ka+ISlofpHFiHanGuI
zssR+0N7yarBTe44PteuZNwOfK4INbERR4eLhoh9vjnXjI3pJeIX/+XyfU3MtyYRlx6hcv9bzyTl
54wccNK5SEb/BlqgvsMZ7yy3mEqz7qqDOVQRDxv7vQ8EOb3KGDQ998cUkE+3qbfdc262togylZ7S
q3csNzAK3k1EcOtwYTFqcPvVXdPfoVzuNkSZkcaYnoC0nXnCx+7RQ2A68AaCcpww7Fd347zPj43h
138+4sX9Dnm2vmZpkH36ow/r3WhuRxd82uXhQajofok5c7rcQGw2JUSQF5y7bIPcAIXvUYRtAOHL
JObXxIauLWnN2bB0LqNKc4NwziJc1tY/gbp3kH6e8NGPg9GL+45Okxm7nGdqiHxwrZ/JGEjnQQQM
AmU2QQMXodsRV+c3vnN8Q7MB8mamKotL27vRY48GrHndJdlGLT3Wg14KVCnisTebNz4Hh50h+fTe
ZJfAEeKapK+9VxcfJuF8jvC3b1Mma8zDrjL/Nmlae7+BActnRpL9mmmQVszDoyvdC9Qr40gYm8l/
AZmS5uSwSStO17T9kNp2YR5UfjS/HeC/jFNdDTbMEL45H940OevD3nuwcwfmkugJ+Ktfz7QJROG7
I/sjKJF1bUDHsQjS65Zi8W4gWmpKzWAr8s62xuFrUtlLy4IGfA0x6t4gaM5+Bai/27NZQp6bLOs3
pIxBsP9Z1mznDuwmqOcaJQ0PVWXqL0fN2fqKdBziNYRWnV/CJt1RkQIW2ZcjWNZPBLXdjKQV5V4+
rUc8XEKDGOpUm8zRpDrvWhdyS9aXY2n9lUG2kr8Mg1CN/0Q6v3blMCz2kY+rKQuG1b6l+EDMnxhQ
GCl5aA3mGHmo7ftBcYj7YgCMkEz4SxhON8KuXFA1irhvfrKHIThIlH2MXu/+nrI5+RGg1F+ue970
a6j7NvvuVy3icf8Y2uzBuqruX7YjuCJWqUini4/sFo1vwG1VKB+y99shQJYe5nmasgdPJfALoVm7
7xE+0/jJMYvfXpiAKv/kdxApNBVlqwPO5VQzm21ci+2hjcCjTnaJ1z8ZV+1a6EYpjmot3ZEi2IlV
v/I8DfZP/ttziyZxyGOhFuQXI5vwyw6AJEuyvsYqZ9IY6G5VR7/myGJn0jGppAO7365pBuxdK1OL
Oug9nhnGrg11R2WKZN4lUJj0l6Co+d6JrlomK5ku4lQVLgfudYTFN1jKHe4bYB8N5V3FK5gVuwDD
LLppSCXzi5rGghhkPmGaKXf+OrY28JurPnrZT3PmR37hAYv/Ep3tbY4HNPBPS9Ik4aOeJb/HUBPe
/EiuBRJqlflKv/VgtMd5p6Pk+jRmgHI4M9q+OGI99ucQqcqOFJPtpiXJA00U9zWX4BpHPz0F0FQw
6XrDpXO0mu/t2ok3b1aDLlbd7k65bKh0YWQDNMsh+PXzQQOHc6bsfAhOo6prdWe9qW3uw1StTKrB
ikaTr4b5cxR2fxoJTSDia+ol6apbK1uWTj1qRu9sv8MP0vY/cTwnNySGLq9T0CAf2ialftso6b/g
ItM32mmAxBe/Qn5PAeqj70bdc4/z+cWO0synDaYCheey+689gzCcN3T3a7hyCcFpEoHEbGRnU1S9
j/zZXfR6tqMOsgdgSi8pl7TRn7wNE1cpEADUuGdpdZBMob+GdF0xS+wzcri9jtKvesv8+tQK3W0F
wjitbrJmCr4GB3nrKe4RVbBI0rlHdO7Uqhg+utv+W7AAfGyaO+LKacf6HB5T5z57O+d8AY3hz7eB
WKrj0iFZ/4VKChOEvw/pm0fz8fysEOkZIKvEs+AsaSWfl3TnkNbpSozduqXR70Z0bXIB6oAtk7UW
d0GyZ5gaSLDvb7jUDdLTpHZPSZTMwwlNK+I5jQfz/mCy3FHaETB4N3iZ900aLW+qUSJo8qeKH2oX
tmKQkW54lyYDp2wwS/1rHRzfPSdNy/nO3s4hy4dkSepEH0+/PS6U962J9Vw0xOMEJzdqgvRmEAz4
J9xQoWLKGSOyoapaJvheFMqyNrbDn61Pl499d6blzklce9uZeg1fU3OkewixLI6/rrLYesLRhwqw
ZIn9mlHnR/cHB1eJwLwdceWqKTsfS8T+BXa7NcPZczZPYGGwy0vjOONfEj/Yh3fXnT+l6Ft5RqqF
XrldV6B9OSoZMZ+P7gfVabp5w4dj39lQ8NRt6Z6V+8G9iWoicHHXzNzDO6P6f1Qd2q105MJBRkE2
8iw3SJE/D6yYTy2ay3dCBaDbwqmZ/iRo1Uyedpm6TwJJi3ZaLYA5+ujEPdAHzw+Jt5su0saPPikO
b3/sIhVJriFMmnzekXngvRbHmod9I9BhXcnDh5Tume3kVZq5MjEeSnFM10g5bOD4ICh6J/3LkKTx
Fh5DDW+BTuJPsuB2vk1We+Cjdo94Pic+QvGicrdgugSMadWV189EsUJknCanYfoiwV7+EbyIzZ0Z
sa0BJvp+Xzo24IBdHBnOXMyMtA/DAKWBkn9CW4KiEAH96LMQnHqdOvqksnp7IjnJxv8dfJPkrDAx
uvcqCQdcUu3ir+dGZEtwim2wdzd9soUT31fEGdEfvcHxszabKFlryK/PNwZJTecJXAggvZKfZG9h
+uJXEYgSbvQqOFJu9p+rUF7lKMd78XS4up9OTpyi7WIiCUO+3HDkbB6ntVrOM2YZfZM6gO5QuQeq
2dl4YMwa7asuaRSRGYqbHYmvYPzGuFdTI3Yi0dtH2tKYpy6x6jFJjK7LpDF18hAHu/dfsJFdDLO6
2vACsLTtFy0yq353OtF+IVY08ndXtZgqqcUAAwHiS9cydmpcXowWaXqjPdu2j8fkyT8sx/sr51kn
LjhpxKOj40Vd7FaL6B6RePZGPJX4M5plJ+QMlXOILHicqf+So2hYKYnwzodk5WpGVTUKthJkpwVm
A+xI0Lc1IJNkTTyTmEad3yQCrmaEeNFBqfZqwheMVZ44V75pH4hhPsxJM+p2T5oN4zwuAblbmTPN
nJZUIH5R4hO2dwgP159ZWImnkE1jK5Ejmn917CY/VYDt6inN7Cxvjtk135J+C7pfLgjE8X7Uqx1u
UrPXhmcUF0k5JtOaMSJ0ib5t64S7hcPPe988Um+LPuw55Rj2OXa5ARdyRdmaNGm03hheHLuETolX
YXwFwBZf0lmdPwoZH3vdApuIdHAZfjvDyISYeHQX3MAZxeIUNX3H+NRuzYlm1SvllQYCgRLT7MMM
ojCWk4tMF2970IWnzkucCNT+SP4btwbyzltxCjG9TN1RbiMu01OfCPSEKzFswU3soCC5tMvh/0oW
FFWlhzC7v7hxUv0XWz7qvFQLiUfwcc+4RpBaLRuymGsaDloeM4y7uY3Avs9dvG8TigeepQFD3Dh/
NO3q+NA81wTCOYjsdpnAPicOhSH9jYc4+Ia8wv+PU32Nr1qqrj4DNk7Nd69xF4W2nzvafGs6K2Fw
UJlWp3bYdsv1E4nuxvNrnzk73lkukbmPsnSAx3/KqQmXS7CzasFp1XJ4bHxKVPD2VXJ5cZtI6XKd
9vWhW7sRvSniSFanACbwEeOFdJHFigPyfwgUzZKhEct243jA2zkIq3fjqz520XltuHswbei2JBBo
vI/acQqf6Zxo5nPsXGEYvWbihQ80fqIz5vvJD3gy5rXda4AUaFpW34Nqg/RYjtUg8yXSHleMlbu+
axOZDafMRaHW4bdDi09YeXrhjHPXG6dBwIo4ItOcjoDlbwjUd+bnaPLrx3peRvNks+NY8EEmB+oF
FzsE1IXB86IXrPYXMP0qeeVDjeC3WHeqwlZu8F5JiN1CeYJ1N2marEKMN3IYZw2Swd1dsJ2vyAce
Kt+JkvOI6eG+63jovyUuyUk37OkI9NmxENHFk+dUP/tuW8BDR2m/IoQIxy1r17xdHGje4A65PINm
PHbBGal7z4PUiu5xkZ5FnYpG/g33FOovnlPZvzJ8Zn+QPHb4hpN6mQosXT4bKwGhzVs8NfVvdEbJ
flZEeUZsEnTz4dgKE/88Df9fO0nKC3jvwNz/+FbNNkdP2z6CEc3ijqaHYSWPq9Nfm9+AcgMGofuf
CA3kAZpGftuCwf04u9GijjvJq1yXfSjEi6iHFodGwqv8g9t5xAuAMqB+bFBLp3cIy0VQLh12VMSS
0LhltZvpfuiDtipA8NKPidCp7oJ3kElmGbpW3Saz1zV3ni8k7ZoUQ2DQgWIiPZPqc7DZCt67mPtQ
qw8rO94y328JtSQujRqEaHSNOYF2p/0zQl3S9uNtx52y+6p+pjpOcuuu/XaCBAir09BaIG7lBOk7
veoSRcq02+qRlwyJxXWZ++7Wobfc9EfK5FIlKUdEHGFUijH7pqX2NFd/FigZPyxbgu0gAQbg8PVs
8mi7+Pgp5gi9nAaUz4ohqGDdss5lp/HbdX8Z+Hv4VnAqCF5gxSbS+ckoChf5QHQKaN6wpyHAF3ga
vRCEQtbgevkyo7Qq4toPuwtynC49+yIdwsvmQJaSyTXOFzcVyGsnvQfiJowrEZ5X0QRX/VjUPhtj
K4nGrYvV8zHMYvzG+/s/0s5sR04kbNM39CNBEARwmju1u1wuLyfIS5t937n6efBIMy4qlSnPqA+6
JasdCUTEt71LoTzf0IbRg0hBuziV3WNow6TdFmXYAxjlJZKLI18l9NLo7lEIGp0bt6zzh2CC0O65
E6ojwF+SmRoimhzQL378e4bpWnuMNymfaEm5kf6UaZZTbpBYSyS7LZ7TXdaGVrGrGaP+aDJG+Xu7
0Yp6W9n0kEix5uBDAy9g/F61JjOyiIwt2fuAQ9Sx7Jl2ncq+tskcsUf4bRIi4XjY+DPtdCXi/Nh3
sh+eWqNIFOS+dHq1B3T8WUJlDoQFs751ijHQj3oL7nXTzQHjCSQfuNjzAL4ifaiKyJMlQGE2Y6IM
fqgfM/egOZcCV9Y19csN7aDeBmIMo61TT5Wxz5C09kaX63ML2hKZU2sWqiZ+jXXzqemDWTGnwl2p
IGkita6DbvrUJL7zIWDEY5A6AOnf6bLF09sAmATeuQihPefIN8PqSK1m2Fi+XX1nFMLY3s1dkxpW
hkANeTkRPQvywuQEmNxI9sK0Z1o1qpMRUzBIxXvkcwL7YNQ0/70JKA1Nqxz4KSlYojc0A4HX7Sp7
iLRtnDTENh/lR+mNM4DykzVmzi9mDpCxaAfFwd4cq9Hcz0U2feIUM06EjDltHGMqjKOZo0WLoEIv
Xyrwh8Vd4Q5TexNUVv/KAV8c+vou2GduUfwyW3P6DVw3gkFWaROYMIfkWXUgPgkaDvynMqbfrrtF
y8QbUp171MZmrrdj4PvzvjZN6ie2+1MBRuo3Q3R3BwZw4SLRma6/zFM/x/w4RS48UG5ALemD6pEh
VUV6OIJ58cjcB4e8vK6dTeHP3Hqmi8TDFupNXuwx8bDAv1TcRrsxRBZ+Q1I7fe5dq/1oVkbzdczs
6ZQiUxTdVPSpb22U0hYS6wD5JsVIBRyvjf4/PS0/vqvAwH0RYe3kpJaFUQLD5uJmy9vVuEfTyqej
id2KfXIGzUl2kxlCDXIHlDdCB7DDsQToh6SDVjkgEpwgf8IorPqK3G34HE2J9tXocgY7mU00uUMb
KzX3NCp7awvw3bmz4xEiCY47EiCUjqmfmdgAJDJfDKdlCMpoD9A9fXUQdveNHMsfOvbHw74bJUIE
CCrAGbedIlDHEf8Ol44gkKPndlIuBR6xZ0Ox5L42YPEieDN+p5AZ8q0XCzRzzIhGjC92NleflUyw
nTKNIvzecuuN+5T+849KA/G1AWQcjEdU6fXvbAmUQylTdOoiexgfEZiQi2LebEl8ROok2Tdu1zRP
+LzUgKrN2fipqjmnGmEOl+8KGzXtXTDb5ccI9R9zX5Vd8BQhIfWLYG6rndalk6CQNkyQtXma/siZ
1I1A0CubumYeJCg7M2GkVfcFcKLZJJmfSzirYGOdxDrZguJsG4K7p3kk0GDeqBp9iq0wQiYacgxc
NCoi5IxaBjTdMQmK3ifMD+oLTuwD/BYzsx4DO6AWMmLX/NL7thDHrrDHD3GUBumtArjyW9l99KXR
Ss5yxtn60yKdux2Kd5m9RRopfLWLIu5PVTTD17AD2z1primGB/hh+Hz17tiBpxSROd04CtQpyWNP
N6RI8DDdJO2ovk7DCExg7NzWPyaMpW8NSHvRocQ9RSc1apa2MYRIeZy1ebrrqnboPAEFz92phKIV
xuHg2rdMSZuMQ1jxK7SuoBENTzNOmIGiKbGzjDYuH/LAR+KC3at/Srgt8iOQLbyeNDOZmudEdfFT
0kzzTwO2gzcasCqXOTmG9G1fVAGu8ZM1Q05yaFi7vnLFVpZkAV6uKqkDRdHQnJNRmARHC20GhvKW
LILdKMkvj3TkQ+Pb2IzDSyF7rTlAalT3cxtk9VEhCfE16qgsaK+W2TOAznzYDBYvjm2AUsGWiIna
xuCr+blIO2va0EiYQO/WGjpsgaFAs3TaRMlDtT8Fp4Ae5V7oIxP+OMoMSeLSV79a4VAktEAL2k07
qFFS7cz+h6zLTO1gQiD4qaepqTw5CPO/bi6tjNaK0p/8OcmA3BdO92WxkAYsAvGfVEHmrnUzA7TE
6h3VkMcc7SqgzAyTupup7K35ANk8f3JogBM1UCD9PkCgp2nuWM13V2Wh5nW01z5W8BPiDZTo6KEF
RRwzAyrlk0ErnF02mcwCxFRE/j38wwieZ1K7j42RpuMRXiYmvGKZyICgqT5qRktjSs+FG+6tNq04
Plrddo/uEIzBfhpSrMQalN+LE9cTGZebGRj6sh1TrINGJ0nZTzZaIlEOdiQMmI5xE7WOeSyFtMDv
/OkQZQszlN4GYWo7we++tYqxZ8dloJhInEImMWi4dEADDWZWP5I6dB9jwhvqMASSbwp6V30ThX4g
9tpo03+gITGYexuNkWgH9dZ+Fv5sAHk3yzDDrqK2n9qw4pZvOpI8LatgxyKJA26PxgUDuQ3zhMDc
zYlf0l8TpX3QmUuBccpD09p2zF7oP+p68UySRiI3FLoB1a3hmjrOljk9pgZ36KafGKMNVhwtKXRN
v3nuVUxnrIjCbTSCA970PmZKt2app81CRyGV/EFNY9sogljikfdMLLEsHccw+PTTB4ke12e/qBrE
F0ITHP4ccYMcUO1q6xudCuY5GOwEGr5VRkCEIFT1myIGjn5P24FGWFA08tV3Ev+pDWb/XmdS49/K
Qs32Fs0Nbdi77mBkm3ky1HRbBhL9tLHVs9+4D5ZftbDzXyfAo7OXoMj1m+FHhKFZDgRiQ1exRxW8
CumNGb6b3SEPzaVryj78gZ5RaB8RlcMscZrSSVH+IIvgaXZZPfphZdCBVxRee6tm1MdnCHN4TJby
zZOtAaKHj69m0Ix1VTODKBxjJ/Os2iaYDVonxmKMKkDHxP5OzrYDeA2kM94bSdrlz3Aeuqcp7voP
ZlY0XNMA2hvQ+OH4uZZLfQJ/pL9BiwHYmJNk9nDLHefrH9mNECnUZOY9kDXLMvaBT7MEIij4tQ2F
6SK8r7fDre+MYCUtzUItk+FdtlVOYOjBJsFi6b+KCfsCWYNpvKFp33/tDAcEOHVK/Ry2JZB91HBu
C1BS1t6fGMGh2xTAR/PNIPoVVJ0x7oCMI/2yaGaIzQzkwz9Y9F1aBANM97Pli/AVqfbiYzJGHJxI
5u1pUoWuM4YJ5S0EnUBsYjYN0v/kO/HeSkxUJaZId4+FG5t3TGXbHDdu2tyPeZeCyaFRbb20rtM3
m7Izaw4C8B+fdkJAxJSkj83D7EeVuwkQq7K2jZEvLO6AvGavBUb8RTVxNR8qBi3dEz91fK4JTgjz
a5VLB1VZZrufoRuApyR2KV6XxYQzk3PziuQT0580dcqfjdvb9cYIlEOoSDuYG4A4wIzIugUJGCzm
CNvY9LPoWOsjSB9EcbDuoBtkNg9idqMXWv3KemAjpmiGCtX5e6OyiGk0/xmdBx1oa5qWVhXs9WRA
EYb/ta/2yB+jWxDbM1J48BkR+efdwrmifUTjFWkHO97V/dDGhwZJ25ACK+wfhOj1RUTACe/n2dSc
j4Evp5dsOYy0J2Kq3LJw1YsOAgR5A6tMboPaSU0UdtzmS8/QczxmcOwfMgICdmo5trABY6eC0NAN
31qkof9DMUHeSS2TSBvZju9sAwmI+gYmm46Cc1mMHupE1k1dY7m4gdgCKmIms2K/Uudb3wwaop8N
EJqkTWCOaGhC37Q/KpGa5b6ve4XSDQF520Ay8hCi6KsjfxYmm2YYId+kQpX6zoRZlB0c2U3fUnug
sz33oRvsBBVw9o2mrLOH4ru0dMyavJnyTjNPAAq7m97s6SNpTmWRl9iW+53pmUgh4RvhEh9Qh4Yv
kQ7mC0ps+sexEelPjX3ytcnG4j6UwbTQRnxuUMuf8p8Q9fWFoWzQLnMRsfsvzDTM7Ji/qHEzEb9u
XXb6dJvKLH3SkjixtjO44Hhj2UANvqCMEcB2w4cYdhryzPTtZypF4gzD5l07lsPzGMdz+1wwroM3
5dbta0ZPEmgoQvRfQFgMzhH4mFmBAsq5KTGFtK1NVVF4nga90JpvDMb1fCuGqCrv6GsUNwX51Xys
gcWIfagHGpQGIFyI9GRj+IE8RHwzAp/sM5+BjYDZbsHAzXpctcjp4PywqZgrFbSVzTI+zrM7wSjL
U5LnUukuey7MJWkyF+B4yCjhuAWKxigfgbkmD5Bp6vhuKFMLKJCeAbpKAjMHLRzLYG/RSy5JIftl
DlqhwvgBFTSo65YRObkHSkaZW3BZ/ncUuIL4qeysOj5ghSHyfS3cAVCmI6oHDJyramNEOr8aoo0Q
N8IB/g1K20mPqZGl4Q0N0oK8DXuiHlRWM+lfWqfUflGN57zdobA/TCqTQC+nuFYbZCO76GMF9Otg
BuPU7VMxUvHPom8AwJp+cQBVFz8ZKB0hFVUU5fwQVZWJ7SxUGwzgQN8G2cP/gAxUWhu1g6ecPrxB
nrO073sR+e5mtqfR2P2P8M1aAorNvNnvccoysrzMkdyRebofUAUeD6DQ9YK/agaUUMTldCrrKbf3
aUfEmjo+HMSJZLii7nlGSFSR4CCviborNcry539J4zL8nBj0lJ2HYLS+NazCBBcCfldQZ14Th16E
NldCooiE0GNVSFHyz0pINF7UQmH0dF6HTMLOR/RoHynhPEyIw2zpENnfNH+mnnDJA5lpgz0ryMYh
AsbmFfXNc0KRtol1PGMhG1umlSSoxpamXaZ3XmPP7aFDDxOZ7Kg/XhbdPKOBqWzE4RxhLq4O5kqO
Ugto406UIV7n1x/5gMFnE4T5MlvUPPoHFFFVCiH78qLG2beMAL4BnhnzoLWnSQ4FcvBpOnpD3xtP
wBicoxSGtpUMZA5kXSgXga/ZZ42ad+WQVBvMTd1tORTXTHnPbS1ku/7PD1k0Sf/aWqgt1XateMl9
lqG+B8zKcYzoFrpof8Wi9eznBK6BIdQi7P5O4VWNKrVl3XmK+fHRdEzrQSEbd0Wz+uwqtrR5W6YJ
sG31OXvwKZ0BQtQTuLPSnZLWqRhqa3/5+53dNH+tslLGNttAgcIaO6+EFO3hUBHsHaZDn1Hiym/i
GiAlOV9/5Tyc+VRY/uiYmBq6ja/w6tEwkHdpNMrOs9FD3Fvl1D50yeAj3gbt7/LznXmLYEFB1Sjg
SqjVrwTQO8SWwIPEnYdRnYA/2yrnAFSS4fm/riPYDbqJ+42BFO36sglzrnNALOy+uDEfilkAFZ3H
4MqeeK+ryyqkkaa04Ui+U5xFrBFcuMXO85FbPDhFJT757qiNN3MUC48+oC+uWLMv3//tJYofFZaS
3F02AvLrvS6wOrHRI2o8UoTuNbQoM7Q4TfZjrgIklRet/0QVqL/5QlwRvv1j1LFa28Y0wVVojuO3
ai/f9u8TzdQFIlg0e22vKcNLAPoivSQ1lwK4zEXh9Ta4Q6/uyMdOTAVURZliWDddBzvhkOhuRV3l
wylmRo9ui5XaU7aFEuFbpxw6LSCCDB1QJq2OG9xktsUUvgTevUmh5Gd77KBAyGZonoAUTGf5Ytez
WV65Pt9vT1SuCQwSxIzEu2blPmi4aRFFkZi80EnUC0JR4BjmUP9weXO+P2/LKst+4YbGHGl13upE
SyQzjYlRFTIDoTa0kAtD4Q3l3BwvL3X2gVzlOq5EQhFZprffTIeqOjuBzVL4Ze8TSWd2gQ5eOdXn
HgiTCxzkTCUVjfa3qyAg5da1KzEZBEy0nRoL6YOZog7OwjW3wTMHgM6mTm+VqsdmKvd2KbDNObxF
Z/QCCqRik2YD+lDdsEgaIWAowjtkVsPvg9sBuxWpNoVXLpbl718dAoflDWlDWWUusLrA6KbGWSer
0aNdotFCzJjXFgMwPToOt1WlxztlFtdMyM+8X4cOoIVTGdcMzs1vH7r0yyi223ryYi3C0kMN6d6u
u2FvInvz75+SpRafBImDB0aSb5cKVIyIfMLejOX4RYqxg93FrFeZMruy0tk3+ddKq03TVhoSMl02
eS1J6DPYLfWQu8UENUb0XoXKCTNZRx0un4ezi7pME02MdHQyjrePBx+OAtqB0NEA3vjBiQl+ZiXF
i5ML4z4zOvF9YvL64/Ki5z6fJOZJXqp09LVeOLS1gKFOMngBHJebKoNjpUkYD7So6ysv9dxSjhIS
LJ5rCBQJ3z4f2tOUqEM5eoNEFHyQFeSjqP+vGwf3SiQ68yYBT+gWYw9iAR5Ub1eqJlnkvaEGL276
9gkVUfMwYR7yidFudef4AfDFSP95+UWeXROrIDhnxECQmW/XjCY6isYyHu2BBWdMfZv0NkVifheN
CCehEaAj/zOBJpenywu/D/SmYRAP8KPV1WLw8XZhsHB5gi5SRdCzQujTDNtTPDB+FVlX/GciUhJc
+Y7v720WlLpFnMXoQ61Ns2oO3hCKpkLLXmuoGdGSy5KoufINz69CSkvyLLi7V7vFaHLUHce28rJi
BD7iAtv/4MZKXHmY95uSh8GL1iG0ivefzaB1Knu/rb16QM8M9E4zHxX9xGEXol78+/KnOrOYWqI3
rlxI+lrO6lMx3ZrsKgpbD8Ed7bbFfvAQjn72MOnlNcOlZYu/jQUmEpxkQ8pYTBXWzlzuYFkMFPzG
K8uman+h10wVJbopfUCgENR0z/Cxv4Hk4z/hYJRS6RqE+suPe+YTIoLE8SO2Ywa3LktQgJz9hJaq
Z/lhd6e3HXAX+Eavl1c591LJVlyqOfyDrHXUc6K5wF6q6LwwE+HBn7PvMHezvS1BG19e6cxJW842
Zt82xatYPw/DhSE0Rrv2VDzrx250gpgeNmLQzJz77ojkavvvltPUhBj56pRAhL51TCgLzBRMpAk8
vdbGJ6IBqkJqdm8FxNzD5af7k0CutgwBnLjDkV7wq8sN91cODdMvBAeDKJKE+5ndLIZ1NRNz6Dkb
WBXyprHq4j+oscN3zAjEnntQfxHIfF+5z858TzaMEFiQmORt64gEsnkUlVhwC2B6X9CuZUzpRI12
mjLg9Zef+cwXdU0Eh7nOcEUiDL59ZNvOUtVFUedFoLtutaG0PvlVl0H4a2gUIQOJR8zuX5eUAMi5
OiUAFYyEVncASJ08T6O48bCYQMnBUntmr81OR/Z8mw8w1i8v9/4MshwmjJir6IwR7VUmMw+0u8LW
qb3QCDsPwYviqPGsV1Z5/81YhbR3MSzT6dWt3mMKrlj6g197UevOD8jtOMc0cAFXL1Ivlx9ovRRf
SrcVvToij8I1axUXtEqi3N9pDNDrvrppCrMBqWoXh8CK/jVh+bMUh9100Bx031k2MoABRVanuoeT
SH4iafkCcXBYWFnBlfe3/krrlZZ9+tfRMxBwSJK2wKAiLIfD0PlqJzXkOy6/unVMWFaBQqNTphtU
Xev6pI8ng0jRGZ5BNoLiqqVeTdO1PXJ2e9+3RrxHFdK9xzOl2Y9oHF45bGceEqcuk7NtkKdQir19
yASrZLyLkIwUgC5ucs3pTtFCNrj8kOsjzUOSDtkAXiA6OjRy3q6CmJeSETeLlycW3PQMHmqEjCc+
MhGobuxg/tHZZ1nvf+cogj0JDeftet2skQ35mu4xGNT7bTYn8Ze6ttGju/xcZ/Y9b448yAElo7+L
BD1on0nLlYC9gocrrOl4RmOppZELxwZ9gyvLnflYIE95gbTDXOhgq2BgFRW4cfgHlM0WJKQqju/4
uLZ3+aHM5e38HXN4e1z0lB1CtzHCW18colUxxSwoPE58475GRR7S4JBF81KVGhgwB3e3iJ5KEB5y
2Uy4X1RCEG5nVDLBr/ZiqwWRgeCJ09nRIXD1+sTeNppt7bggnKs5nHBB4FqFls4870NR5622Q1BH
Pc1gdWjdpJopD2pIIvcrwswTaiil6MFfwycQDMUwOrkZfT3ptijI5OEWlx4d7DiIz+lK/D33gR2c
2gydmYdNw+LtRhoDge4MqqVeqDuxN8M33MRaWtBMgGx2+bWfOSO0TXntWLmfaSXFMUIW6MnPyGaF
/WcbBxsPOtqw62RX/jdO/RW35SXGrD6yyejA5KAs/ZF1weDUQ5fPOsth04eu0BxkvzGadD4FOFVs
Eb8Vj2h74Pyc4Vdy+UH/JH/vlrYoVahYaIOuo22WBnFTVcCt6O0G1m2Zy+gLeAj3udcca/FaddC0
C7vgce606ovIuuoArl+9VH4hPg8oITz2tAz3l3/VmS/9p/8LQp2X8q5dn42GEUSJxAYVgvYpqNvm
Bt2P4hMIuvjKCzi/FKMtpq9q6eu93VSunJEy0BRfutXRjCxq0DpWlN8XGgCT/4enWrr0giYQ9/sq
MGe9qPBVJ1oiZAJ3CZHsdpdqYfgM47x9urzWmQ1sLvWTosUtMZpePVY1kYLEjTN74APm5DUgt/s0
Aia471JEgX4KMWlXgtfZFWEyLp0nk3+tVgy1LAqMJJ89YyhtOPZISoJ6w+mlC+jDpsE1Z+p1O4GL
kThpWkwJyNre1W9Nr5V2lbSTl4SB2I0C1mNfgqQCnpGBFA1+6q6p/jHz/rMme5KLmIyH8eNqs4Tg
OLPA4gLO7eIZcAh8TiDAx2JIo//PpZbw81fC0xbMr4PembxZOHG0zzEf+JAlYIM2WqqL6crWPPsy
LaxlbWXiabjOCZAKVk4IDMRzm8G4HRD4P3YyTX8v4PlTMJflK7q45ZU9eu7oCVhckhk2Y6V1aFtA
eeXQ0a20IB09jAgMHtuyjpBDgsN9+Ticu2Bp2zssJh1lr0953NTwvHN3hKYvGFIERXWCpmhAl0xQ
/hrIfrDFwqUUAO6VLs21lZdj8/d3RPw01qachwSZuK0yG/STOyEqOubuSY5G96sPGzAFtSryK0sb
59ZeZrgcNqxtnXVYqayyZwCf8FX7ui6I5K3fg2icon6HTHDsbLEaCcddTlk0bBUQY2+C1xojwe+7
N+hoOcZGhwAQbp1cBkhcw45GXW0afWdTW1WDWdEsBnjRA7o/+8sf7NzeoAtE8sNcQr7LxLMw840J
uTOvSp30MLiavUM6ICV71J0re//cxUVCoQvyOO6tdb2k90g8y2Gevb6upkNQhM0Ju5xipwfTfBeG
xXS8/GjnzhpSgYwBSfItWr1vdwRwYDMIEH/1etd3xUF2ZncPtsUPnnqzEI6X+YuqhJE07fPlhf/M
i9axHsQI9ANCPZnyamUVEOd0BC68QhtFibZEJL/XLi4wXmtXTn2U4CCcA05dSbQf6iRE3aCC/gLO
crS+DMgm5I+wThKBtHwEnckv5ODsyilCKt5BXiA5NHC/9VNR9fGnDCW0RSvHLzsIHGEd3IDBnz/F
Va+DUZosBYQU9Jr81gbQsbdwktqfczvP6EU4QIR2sGeql2mIbRDNTjWCyu9QvLtFNcfEN+jyizmz
A+jWohHmEk3IslfX+hjnjYKzO5LKd4uMWWmk2m2chMM34LZxemi6LqoO/76mYdMio89Py3+dd5V4
SoR9q9GBL+DW76oyn9h23Ax7AK++AVm1p+nx/7ImE2hpuSYt3VUCUgd0h8eaNSdp+3wEA0Bzy91w
sLRx/Njr7pUNt8So1X4DcEGo1E3a78w13u50BArN3keE3gsyvBs2fouNzdZCuPsacObMkZL0pi1K
JKXIC1Yf0EUhFuJZNnoStYcQhQnd0ND2yXArRas1QeY/nOe7uJni75ff6JlrSkoklsmf+RdD4bdP
OA9xo3SL2Z5AZhx7CBVN7h7LHrPf98ISV8aX5/Ype9SwpIHcDf24t6vJbESzFiKVV7Vzh7ZRixCo
jDQx7ux2Rq9EIWB+5R4+E0IYYVhsUYpXmjyrLeMUYdCaYTWDSEJV875NFnqwChMF5DH7rjTt3s5t
c9zmTutfidnL7ljvHsalS/pvWHgCr5ZGDS3XG8pTjzulOnH5p/usBaBXOzL2cJSVJ4Vt1S6vY23e
lH1VX3nb576tcimuMSow6d2tdi8t4Izk3OBWaPMPDlZCHoYHP2ZcWI6XN5FxbiUbDfGl9+OSfy1/
/leOkBioauVBxXclTRKPYWzRVIV4oOU7VHqYiGzcOSvvTbuDG4znS/6taqr8BEjLedWz3ASFCLPx
B6egUjcRuJXWQ1qZPtLl33nmOBOucA2RgiyK9tjbnwlGpbXdbJw9GcLdFF2LEngDC/nKKsthXX13
+DKw6+kr0uVeZy2aMHAQRBbSM4j66dHvs668BXYd3HT4A0FU7ofahFdjxLc2RpyoPQX5/JU+boE7
6ZhAbQFAnx91OwL0b0Mo/tXoILtRUhYmJiezsNstimKo+aHXA8WEEhOrLz+boHvErhvbP5TWIGqL
JLQubqkP0+nkNBWmy0rayYCQaWajEly2Ex8pSkoE+Fsu67t+muIfowzLDzIKgt+iVFm78wcjgL3r
Y8C2xawUoxqU8usbE1W6YJdpaspxyBnEjak3Wf718pt8ByekXFF0742lEmQWuS4CUwRjEUsILMro
LhI/yQrK4b8OsZ/P8KvD5kmXjaTmjXo13FbdiGJozocJtzTSpt82IPHsSgA6s9Hp6HOU6M+RlK6n
CY6BwGVaGdIzC1Dvm8AyPlHlyye8B8ePlx/+zF1JTci8y6Ee5dGXi+2vM6W7dT4UpYW3psbdgpRb
WyGlE9t4DActvNFnxgzhvxc0tFHoQQKjYcn1ZRnMkYiQ/jdRg8iUOpE2uNFhEHjQfJmkYV+bti3n
bXVQHFBBFgJ6S6W/TiHCZmK4OBuml5lwuE1YC8daYQGA8nr2Gfj2cMj08sPl13omHrCfaB4rySzD
WIOFKB3tvs1DyVTbBn+K0JHAWtzJhqe6csmeq542VTAnt1Cgg2uA5zMXEIb0gB2B7nAlu6tvOmQz
nHv8FkGlotAN1Qn5LCTV//2aI5CDDGRSCpFkjZQbIrxTkilXXtJZA96UNjbboXHN7/7MUXAWRNAC
2WSEv+6Kx63l+pKEzBuRv9+5aHlhtdZqe7Ngcnj5m72bW3IPUANaSFW5rsHbW97rX2cBHD7MXSya
vbq3YZerzLqTThvtI82aT/ZkT3SKs/aL7HpzF2pOvJvxPbnyVs+cxwVxwpejccsvWf0GBQcBTanY
9ixoR5/T2GoRNTf8Q+EM1md8woNrg+FzTw2oWC59PQE41ll+0V9P7TSpKiH7qCXbzTG0t6DLzDkU
Tdcqd8yS8O2bsMdJhhEV1iAaMGec7SsX3tmndsjySRH5Mevjkkz6NIapbiPN6cpDAit3i1sOelVA
CnaFacfXSv4zR8TVaVoL7vwFv73CQEJ8T1Xsd7YH5yl2EAhxE5RqZb5rHaxN7FIuttdO9AzwAeEo
R2+wtaffP1lxvelp+e7Qn3eOERo0r5c34bkfRt9T4iMlUInRV8mDUSBBP+iaxdl15LNNiruxuj64
8vxnrkTe9P9dZXVDWAgkYYYeYXeRIPVK2PuGL734PA7ye48A8E0ztOaVNPXPoGd1DRNomFgz2YVI
4652NtL0pOwOUbass07blLbW1YciH0vsUHAE3rTYuMDTSRENeMzRs4CrVCIwdC9iNIXvEr3tvyLW
Op1wufH7r1GqSfweRI4Az4RSCiIhILWQWISuG2zrYUiefTXgZpSIXm3pjy5seS0dX5nhaDggBkFj
4c5nNfYuArFyDJMWDTYT618Yh8j4YxlTx4a/w5nE8p8dfwSXVJhLXzEAih/smgFtB0R2LXlthHv2
QJq0+uCjQnDQpXh7IG3EsdCRbhStsGJyD3FM8nasK1sPT0aC5+umqaWrbYwpsk+G6iYEGAToVwhZ
oa+Ol7fjmet3Ge2wG6GQAMZenRM36ozF9UV5M5OGfawC7NFigbmXm+lX7oAzIZOl6IwvUPNlYvj2
sRMrgWbkCKJWEIW/EjhO6BaX+BMG9XQP8W08degQ3DDSt66l0vzN6525oBpon3EpMHxdrZwh/RlP
s/KaGfG33BL9Vo7RtVnZuVfJDJQqkSwL26/V/kd+cUoix7a8YR4xSwyMjJstNj8jVPvp3z8aNxuU
Bge4FBnk2+fBLQOPGDMjMrv4PSdJVHwHcmveRy1wistLnbtI6BVjKL0kqwwC3y6l5SgMliX7Ixtt
8yawtOpFZZm4iyi678SI3Lqt6iu51bkX6VJd0Z/hcHAFvl0ziBFdi3Ej9Wwz6Oy9RhKWbSOrL/fo
q8RXioPzi1EXgMYmaRWrwyhrt8qw77G8CDdzboZi0S834hMST/LKAXi/FGWrTsIIIY/02FxtwymK
rET2XMquSOfbqp6Qq/at+WM5h9d6ucsrervjlwrZxJSChi6pxmop9B4SLlVheRY8e9jRBPkM0cPD
5c2h3h9pY7nGwOguwLN3zTu3D/1QdLHpDYFVuceRqYX4YHXFEN5i/Jyn2PK53e2yr37l2FSgXkxY
RSysSV6wMNRfXAmucFtncYVslRELxubItdnIvuKlhtdC0xr1LvZb53W0FdxzIxT57xluw8e+BJ9/
8Asl6VCOvv9TpXAZN5oVBp9gihXZnYMamrOJO3qPG0gWmrF1el/9TLvEMo8RIoE/bQutBVSyNes/
nHrNnzXGfY/4qjo/WtR1iy0lbD/BSxclxoeV3RxDt+zsF7hmtLiSea7652ZM4/w2waHhw5xbQ3Lw
+3L+hYNinZ38AvH+3TQACUJOsxIvA+x4MEgVKN8tyK7cONCTw/lFpvlgbgJkAn6miR/2+2KKW5RC
SJjvk1JTmOhlVavf4MOIJqChZ/qmsxc59VSZnboSxs8UywzeCeH2UjDS4VgdiKjVdVwTEtMjC8ah
EZkrN/ihVyHREINqQ973pTmAo0hiDC1D5abocQp7eCJkGZ9np3TrKxnTn5R4tZkBzlBGGmxmw16X
k33bD6hF6gwmsvCjgxszMh8xgmToWY/1vTPZ7R5/Z6QvYkZXhSbdXSjDGMkh02TGpCEeRFf55fLW
N5bXsP5RNMphZlFLMIBd3cFzViArmRbCk+nUJciGOFp+F+XocbDb3OCzPYNhOY15hCJLg/B5vM1c
fdZu4Oa06U1WZmN8kFGGR+WVH7bcyOsfxlCZRB+QN63K1Q9j/AXOdCqQqwqLokeVzC/jfToNlXs/
uXr3fdbcZNr0TeIUW+QcdfwAGGThtSLxEXsVWTvqJw2tJ3Nn4pRbIgvRtt8Zz0+PZWT0vy7/2jP3
lADX4yyoarKPdTVkYe6JJWptMizP9I8JjqXjdjIRcrzyVtz3L4UGPMhioL+splZhrO8gYjmhbnr6
kLtf0z7AwAEQ56NJqoq2DXY1GRLPAwJEY5MielRhpWBcAQa8D6VEF1D/iI/QPgQryG/8qw7T4H4j
E1RxJ/MfH/mkDmqxmUBuBMX4AGnbyT2lwCKvlALnXjGBgKkO4HgD/PPbZaMSFaemnWl+zb3AgjeL
bygcxJVDeia2CWkCB8Bgy2SOvXrBfgqTH06K9JgCYBOPaor7s3PL4IMEIR0f/nnXUGiQStKQhnu2
vqLI6vsxRxTbK8rM8iYMQT7MbRxc6XufeXEUjzY9XmavgB1Wj1QNTh6joGt6pJXBja8jcQOZq3q4
/CzL37I6riA3QOsJl1YvFcHbz5PPre2bQzV4eeT77m93ECrZwSuQqF82HMD7nJn1lTXP7EQJlwGi
McnB+3l4PqvR+V+cnceO3Miyhp+IAL3ZkizDaiN1t/yGkBnRe8+nvx+1OFCxiCJ0ZzCYwSyUlcnM
yMiI3xgF9C+pUppvg7igU5AbsQ1kdtwS7cDHqcDJ7/5ElWUmq5liVKBR/IB/QsFuOaN/7f9GwbY6
GpXe6xMsTZ4yuQIrhzQ/vRPgTPV7lgcnK6xG20VANqDHjeKXdgi0JiwXkXi4OUMZ4hwSZVksuQGK
isG7EXbxxyGa6XMtQI0nI61yfAuSsJQ+hAEpjw0Yf/FcTgi43xXMVZKvJVfVd6ENpeKcEDAagFxy
ZByHNEEoNiO7Dl5Ts890Oyz2yZlba8+eApdJ+Ufky1+vghFaiqFWbevFsTK9+Ri6YBSCsCBwllY+
jtSvsUaRquH1/upvbLOlNQdan/4cvNvl/P61+GFeIeCmgl+XIFG9TwPUz9EFMhwor+YLwardCbhL
VFl/bGqU9CJ54C4k0evxKIF1JNAAybFV1V6GXGp+ItwVOqgmIDxat/NPgDaVg/pTvrPPNo4tb0ti
kMbTgZVebTOtlJvSr+mBdmqDDBoiYyct0MbT/fWUNhaUEThFS3RAM2yVYVezGQ9VqcNRizokS1rN
F5uzHkuyp5eDHrBhi2S2MSsSBDdFhmh+0Br2xFuHCWli46jst7/qAIOAI4GuR9xMrmVwP4UwfJSx
o1Z3fu/GtiNa0ldbuEu3hCLsRfAurmOaeMg90B7Wy/dTmiK+37dK0tlR7adeMbap5d5fp61xCdHg
CYA8y/IaVFLGCsIxiPx7QmGU57Rroxe1LvAE7hPpHddkgyBrHX26P+jGt/lTG6fyt9Aj1/39vh9R
VF/4g4o5lygkirg7mb15GLvik4/HlHd/uI0dh88fzVnuV5Gu9OpI13kiqj3WlV7TdEh/GL2FDYNa
pnvwjK3UnB7skm1CMrAIFNeHatYq2oGYWHoaWOjZHQIl+p5TYVqkffMJW+SwVj0J/d4eqEYSvYno
rcunXq00jM9ldfp+f94b39YgpVH4TCRvgA+vf87o5wJ6smLjRVhsYuedRsZLyT4+tZ1cPCTIjMkH
KQ2Lfy+0LJkix0JZvu1Nv2dOEjGiJQGjsEcI3PdxT0yToDn3pAWH+1PcyBuRXqb+wduWQsv66TFZ
E2/VqGy8Yg4lRwt0ya5q0XLEOGqPo1L6J8kX22PEWTqGmOl9uD/8RqlQYlPRTSKWUqNYAzriGWx7
JJeth3TG7Luy0SFJlGNT8D5CrBqWuoEQFkgldvtBiVKVKmssBZ/FEOXfnYi+keEZ5JBksPAFQSOs
4urIKxupR5g7Y9JNrg5GR7dVYexqt+mLeq/HvnGEieAwGDhXQNHW1yTvXaBbbQO3ayhA7LVhd+aZ
1dkWHjouEvn5zrN3a3YGAZJiBl+bTPl6L4c4s5WKFbceQs2QtqtawUtozKfgK54cjfzu/nfduB1p
yvI846Jia61Ho6FfoqJYt7DJutbpBAlRfk0qvC6WhKMxohA8Sob2UqEGtROPNZmJXF/MlFuWtJlp
Lj3a1WcE3hL7RQqBCIZfwlHtSdUxeuiy2aaMIdICgzryPKfm8GbFIUaKhWpOnxH/FgYXDJ9Pld00
ff0QzLNpogRdilhGmf6AgN7QNpg8zNUY2RMeCpKLGlRZH5ohRbyuCQDLnMykGBcV9RlF0EDxpd+Z
hfcMmo7BZNiGXxpvUtkIqT2jZfbsd5L2OzEkITxqI10DT6Fm8qEIfJSA+zrvAHo03Zs1IEBxtCBq
IAPYaoLCx5swp+yNwepR/dMTwLyYkbkarETUdUJ/+F2ECNx5kPZaw8H3RcvdGq1J35H0CKc4W8sQ
XXaCKtS1nW12++E5ymA5KZdJvMnWCBc9niD6IcXmoZ1dqm+LEIP1G3utLjyhjw6aJMxquCYx8da3
SdnkPejb9g8gL6JsIUo3EL8qCLF0MwTuY11t49e5AVuDSnFTPQVkcyd6RvEz4I7m3QSj9Mv9XX97
psmXlpYH+QdBbd2Tixp6bXOizGgucyeIBjqjIkZy9oCIynEaSIvuj3d7pkk4SAJZap47qM1cn+k0
McIKtx94BmqTHyIUzA9aLf7X9t3g3B/p9ia8Hmk5dH9l16Ms5xGuFaLXYoR+aEerw4CpRwSfO/Eo
h1gAaeNUne4Pept2MCin2JTI5ylFrTLQNp7go4dMT/Ypog6RYl76Mal3khtaxLcRgyz6T82a/u1N
4M+zaWipnyxd8zgfPik9crffrKpIlO+lAaniQVRDeTjBNsNMvY1q9MV9dK6RiU/RWDyojWxVHqlK
QkkK8Fpsl/rUzi5mvDKWv0U2a7YitWVlpxiDLQJ6ZRk/xFZKUTzQk7JDfwdsrUug6SqvKdW0f09u
Mcvo/5v9r1L1YcaGUdWiPR36s4D8v4Q9ZpWMRu9WYUNslRqpRfk79fEYDnCz62HRTEr3XggNslBA
3eH4AUiQ8FGPYrQxgzToggetNzGVw2Q++O3rRmK4aolarVt1EZ1HVQ8bex5QHnRmzK/jE3X/8pmO
dpQelurSjGxLpL9T6ZWEyI60+c+CJPGoar70YgJ+f1/z4x/kwcK5NAgDEbdKTMIad54pRaDHHcfV
I4RmjcIzmu+fpFYyEyfEg2xkeq38PLTSHH9pZuzpbCrjLZV2n1yA6zGry29m3Jn1jzYtKIoi+WWF
DxrKgdPzLArxp3aaQt+tqmYojkieWqdezpX2J6Y40RvCoVly0nXUoc8mxl3Fe7HgyPzMqQnUzFco
A2wZ9QYkVzvLb2j5o+XVDF2cHsqx7Ir3cQU1zRFHzYy+yw3l0Utj1lwtAgujOFJWy6gaanlvnRH+
9yOPw4t6yIzdBizyskV8Pqml6YJFrGk6eQgF713aAssCF51jImHi+eF/1ctYv7StjI8XxXHK+wrl
3i+CVjc9JXEpGT+kcylbrgn7RXnnR7FaHmA9ZIljoN9sfhoCAISPcwWK8JOOBnfxPUgSQbJlo27P
So3+GuV+0RhtNUYl9FFo/WCwx7Eju5ppWasP9Ryp8TnIipr3VAOS3EYUWJBwwp70CM/tuWqOCCZy
66VmTQ9AjDWl/Nw3kTF8bjShke20kuXvQaWEzUMR5Xh/BE2IoNFI/BXPE26hI24iSzpntUrxTtN0
wiTkS0M8YkkhIuioI9A7ZoB8XT5EXrstlfgIAVpdUuNDW+OTDhpvTi9igfexM5ea/A1rPR9VXQz0
QMum7fSCjRbeemaAKZWFbLPCf+rjU5ElU4W0Zh52TgLA4ofv1zq1oSSLy4fctMZfVmNE3FFDyWen
UDViiR4amuAZLVQFO8WjNcJllBznkOILodu8ILDj42qWU6fpzVbCUNtUftQaOIgDnR86/PiHormU
hW2TuYFci5Gbj0KUnaWskzLgaj5y/VFpxZ8KzIsfdPzcaIqbfvoiaq2uHcwYrPoFXk8/XUpLipqj
MRu+RwxOhne8JKInvEbE4pQOels72HZzsIxwork4hlMWPIpSOyjnNBWHtxTlpZ+Q33HVVVMESJ1Z
07vQHYY+wDynFGJUH/W6Sxy/QST0hN/A/DTVZvXAqrHodLBpZVW0oDJ7MsVcOsyxhckjYBS9+zSK
bW38gu7RYUHbdNh9cS/4mFXXMnfvpOWLaR6QEGhcXFm/ctw9pJ+jLPafxqjN30upLH3UoMkEpyhM
I28Ym0xypwJrM3CLVV2f+CMUrzd5edlFrdGyQShoL3n9kyKuUsg/PT/SR+DsFBCvbzscrgvkSUzd
GyozEBzMKbRnKs+a6lBtsT4AsYx/Q3LQ8JsCC1faCwy1dpp6yHW0ywFf2BRIjPKIqp1QnHS/HyQX
6+A4OfYmYkIuFpW16QaWXtbvh6yVO0LkFORvgQAo9WmaZwjnMCYWOxHeiOg3w/MfHBouptfP9URR
K06Un7TnOvnnP1+59MG5cAG5gMldAwmqop8nlD0Mr63y+BziT/Ywi3m3k6PfPjrhUkMYIFOEhnGz
vpYV9aUlKAbl7aF47aY6+YrRWFFig91KCgZhRnjJM1SebbmuihPON9Xn+/PcaLlRjl6a1EsJxbqp
sJtJqUVxGpme30ZBRcIemkc1k9XvKhqBb4k6Kd9KTUuf6lKpn6IoMI9NIOuDbdRa+C3o89E/YPqK
DQFOEtJO2WEjjUQVCg0JdB3kWzSHoEeyOXYCagS+XzlEtvI4Wtb4kIv19CD2ufbvyR0aj8RWGhzA
4OXl9/yV3LUBnoVtyVrEPP1faqxSRptEJT37hKvQziPd+jAVfvfp/jfYSO+ACEvUHDTKxTfIC2yk
UEFOJsOz0B1xqUP0jz6t2eP9UTb2GigS2AVEFWBA67PcccJby2dHC6lipTbvfh/H8HhQnnNFTT7V
VZg/qFrZP2IbObzO9VztHKmNJB0NM52algz9R1l3WZBpjOW2ZnXxB2rdRgFqWgagoEcM0M7357q1
cRRgprx+lhLGGlciwjoWx05mrtQ/bR9Pdl7d3Ps4CVjPEiy3nXO8OTXqU9SH0Zi4SdDluGlwpuAc
S3L4XQ306jKnlv6a+rO4M7OtvcJRpVsPAGmJTtdbFBSEnHBjAK8MQt6/6SA9a/0wvd5fv9tXDoog
tKiwY4U5h/jP9Sj+pMtVL42mpzWC+BDHgYCVbGiwiG15pulTOIPM7rk/6O0iogjw56KB+7Kwb64H
1We87ZOemq2MMRaam/h2gBHQ4B300uH/MxRteXYIbdr1WcCXpfLFoaaSOUXhEblPxQ5VbTplsR/u
HLvbD0ZVETQabW/O9g22Gt+2KCR3N70qhENRwTl44mFT7ZSZbjc8o9DtQYEIPCaFtOu1m1PwU/Gg
Gh6R3BcP4HKD1FYCzcDxS8h6G71SBNn/fREtSBYUxGk4cItcjynGDacBlz40a+UlbeYUSA65luDo
bTXslFNuoxfIdB0JWRSgUAZdd52bpglbjJI0r1tcKWwUf4LwPFRpDLp5ALHujqNiYiFP8o6BMkBP
l6buWO+c8z9yXtcJkQI+hZNOB5yCwhpyITZRXPuo+nnKYOSyC+5Ez9+GpKy7BzOnROoArbYyJ+WJ
9KHHzrTBNkrEHhrmftR+DdGUHdxWwJLqDKENvzAR/dbqoYoHQzlMwoBJkYSf5B4temMP8tgngdPh
3y7MxOsvlc6GUJJiqRQtpPkQxVKGkxgGGv+8H5bcD9En6l7sidUeHHD8tOrI0rx8cVxuE5oEdhmR
D85VKu/pFi1xbvUhFDT6OFKUjRdawfWUYvxX2kCEGCHwJnY6a5y+9PNgxJithNN7lQymcrrQEB8j
pd2VtdhYT4UZ0pgRqZawpNeDK2IfKIkOzr4yKNsFk5447aTtRY4N8jLYTiTT4Msi+AC6/XoYNFEa
o64600Ottn2Cj8f0JgzTXxpZQJOOd8kkUFgTW7nilU4KCfsl4VWQ5IIyQPQXAwlze33+DokLYBuV
14CcsoilwkZgoc3w0Zlz7EOo6acHM4nrS9kC7XYwTY2eKnrpAJGTrv6q91xHeEuFZte7BleDeICM
Z/00pRa1LbxxlWcr45XP808WCgf9Hpy4lTlH6RbTCGsnjdhafI1urAbrCELV+ghmfebzP2PTM7sm
PWBerZwVYDj/HtwQf6QHQtSheiqvbsDCEn09GEk9I3j5ztgaCU4DOb5K1bQX2jYnBGoXeMwffY9V
8bKXU0IsrpYkD43oUgPX3JBMbqe6t3G7Lryp/42ymhAFvbhS1YRlk6MZ1E6ZHYPR7z/EGArtDLWR
PTAUshoLDJtraZWj+EOUlkkQml4nSgPWyxMGk7x0cLmkNvRoVTTrocobO+nDxhUIg4njuEDcTXlN
YvLnFvsxieKlGmJCo6XzcBQHvCJpKIyHGiel9/fD3dZno61jYCPG/rqBBWZiPfbqMBhewlo+z7hr
O4DPzJ17b2stlxYckZV7nX18HQOsFMRQ1CPIRgXS+lpg8G1h2UldBc+zS9kMgoeBVL+nK76xWaDY
qQvVjozl5sIwKfGlNe9uLx2x+ohKIfAwecMrzgrNnVRs47MRvWnE8QKCfrZONYnu4PRy0UJtKsx5
kCSa/FNQhPGZLk/6BKUy2wHnbXRaAckhAQxun5uDpu/1ko6YOwT4EPoe1d/gCX0t4xdASeUz9Snr
wwj+0c2TloA4J5abyJn+UsWFPx7v756NfMYgdwIBZOmAJtb3F5lOgSJcEVwKndI6nu/x8DDH04hO
CRoFn0LKDxaeVWESOpacB2RwUl5GO0FuY+0X9Rt8pKh1oHa5WgkjzKBSA8L2WkmcJ9sShWwCBSpM
v/PZJ6SGeljsRO+Ne5v3vIzuF4ACZL9W+1nVEBANR0vAQ2eOvBH8xvsCrzynj6b6HIXVaOdWONs9
6ebp/opvnFd47QsqE/qLcvPZhyDTSmumeKkZrfF+0PFRs3Ir3Tmvf4LbKjFBqA3BJJ4yS5a4/Iy/
aggxRNJgtioBx4NRlHBaR5Gql3D7tJMBjIENnFv8TxSM5H0MLxpTK2uK3omYjX6XpVmbP2RhEvu2
TnIYklJr8/hcRFmR2UDMkZYtpUqXHEvoW5xZAiGSjm0rGT5+TbGIf1AXWBQ6MZefDz1k1scGbiV6
JV0qDRCcUvzBQn0yMVOfoiF57FP6DHYPbl07l0EgfYDJYA1nCXQ1vY2gV16bofE/o9MTvbZ1nspu
gjV3c6CVEranCR7sy4z+FQZLw+IA3vJeBak+VSq2s8niMNxH6vimJ/D3nQQJvhHb9E56h+OEjl2Z
lqWvfR5muotrav6hJ1vD4dEsyTRaX8CxSouAlTr1mNXAMavWaNyst8rMabGh0+02kHCb0+gPvXLN
9KD7kVzp7LAbK3o5xZi/aEWIYxNeDJiHm3k6yu/zGMkhIOMKhqlxYk6XnJfK70xr5d9dAMC7nFjj
wxB02TdEKRPLHilnN45I4/oHXGPlQ51F2Q9amv7Xrg7qn2aK98Il7uL5I9wqTPFMplojvdGZj1Bp
IXLFhpAesQujQupTPMAWE1GpFGpbbKofM8HQw527dyNyL9k3ACwazwsN/Hr7TZ3ZKFLXCfDNo8/T
KOt0B2rJPKhqHu1cgFtDoSONSAZ5OFnSKqOoMDjmZ5CoiHk+viC/UrzPcdm6RPi77lwSG2d3gTTK
qGJADri5a2nwxT4mcqbX0jE5J5h8Pk8xhln3I8RGODQXNoS2oPyo+67WTsdYCuN6w/RwLBG+8AGr
hzCyxAimimLyZCrMonfvD7k1MXAoIH9AVYkkL6vPFTdBTIOPcvaE7IZg9P1TKsNdvT/K1pci92Pd
LMrMlDyuRzHDQaoi8OLe0Eizm/TZ6Krd8BM4WbKz/TbnQ4SFs75wcpXl2vsr+qm6kOp6yHwM7KjP
+E9icFr6e/3w7fn8bxR1NR8BImie5gDRqISlToL6xYnGUeS0cGDP95dua0LcV9SEF7EbZA6uJ4S/
vZlg5keRQ8KlvqEW8qsRjPjHP4/C/bvY4S3ktJtuA/7HZirUoeUFTZ8dlK6YjlJR5P9+iuAQilxK
YOpIKVfLFiP/kGFyZ+EKEJkSL7TBt864Sg/tzqJtfB9eTLRkFsnSRY7ietFacfazrKkpaJdd9yEZ
YoACsoJ6Gl30KthJYrYGU9lp4KvAdN3wEWS/p/zS8rCBjOG7sOxB4Tb9aOMqtucJt5G8WECB8Uej
fm3w0r2eV6DnZC4yhfqU8ofg4O9Jf9xPzFixp0IoWwABvfkjD3HDk3h3v9zfJBvhCYVkPh1PHFKn
dawIFRSsspmiLObVmS1MAo6gQ1iqsGzL6QO6JsHOZ9yaLmhEaLj0C/h7tffnlEJcDDjDQxAi+Qnu
F8PbvvFnl15Q+iykYDBhZIjPTV+jj3d/sltfFZoEDVKEpigHr8dGnSzqltcV8N750uq9Rqqj1cYT
8A9V3omPG4ccepeC1wkvAjS1VoM1BBB/NgoDVF6gH2rFyp7NTE53RrmdEqoUlNSpbi8dxfVy9kqH
uWLT+J4F3OEMsqGxuyYs3o3Grv/HBmcNRWP0xzRYOhZV09WMAJhKdKlD38srCj0ur/QpdJeyUUQZ
QzE/8qSoBwfjWH1wmzZrRqfIcD231VLNscVVVfLDgzE2+h7M9nZPLT+MlipcDDhraxEQEYUhvcmj
JT+Zg+BI3TP5gcCoesSBWCqR2Wta1ZGnoI7stMAW9XB/W20OvwCpKFsTbNdnaDQLDDdEyfeirtMy
B8PsqUfeCPSnLQRN8dAPovIZXGQaHdoBZbN/zjBUkTSPwgia3YSrVQApakwx8drwEQaH9aMKluXm
Ytkfct9SXrMg2evjbLx1uVB4V5uox/DeXT+36rqqaLsVvicq+Kf3agujFLUD/TR1eJ12UiseNCnG
BaQ0h/f4F2MvqQ7l6/1F39r4PLhAkFAwNW6aEzgt9E1j1YIXjoPiTNYIeTZt84OcG9rOGbs9ycsF
SsmUmLFQ2VcLbCSNHhRDIXjyiEWFGvOeNuRM+X/sIhqY6KRx8SxS5df3gDG3XZnn5rKq8XQUpRQb
xzaPD2OClFSHdYqbJoPiRgYijveXcvmTr1+X3N+4RCximiCm1kWusIOY58+q76H7qzuVrqhPQVfl
jikK+TuBDsTe7bqhlq3C/F7OKmPetgJxflMx+motbwY7sLzbskT+hkJYUL1q/axnxzzr8s9G2yof
mz5XU8fA0d5wct+MCvypi/p3D3XvRSkaqjv3F2MryoGHBFS96FqA5F5O+1/ZppaYcyrWJf36VEuy
Yz8kyZuoxzJirajzfR4mUSqP0Mfzb6JgBaqNNH7+okSGXLtDZ8SzUwmllOxswdvKDhBU0hFOnbbU
mVY/qkkWNZTaMLw4El+nLnsskCE/RVajXaZASg+kB7/w2J7dIK3SL/dX5LZayDrwF28YBCNu/AD1
XA4VPaNaGEj6U5cnbhLWDkCk9DktQmBvqG2e74+4cbaBjuB7y7Vp0g1Rrj9BEPSJoFSV5Vl+CADc
EvtDmErir1Ka/r31TWWXpJLrDFVjbpDrobpygu8FzsiLjEx2FKHuXChf7c7n25wQTJMFl4Pu1jrx
SCKFJJUSjAdMDzNTHn68MKAavs2DwmPj31dPg+bOH0OnkLT8ekpoUMmqP/KEDnRAhWBPcxdJHA2f
Z3/vDbhsu1XkAIxNwOLeo4G5bpuIBax1U+gsL9O0Ljq3PRQy2x+xxrAxnRoLR9QjkOhybwZvIpaP
e4d1I3IxPmkWbwL+tUZ/UPswSbGII6IpzK4JMeAwK23lFkafOpDW9vS9N24CgOBM2KBhC51lFaPh
n8rStDzmu0YbnngMqajqR3s9z61ZUWyBpEVCzgW3um+mXqAPwMPECyZLjy5aIBVvWaQQhsXS8LsD
YkP/jnUnCps0c5Ek2Gi7D1hKNnLAK84YlP9ksakfy2z2n6jEpXvUzq2zgL4sijAUXjA0Wa3hJGSd
NbBHvbEUB+Rd0TuuqUk6IuLGO9XZjaHoDqLaDe5j0QVdDSXOwCOUSVe80ABFf5gHOh+UzDThdxk2
SXa4f+62bg5Ks9CslsCFusZquKSS5mFGucgD2Vn9HjIFMTBwx2Jixylv5NM0F8X4qtTDjNp+UCMQ
01uwp90kkWuqsA1s1sMolmK6c79v7FoT1AQlKPYS1ZpVjEMApUqyAAp/qgr151kMPo9aLrzen/3G
INbyrOP5hjjVTadMDH1Fwq9Z96RSDhyJSqEnTKD7749yezSWghZQDXDs3M/r1LPxK6lTF1RbZxbl
i6B31oRnV6QDFZ3j79EUqDvB9DbCMeCioUohRUP7YnUWE5QujUZCbw8en//S6mp2HCOrfCvAjdjz
FPZf4BrljhVrzU7Rf3Oqy4VPDQ9o9jqMN5LfKrHYG4Dcx+kEpKikmaTojgzhlk6k8u+qCKi3azQ5
uTdohN9EncTS6fBXYDb9fjwVoy+d634w/vlqR+5nKUbJCBKTA672YicjtEmNyPAgL8PzEpXgMa/n
H5bcF/++fqiWUihadj0d99U1qBpdn8gDcD1Us+VnubOARbcNurO1IB1nMdJ2qpS3aRKdRog06ObR
MUZx9/rarY0+DnWYV0AIED+P9ag+jChNOL3gjxchVicH4Z5/dS1XwQ0trGyd24hreN3xA5hhyXNT
0lOtLd2NCuxB2FDlYVGA/3j/6N0ecCBtwBeWDpvFO2VVhQXs0zH+6J9HPQpf+maoPbOUhj1brduY
vQzDFYviGou4ZgVPSovGJdy+c2GqQukIklS4UBLx4BXlZK8FsDkYdS/wlcsJX2skI5GsEhoz/zyJ
enpquhI/Jr3yz6FU7cGA//Q9r3IlZCtp65OTUCzXbuhrEmZnZqbX4UWYTEB7IfIcxkHsEmSQ6klt
f05ZOYxugfK6bot1ihZRp7X593y24vwQGFqOgv84Vp9zrcj+G3KKTsdu7qaCSkNa/AgZF65YNVS+
o2qdkTrxXAGGHRVTMN4pAd9MtoMAv1o7nWPVQOgo6lKnyAsUdjMZdTR37pLAd7lMp89K5Vf/DVMS
g74H2NWhIAWgg8g+oW28MFodYr2BXWIysdnyzmh7pxz86p0mzJS4sjkI8aqclezznA+IZM113v+e
46A+gyvSJDfMLQmn9qFLIXyIc/I6ziY0mH/csMuCLyY6dGapNK7fTDAQs9zHAenij03g0urJvVwG
4HB/lJstBAKTE8gZ5MUFknAVZsRQQKKgHQWvARP2URVLxU1nqXsOfe70+0PdnMA/Q/1Ri2CkGyyr
GSIDoWmgM4y6iQ5KX8sPc57tgQg2R+EeoJ60lAXWOf2cdp2OvgfFtCG1TqhICocc/trOXG5uN+Ra
kC9ZdD5B4d9UvcvZquPe1HyP5qJ88I02dSRBjr74Vhdf1HqM9rwNNr4TVW50cxfgGxf66uKhFdbo
Mx7FF4y9kaxtROPkg8Wzw7DfexXdAjqZHFbzdCnoYi7a99dXQSFNcgUsU/Dm0K8+8rJUWncppj1K
bTz3NsWNvnejtEsHqI7zwFEJ9faCZWDwGsvx+Crno/g2akob4kg3Cp1dFHJsHji4+Q9az/Ve62vj
kxOV0FlZ4i2fY7U20qzHYwuVzTOyPH4R6y76BrlS3JENUrY+AUPQ7aANCjxndUNKQSKklW5BrDKF
iCZ8GAwWd7LCE2Oq4cqdk340Z7vxIyRaJ1yvhHNA0x6PcKk1v2eRpYQvSh4IPYrvvfYFJyAYUyFS
Uco5yZN6suk/tsZhEAmeDz2KPYmjhVodvkj+mGiIxWR6jIys3GonIYqExgGSnnzPR7WfnKbXwCui
jJkT4VAYVA6a0VXVMVQ0v6DULYK1AGc0/6YKXMF98315zyF66yuQasr8w7sIpenrXSNosaThXkAd
N1ZDgm01XRS/glB6P4psfYWFhIR6EGLnN1Gkb+RBy7vc9ypVyH92mhI+lVI6qraOgP0/Y744CQDM
lqsVLU5r/SSSekQ+KM/7Xhr3CbTDWbY1Oc0eQdL1h/vzusnUl6HgSVCpomZ40/VGSL3zFZ/uxBSN
qjPo6D5kSWoeJnHuHxsKWychx0qnGnX9v/sj3xTnGHkRoCO4UMC9qQ/3IWKVgjlYXmUBUbTLKdHO
UUZZAO3GyhFMJBllPQVel2nzAc5asZN5bm0c0BI83BGFIuSsNs4gzSLXaWN5Wu6HlyHUZwc1gOx4
f5Zb6wuCQaRoi/QA9Knr7Yle5txrvmB5qlEjcYcfTX9KtTD9uhC9zoIwfK8Ho3EA5f1zxYD1peO0
XEd0OcgNr0cWCsBbOG37njbMyqmsFfE0gnICXVzm/1oxIH/nLHMy6KVRe1mW+q/ib6P2KPwt+9U3
6+Qxl8X8Ia8641iX/d7LcuOrsVVBhCxixrdlumkp0aG5ElxQFG8+VUqwMD6zfke+b+OrwblZ3iW0
l3krrNZOL+A+jioCdEpvJr8DuR9OeQ/D9lDWg/VtljKFuKbl4SlLSn9nx2zNcGFx/IHrLp2i68U0
EsE0W7pgl7LotBP8e2VwRRU6jnt/Zy5zuM6sgSBTC+CBTk+KWvX1OFY7Jzltg+AyQ/06gDM/z1l/
sKJ2PONpsuervbGiC48JDiGlDnbzakUnZYpUOQyiS6iU1SFNDetYdpOOqY4ef1QqufJkM6u/tBBI
djbnzQtzIanA5+T4EeZo+l3Pc0wKCxHKOrqkOhi/Ueq1U5umyQfolMpDOte/4cf7OwWXPxF6tbiA
ORHgwqSCxtQ6gk+ZDszQSNML1ITSP1BbFpAQMougsY3B7MZD2xRZfGyjuFDO/ig1/SUD0QZsrQ+D
zyl+vqM9oRL3Eya/rNm9GuXlgbI/ziGy1Wl22hRNays929RuVCE4ScKoK3Zt1ZpJGNPEd2OoSOml
7vW2vDRh7bd2YbSYpkeoX/4yswkugWBFXl92tWyXhRU9g60Nvuj47n7xA3H4HQUiNl1BBdbLDltL
/gneIv2aY1YQHHTEgMJnTcOPt0009ZUG7fxssGEh68+iPjloLVcf7u/Xze/Iued9C2L1pr5bWbnU
DSmaBdTI6Xtls9RKdiZbg2Y3WVDqp2HCvM0ZIYwqO0dy46riUc3A+KZSo/jDDvkrvqHXEiFlnoWX
2OjS9pT2SQCOsQlU7bVImvqJDT/8EMBLvyMt7uRHtF3pa92f/m2dlH38Z08t+TjBaXVfRZKSdoMS
RZcpTtrkJdW4tsEz0rGHSEJYsjsUVWdHwD35Bwz18f2IX5HoQgBtQkeqjP5t7pVY2HmR3La1+Vmo
G4K7R/oPiswqXOnj4AdNS6gs8qbpDwzUlE5flTBbRpqQkm1lUqSdJKkvW6eZKi21tUZXc9tMVWnn
Vbn1nYAUIyil0Mm5QaqoHYAJygHBRYaz7i5tzkNcTv5zmoKx8jMdf1Yhz91ohI2W0DT+ef8TLVNd
H3oAi/T90Hu8fcD4U18MtZUFl1ytK9sUJu3RJ6neOQcbmSgC4xiZgFJjU6776pPJCxCiFaMEvDSB
PaGJwijHoZr3Quf2UEvzlNYuaO1V8sIztDF8K+GKSGTr0Haj+qLE0uCiYVHt5KHbQ1FsZ1oQNNfv
5zLoyGLiILjE2dDibCWqbpbPs9313V5XeHPL8pzFcQsLzAVsdH0j1EMa5gX2h16aJ/oDujP5QfAV
7YMi5M3zGBUohIl56ogohB7bUYLppfjpp/t7ZfM4g/jnJbFUIm/0BiqcxaJQIpHppMn4SpszIgeu
6vJdI6YxSiZYxmanMVFDMN0J4e0JP41idotAGb4WqiRYtqznyp4h9VaQZQcvxhQ4Ld3AU8Ukmw2i
SHDhbut/IMU+AmVPA/Gj4bfNA5Ka6E/IA0Zw91fjT31ydXQQjeIlQj6OF7mqXH8SPCd7OohCdKHr
ggZ9hXHKjwJc+vdinMSvudxVr/1kpPmrHPcFyiWV2Ik2bL8YfZ205lFqta3xigJO/HFGRje1M2MW
vuMN2OdOPnfSB6W0ptCO8qrqbVEZBNVBxUbqXFMPJ6oKQlkf+0KVIQRbXKzVUDaw8brYeMMTIdUu
Ctw/rKbCGt/acA6bb7Qv8vQhw/TwF5a/PS//1CgPOML9gaojc+OgABQCW5/S+DWequqXEEfF8H+c
ndeO3MbWtq+IAHM4JTvMcEajbFs6IRS8mVMx8+q/p/Qf/Bo20YR8sLENS3A1yapVK7whqOEBAJBH
7wRtpDLJjHNe1VFHZFzqb52r1ZqPgH2LLltmlO8oDZX6n8616icAop3xMV7n/Fya3do9td2c/WiT
wvo3jZPp58EHuQ1lr77H5og08eIuucHunKz8mz6mznkRThtUZr4+/PFKMLKBrMPiZMC5jTHDQuE0
kQeFiwnozRrx7aqm0TlV6Wy9u7+U/NGbTSbnGtIrk/GQsy1Tqq5FgFnp03CsvfqpX6HN27WoT/dX
2YlkqH9SCzH3QsB6eyE6gGCxHJizkJb48LcZ5elL5UXppcI95yDNvNUmBShJkgmyBTAB/7QJ0HRn
0fO14iycFK/91k3q+nWBWfiXijDIx6Hpp7eTaMpvWjumzUOqJhM+S5MxNOfJdKOv9597J3Rw7/Jm
KevRXdhOjhILhPHYkp+AfRMvbr+iQYQ1y4WJr3O26kz/x7MK++CT7hQxrks7hqgBQvVG7UF4hVK1
tZaELVpbZ8gIkDsQQH6JB9EHeJjEn//DQ8pBHG3KHa4YwlzDGvOUYZam9JikWvnHWKsc/rFIoy9M
/+fVN+lCGQcRcm/vushXMgMBNHKDuCEWIu3EzDZMKHdT36jcFTvqxP1w//luMWbsKOoViUu3MJ/Z
3sMLvuS9oy9JKJIIijIAwfGTahaIdveRiexZExfvFDiYP9oqmh+7sSmQWutwZz1P5dQGfa9m2qVd
x/bgQ++dKslNhMjAZr+ZE8Y6VAkxJGT/upa/TIozXafI9Z7zNT+ape28aim4R7FIHiK7U6/voiIZ
7apu2iTUk1H96gjduPQrLMj7b3rnuHgIzMJjIFjgGbY5uphYt97qmXHY6lw4s7Ge0iEKFjVbgiiH
cjWg9/TnkQk4B9csLT9a7NtQO80Vqps9VqaVVRQn047Vq60xkLdR+TiI6jvnEmwtwvN4LrDitrmA
mFimqMWUhs3SKU9j5g4va5opS1CQ9feXSqn14eCE7HQYKAqlQLFE/zBUfv3ZGhC9WqxxQlSjEG9a
Mu+PneMuT8iKqmGSJsOTZXeuwoQvU4bz/Y+5szvloWGeJY/OzXx+1FfbKVWbNmJjlFfTSb+MrVK/
09v23/sL7e1NXCXgpoBeBwqw2ZtLDspolMezRmv4LXChbypwg4Myam8Rkn7Qykhh0UXcvMkIV0Rj
pRERah0+OzMKosk5MUxxRAPdOwJcBhIAAwrtZpMollalSc/DDP34saUNfWV27VzMvkgFREa1CVIB
t/pgn+x9K2pVkGLMHW9x2HaFbhlOfUQSxYzeiWYqA1fDF8aulyMT51/RcpNxSP47rTxoWATWTc0O
Y8PoYrspQki8c3TRh67N3iKTP/xPmBbKj9BHkO+a+9g8GfQbHZ8ZRv+uQW0C8OyafMmyETVJJ42a
bx1QoR9qHA8fq6JHc7GsrKb1J69xjpLx289vMZeR2QRyxcAy9NcHiSNkdku5FGFjuFgRDZF2Rmu4
OWgc7K0i52aq7JDdzm1cbyDZdWI6ZFOVnjJ0Uc5Lmzd/fDDZxgZdGz41RO6boDAkc9L3LZKMq11c
2PDFVQitecwFbIs/PZoMa6CTyCEwQ5vt+LIVbqZ305SFjgKWvim65izq8khd6PbMwJ2iA8Rx0Wi2
b6eB5dIPZdxnWaj26L/6et+ufYA+hvM26pnM+noza+I8Ajk5gmL8qsFeb2YmUqQFck4ESXI7C7Yp
plCWTMsQfJAhE5FOd4NRH8R8arAFSfxMW01vosiK6+5KP9a2fUWd1W9NoQ+fK+RBx9OUDVAquU1t
hk1jV/5oy17DRKqNEbxLwATEz16dJoBfgYn/Sxtyfmuhn2oHkCLMt6aXpB9azUYvpdU9AZKiLo35
tPZage1f37v2Ga1SA0h5EuvLle9VLUFarCi3W9HoFjCYO1PA0NbKPnCFlGYputJMg7pRzb9Wo4Yu
PXoWISerFwpAsxAuYkIW//r+XrmNQbxKi7yd3hkyd9v5ArB48JSGzvVY9dm1wOb7rNdNHtRO7h0E
870NI7n28H/B6twI5DTRkkyKMafhjMCpD2LV/m7mApyvM4qPcFJwaJu7P8bicgkyjyXG0oVDCXoT
Qsah14w2J00GOaI9dAuEF7X2sISbdeUEnLM9OHu3jT/gKhR0NsUdmOabjk4nepSOqizU3NoqTmme
mD8yYUeaJAPmKMVyA12cxaumM4gX54cet8iU3/+mt/mHNNsg3cEwbU+mMktypYtG8o8mq6JgjJb4
E73o4qlbpvLZ7tX20dTFgKwMv/9g7b39RLnJmIPXfosoFwCxFn1i7aoovEDiH6WGsokqbnHU8N2L
29LpzKYOoRO/fdW50lLilOynCBHh8+xWzUPtlf1B3L7NH5HXJplC9YSOEMpOr++gYjFWzq2dh7pS
BnVRlteI/ruvtki7ALs4yMW1nfeH55AsWnmkWymMOCtyxarB0MT6oKMMsMT2Qwb67ZObVF10ltFg
PllxB+/YHenm+KLNleexBFUk0rQIKgXrwgd7QjYsiCCqP2VqfCSW8gtWt4m/dJblBAsIKBfn5p3M
MREPXTPushhngOsK/AUkDBMBbJl65MGfNaTn1HM7NMPbOJrNPgDnNdbndGiKTyoWjP/DCrhcn2w1
rR8tXe2lrLUwMSlOM+dsQ7HLTuqYuhAQC7WpHwv6X0qIT04xBq4r/aAihFjmcxnZXQ42Mxu7g228
s7cAGqEI4sjSE/HC11/dppORLgOfQUMN5JNZmp5voCN9INDnSBWn7YtkvIpZJ0wHEJObF7kaacM9
DtDIc8W8hCl68Zpf28zHgOYplXgC0Inm9pC2lvbeampTCYyc8YXfWZLKpgPLK1HzWqYoyBy1+hjF
q4moB4z02Z8Htael25kDqnejW/s6tgflxRsAJwZZXBUiiOfFfUM9AoRxsRt1DQY1T3/kvTkwilzt
7+WwGh+sepkMXwMil/pql6TZOddn1z7Fg2J1p66A0nXWhtbWT9PIeJcuizP/VQujNINxWuKHuram
3i9TTf3aNmn0b9lE9otmL7g4OIBiP6VTYXyHQo+gcF95jfcUVYg3+w2Nz+iy5Ov4RaxJqfgEcZQW
iljJpnM5QKh9dmK6g349TYo4eVgpfybDUvLLitHY45IX6k83qpzJV0zRfy/bceH8gt2M0UJBFd2n
s5FqbzKznf/SBM7rFxcCvEVesBhH5e5Od4wqBogWT0GT/eaWXewEJyK0wB9FNyPNTK/0lJkiDmK1
nN/KPuGL12U1E7O+elMq/XDqmaEEjjPoB9HsV2W93XGgnWRBBY7rFoAf60aZT4v7iGiJYZ69eEya
U5t1rXhZvbnlZOlJGj/lnjdl17InO0DhXsnThy6bheX3vTd5V2Ba0XIxjAkN+tJBWiVHJNfyLVrz
7jNjk2X4V9VE2gcIJdH2Ltkun9XB6gocYNcEyfhYwO+ZlVGtPzSDOzaXus+n72XhYA+A7rlWv3Hd
1Xtjr4ttnkRii3eZpWT/uA0Gr5AxzLzkr80dv7wvlyVQOmfKfAU1gS9pvar5pXTUHrj4klKYrIlZ
Th8glXNgFoTRq3BchjqcunTAVpgAM58Kb9HeqsaKXZzjsc8OgslO4kNxIaE9HHMSA3nF/Da0HVvE
c9a59h51FZfcVi9bz++psU6Txh5Q8q49JWS6B6vubTqWRaACbjkDpu14LqolYFco7mOCPIGf2aA3
prysT2kzMM0a6iJwyy4K+o50VNWb6QnVLXE1uuUIYruTj3A9U47wW2D63uBI0FjPGH3wQ6CWnaY2
X18Ufe7PzKKsl35QZ1TtS+diWUeN4J3LVJfaFohBqlKzexPFHXADntHIza561SXqMjXIWs+8SKnG
6/2ca6ddyUXFzJBOCJ/6plUxV4xaTXwAHt187t8jrIPtb+aCwfY7Y2UGbJf5+j5LRyT3nVZlkgkh
bEg/DZOyfjV0xBNaxBlhO/lxGqnVHyPMwP2TxUiGJJX0TbNmxnJlklIiriKKc56Wa2jMU3mwyt4+
l5Mz4hskkRucF39Qlgske7wNM4XhFsDZT0vuCXl7DF44D7mDI7OVpEeZoLaTdUtmA7N2C/TrDYIO
ZP7k9G2iPMZR0c1nQ8RSNLH0LLAr/JEJQr9vEA22xuX7bKXzv8Si/gP7huFqlS8apr2J0XtnW4us
9oFsM9dPkdOMfy8AzRjmOZlycWfB/D6jJv1wsHV2f72sZkm3gVRv5zS0kydNj+GnNyuRChwpM20r
KzpAAlppPi8GNhaQP+NLU2vq0xzFuvCpi60APpj5MuGVEnTKqLz1jFm5rO6gfoyXbnoAi6L8Y5jd
fE0K5UjTZyctRjCPG43aGRjqtvofvNXpvATIMXGkeMzWMrlOjVn+m81z/iktFe3gJe0cZQgyUomJ
7sltuzHJWzglPetBnyp+FDBM2qAeB/Eu5tI/Yh7sLkZD3MEHG0WGbXu6R9kd4zpbeVzmITvRgsKl
BVeDB6TYrMv9j7+TaMJVJzRKhNatlGON/hsiMTwXg+Q50FbcDurFMg6q0r2vJTHO7Ggeh+/2+gbi
CUmnkooaoQB60rRrcTZpEV1jEqFTUutHGLu9F8htRxccStpOPxUqisAeJHqcS3s4WWRWZwUfdR81
jT9vohLZpQgY0xgNK+5NY9OMImcuYvlo6dI/w0xVkV52Mf0qxvQgvu0+FUBd2neSJ3YDDegnxqxD
rjyazZi+GRRvfqRr2X0ttcTx72+Lo6U2HwyzGS2Z44zjhSjLxVFdWmtwiT/HUfrHsud01rkWbP7H
tBRsw+u94YABnKD5Ro8ZljyJPyyGCDB7mR5mhyBy/7F2bgjaIighyIKa+ZmMhL9lQoro9QxMCXzz
fIjPnblmL0k5ZifHWr+2Q/Kv2WnTwcW88yZ/X9Ld5ABTtVr5bK3eo2an0MNwt5s/1minjiSn3RGE
YO/5aBeAWfmFdt6mXK2E2KiYQTw2rl29KDjUPOVtZz5Vdof67BRPXIKrc9BX23tC6Z0guy701baA
Vv7l2ndD5OKxquahnQz0XutVv8TWVB9sy504ghemFNZiuIXO7WZbLvi3al1PSlmPSn9akWU8TUaP
cZ6ZpgGlun2+v1/21pOirBLDhqr8dgYMOzgaxgp1h3wYs0vaT+vPqbO+mH2vh6k9egf1+M6bpDqj
08MYlHR1yzdPtbRSCiGxJkmCJrGFpUGJ8c4VackjM4rdpfhWv+7PWx7tXKfwFmEbhATf6dmorOWF
ro/9bnDhGt1/iTsALwsdNAS7UOJgpL6dB1h2geuZHUn1UU+7zEupBM1cmacZXMZV0ZyFQmSFWAtB
7UUYTf9XOeVVoGuN8hTHdLzv/5y9J2fsa4NbYC/dTKKMlvVrT4dcherpeYEA90BOp5xjOrUHqJSd
44j+DDtHXntcf/rrcDOKMZqcEW4fXmjLc9PV8YOWKupFrHFxFp31blbq7AB8Io/ApsAGFcA9xLie
/umvls9vIU7tygJh+0V5zLoqPntLlb9nFiEO9Ip3X+Jvq2yerFHL2sYtSXkc7SylHsfW0s+8NvXR
hQa8dP+L7VWS4PPhvvK1pJv35ooYomI1e+zfHqF5ON8wRbceJ6QoTmMEQ4BU1DPetTi2PfXR7P2l
tbnpBOlqACVroz9muVNdQLiQ0wrKjJta2hAU75lBatYsahH2tlOEXuwdWTDtvl4k7qR8DdT9bcWq
qJkTZ2UTh51hzaFbAKJxraR/8bzyPwzreKdQAkiTJF96824nEIVZ2wKidecECKbuVQ/FWH68/wV3
D4JUfaP9QGN+e0UgROAJNwIaHeFZ5S/OgneWneM0mCGDOxZpFwx5cuDTtPcOfwVu4DtcT1udEMBJ
2uwgkBuaS9zRG9RrzGF5m3kEafj+4+0uJUUliG/837YYqQmfBfpl6EfDwAuWJcdso1PLxwj5toN8
XX6O7fEG1IFINwSSW2A3EzRRqy21GgKtxXUYXBXJlSG/IKKancphyr5QgFmf+3j+Dy1pwIk2ySdI
FsnmeB3MphkBHcSiieJJ411rJLdOTjosBwOIvfBFgUW7hHRazs5er4JCvzZZLkcd4DFaIEJRH3Nd
zw/uAG1vQ1I4SiUCrJhg/b1exhk0xq0ekmWKsNbYR6KqBUXbj4vm2/gXiYfIWY1/GZAxSBWrNjcn
0S2juJbFasm+1Tw2PpOA3js5ngOcVu6NxK+LtfypVqvozrQ39aNR0N42kyLK1DV0UkhhX/9oXV+T
Gbcu5bEa1SVcXVH88CrdONvOrP2HA+sA3WeKhyjhDZoQnSwxqU1BQ6Mu3ZOEUfmprQ7Xpq/GS54v
lV/WdXbANdv7KL9s39Buo0vvbnYYyEYvESpwMyWaRrQfNSwwMYI455by3nYX6ApQsv7D0ZVkeJvy
lCbdtjPl6fBodDzLQ0eLzY95LdIAJW7xY3HWL/eDxM7J9X41vVmFqnS7s8ts1ZouA+amVCglMU4w
xZORxtoLxmge9pJWXH60e7NZr0BLjwqfnWNFbUqApxNJp2cboZwM8yMcYOPQmgHf+ppQwWyigKse
vM7ddeiB0QmTOJNt58KsIztpOwuWvMibyR+tyblM2LZ///N3Ke0Bwe6p5Ffbd5mUKEms5kgTE6Wk
kGEzolYLYFDmvVGI7HwfeDE0QSw/jsr9vQektUg+64Fzu2nN6Ay77C6izSqGcvzAQKuFbiKOLuW9
jId6GP1yBGgczuAmDEb4ojhLC2U1SaQk65q2nXuCrCA1dptlpY05VY1zLjOvjHyoKdNM9zaZGJas
xuAEhqiM5iCZ3XtySaQFwwBa86aZXbtzbGU17PvSVJeXju4DjID5KDvffXIKPIoFCQbl+V8HOatA
ILGBrPIIO0J7mOlMh3hm1afYhuJhFIoOHrSMX0DfzL6XDOOj2nvtaZjc9qDbsvtL5Owd2wQghjc0
u8kalJFD6z4WCkompzIBwgAv3ErbU2Uvjv2ABNGAiKPa4jitU6icG0RaxMUAauD6uWJP2cFP2rkA
PND0QFdkLXqjSGIBrRSLlUeP+ZIWFwFK59nIZu0iwYP/4WuDSZNqFwD4b3SBy7WOEBdL2eeOmpyt
vs3OytweEZB26mukE9FTJp1A2HB7o81LFRldiy+FnYOgStomfhhVLQcCJKJTs2Y/7oeNvfcH8o1X
p9Otv2HoeRTTdVFLZ14bir8qkIZoqhEHmTEv/vwukz5+EmYkycXbzgH9iRZtqlhBxCyNrp3RZYpv
2qJ5HrvVMshEE83wcytZ/7r/iDt3KGk2UZHUBKWlLc6yRky9xz2VUgkfhqsYFBG6zhI/RZmL9QUS
BOHcGUeJibGDI/AglBAYCPmUW5ubO2mgt+MySX7fKJV5ThvEl4I0QYuF+UdFOQaRcwgHPL0NPzMS
8WMQLlZdTgtIDipmxEWv5qZygoTiLA89VI3cH2BB10ErxDKc3aSY3i+rp4A9ETlIUS0d5szHiiP7
RntxZrJermV66ZE/+gdrxjwO4PuKL2oP8+Rd540jLnOAoB6yRrhOMBLC4oOUcu96J2ShO4uYJQik
TdxylKRJ26ah5awkNaLys5M/t0vjXVono/NcJl39mHi5x/ynSa/3P/peaAZC78LPJzzfKKwWFiTy
SmsR8db19Dy0Rn8t0+gIRbB3WD2DXgjYKrmU3Hq/dRbqkvm6OnH1KW1WPFiqUMGpYvocNRYWJ7WR
H/QVf6GrN7UOl+z/X3Czq0SDxzDEA1RPndqmv96VgRTofhvPAAT5J883F4yRCgBvvh6h8+WkTEru
v9rdh6YFSJSi30jx+vqhcRZHRwVeGiGjad/Oiicu6RrrgdIalh979dGk9DZEwd9hmEA+6iIZ+GvS
+NtLVtouGxM0Y/AvGXEXHk2Uf2AlnO2oOCqCbkPFq6X0zaPVGQAjL5Oyza5TfV/LdQo81JQCZnfG
S8ecmndcHkkFyQ7762/KQ0npZkZ20sJi801bMmymm3zTOdN5n5EHHhIQytlNo2L0C7ur3+cx3T9P
6TCgKuw/NsWVjGEQpRpHFPL4tvDLO8tdZ31IQsMok7fJvFbP7tA262MGuDU62MF7H5NzgvwB+rK3
Uljd2E26gpN9mMdx8WJEXY+bSjS/K+o+O7iv95aiKkSx9xf5YttqnM14MTNRAG61vebUZy4mQ0gV
nLsc9ev7R2JvKfpfWJW5MM5u6G2qqBo17mHGpkuqPC2aUvzsjLE/OYsxf7q/1O3powdGr4EUTArf
bftGxVAqC9cOEGtqT6XjtrCMKb7k0ZSfaJKs5/vL7aR8rCft16QJGrmf/D2/nT7RZUsaT2jmIpXo
fhpFFfnzGoFGVkrtPA7DAgLNNi44MiwnjK7y5wYbq2DONeOgDXJ7m9BqgXlAJwSAOe4or3+IXUzJ
2Iz8kGjqs3debXmBYVObIlvgBOa8WH7aKmC/q9E6MPTY6da/XlpeNr+9A0SOCmscljxsV1XtQOp0
TW+dVSvP36wuGn1+I9Z09Gk9QyAuNWGEA6YCTTgUkXrpuJh73l5rHAWOndsAKxo0LxA/5AjfSBrM
A0Oskfo81CtsI6qqs6+9sqaXbJwp98qieTLGLjv14+jy0URyzepJ/Q9bX6ov4pBHjXtTw3emhl0F
eyTMe8sJokqoX7Rh6AMbd7OD77C39en1SOtk2rI3kJJRjVtaSBCp8mb9GymFSg1c1GhOStc4Hys6
CQcBZPf9ksCQrCI7jcfr5jowEhOtCktJwigbioueaHS40qU0/EGL7FNtRObZEsStWteSt1ZLzxYL
InHQP9h7ajIZieklf6XGfr350Kl3qy6GLae1mftVFb39dlzy6oKsRvdkksEdCYztLsj7xaATfNAN
lcPRsiwqPOKm5rK1rFItPixKVj45k5K8L9CGPkjV9i5dCh3kFlB4IIJuIkydDLnRYHQblgNKFc40
4TJYzRjVVUO2UNqO0UlkpvHhfmDbfUrQHRL/+avN//q1JjGZfzaiOSS8cf4yN0nvV0qSvUxWxLA2
To+61Hu3PKOaX9wYqE3bW1ZvRan2lZuETmvjvjchFaOV45fFjiw0+csV48AkDxaqZb8qlp/3H3Zv
J6PihKQ8zBLi+banZ401bXoPG8uIORXugrGGyKWmoTZ0VXp7vZTYZoW60J0LRgHTG9plxodqxEr+
oFyXkXKT62j0Y2HXIQqG+PPmW9utNSfFPMRhwTzbLxBY+NhMinqQZOyuQpUJjNvg0GzRWy5v2C1c
ZkVL2ho/6cx9bpEk/Pvgne5cSNTpOGcx5qePuN23Bn2PdpAWOWqlrJZPm4g2Yrqm/ZtBbfBxXugQ
hKqbOP9wcosc7CuiqX41gi71iwHMr68k0Sr8xWMz+tiGDnGw2niO4wbRWv1pqEbpLVnnuXJ0qcu7
cvsZZKuOILpn/FWQZ3tpqVGK22brBcqUrM/ZnHTuNR1SU33IyHFqUk+9/ycu1dE6Oe6sPmlR3nyL
+yF6tuvCLU/kAvUf2w9I+3OyKATfAZbdtDEneBhFZSmAypR4usxtb1wSsPQ/9aJW38/VeiSEt7dV
yFxoKKKTIHndr8MAW8VRRkSeQx1eemjpEeJDAxzad/c3yw4/Dm1+EihQSlSLN/Mw9H6UhC5YHJZF
Vrg+JLnkWxLZ5udu1Vt2QhmhZgg1Kf6mD442v1EWo3xAs0iMwQr7tXsxljp3znopaxLonfOXxLFB
CDSurrgPjlW4AlGhcfkHlL/zXYxZr161mRN/st2sRfhgLcuPtRthKOoz03H7hwlFMe9cDzV+bxY0
VNdfMZ+YLtOMRMPD0rvL6i9mXT+B7vNifxq1/GO1NLr9Rk2yoaENO8TiqoOV+OrwH8n/1yfw04HW
itg5dw0p0hm+TBt/PHiTO1uX/FfHixHY3E0kc/Q1r9elh6GrLkYIett+mbqueri/ys6dxNyQgEm0
ojm2jVOjl9YIADB3abJafRLN1D7ZVdqFxZqXL7APP3t1pP1zf82dIoKyiFACLoRx4nbC3Y9Np5c1
Wx+dhSaYS7N8bJkBn2CQpAcBYOfyAzoA6ZhZOpLB29DFpZ8V7QpoaGnrH43njnzTfPmI2Yf3Noq9
ajhIEnfWg7dDz0BegAy9ZSj9LYFeIjcGVFICEYiMBQKlhAxc2kKhYRUrhpgD6JZq9vn++9xblKGE
TJkoOG9mg7j0Fu0yjNFjnyraeZ30706ydr69NEgzNuuRJcTO54O/wbuEOUpg3XbpWyftICgxnxhE
PZFvxzJ687ctM6hTIzv4gjtxCzAnnVvuyV+54es3GptGE6utxH/ULQoRKqZ4YAaNg4t05xUi2QkO
FnURCebeJsAmJOzGZrwqVIYol1anO/HRnrwECLQn1vrciDq2T/e/286L/IUQotakXQs24vWjYRhr
dagJKo/tZLZoHq7KJW8yxoMUuwdvcWcp5ipAISQXggHL5vmKbskSRMsArLRjfXEoX9+MjZGUQVsc
Bi5955PJNJfiRYqL3fS/oYDair4aReigu1ydx0iDjmmvqjX6ljUK208pI3+IwUm/pmU5lL6pjXMO
Tasw/83zrH1DxG3WkyFgLp+bXEfjeY4T92IurvYXXB7XDhKv0T2IVwMcIWXqu+/aqKs/DTe2MUyp
s+mji5vWkTv53nORZOl09mnp3LRazXmgQzArediknkDsfmlOEVYiBxF5b5VfvRW6Hlivbo+XyU1k
zTE1uGWuxUMzIXHjGctRL2xvFVCNsMJIUEk/5L3we6CKtTh1jbEIQQL2zym8rKCr+yNzxaNVNuFw
aFlm0rsiTC2gBMZsJxfdbtX/sLllOJK8A1Kc7X0CPB8mO+SSsClVJZgM+kXM3+qLCTj1IE7IH/w6
nwQrQJBADPf/iVu9fm2gRuauW7M81KI4FQHVhDhHdul+GDW7jE/GZDkXlH8fDCdPDor02yNMlk/b
9FfnEruVzRH2yAttdTbzcK3MCmOnVPUNc1zCRBmWg+Jl7ylBLTLAciTQdosLSxCfq6i6i9BIILld
ky7rhotwZjcOigoC/Q/dGdErMEsjCvt5gYB7PzDurs+cGdIzmSTktddvORX5xCSat9w3VvVkrlP8
Qv9U9d3OSh7KZM5eoLGpFxhl3cHKuy8ZUSsw/RQNN7zuXnf6FJw4K6+qtgZ4xLvfLRifse/qzdG+
vT0dqAJx/DCYYcmbPKiammLoUPIPU8jYeMwvyTPMvOF6/2XeZngwBoAgEbfg9994h2RGNTHnrSBM
I6lXod43W+UJHYKu9seoJba2SR+9sWm8HA2NdlqqkqyAHgjqdSSX230k1LgaOiMvwxoJis9RLeY3
RZHZ6rlELexH0lvj+76rnBMK+8NTbihxHuRVURe+7eIq9h8+LW07WNVgaG7J9DGI6gxNjYLeZvOp
TUrnMbES/QTrOPn0528csIREico8cCv7BMpY7wc7KUOQ6QXawp76foGy7ntF030S3lBdHFCQB0Pn
nc4HAjsoP8lBADKC2/jQjS292zIuw2qsm8tix2hMaNb8bqLTfBoc/efSDt41Fz2ijEVXnel5HM2C
9zY0X5qdRt9E1i2bc6tMEXoFTh4KGuTXoXWNIAPXexDud58UVAJQUpAotxNnxXRjTY2sPJw9UbzH
6HT0fFWfvcwvtCaRKPNpea77ODm7dlrWftXY0+cVB8MjcPJt1igBrdLGHsC1exMtIn2Cro7NXYin
Sr76jeFM35sc2ifSmXN8rrT8vxxmpmcEZQ0o9A0NSAxoCQ/kBZJCjHuOy+X6NHUM/YN8iuzWH/J0
zAOhj8I6OD573/b3leWf/5Yw0P7G16jLitCtlfXFnFo7xLxYHHS+d1eh2qVFwZwO9PPrVWYapHHZ
RnzazrOqEBJghM5pGg/e6f4Z3f10gE4QeQL8dyPqm6gT1YbHFReZenuxjJ8oUX3H6EsPKg/p5vuL
7YRgogFxkB6sLA3110819OocO7mRhfmk69kn5iT53zqOGfrb3HaiK0YI9aOqDvPD/WV3nhFqHyMt
4gK84G3LpzcXkym1heZ7N4CAHleqgyDKaIGlet496dUwHnR/bnu/iJciDImCLdqBN4LvwDrHJhX0
mu1qorvuT+2kt8+u0iugYt16/LCq+mhc2iotkv91KFL1l3KKe/PTnz84YFkpXEh7/+bjoqik5yyd
hi6A6DdQWutTo4sRmFwdPyfOcCQKtTM347kB0qNHDd/9his0EhAZjaA84xoDJllJ1JzGdDGfhbv2
V+HYWIckOZJLi94FeOWIACvcp1yJtS+kdePBZ9/bbfLeBV0lwVvbWxeR9sE0aeyEdZLT0SwGUykv
Vuctf6HOlZ7GwewevUaL/1x6ELwzfCnwCxJote19xKi4RXnJ1CqOo/JkrlVxEu5FK4H7p+Pz2Hvv
jMypDq69nYBBkoohjewN3A6kAQqBYBg9RmVqhHxL0zsv3lofccF20kJWQQVQSihI1bzXBzjx9NKj
UELw1FLSAHKGuKzaEp2WEs/a+3t3bymIenIXSWzytqVfAWipnRURJ2+d4D+1vcD1Ke+9CDXnEQfJ
+6vthQgoShBsaPBLRPvrB2sVWMZdomRhqc44taWgW3oABA/emn5fwVX9edSlPqM9BhiJ7sA2R4mz
tTZToWeh3pXtI2Nu91RNRvdIiZifs8jqDnLfvZdJE062o6nYbxBxFSIig66w3jh1SZhM0XruUdU5
1cgLne+/yd2lJDKTif0O5aTQ5kVJkUkPlZKkpFkr/ZzPnfZ3jw/TwVu83fMQynTZW0flkyi32Y1d
F3te1sx5iCo9+SWV51nvoUPef6CdNItlTOxluEF2ekZA8G02vs4yCAwH2MzmV1nOnBsvdqH1G+47
5MPaq4Okqa9os3myTSEObs7bC0X+BgfHLyp7VPc2GeWc9UgJLWSUljWwYYjiD/OoLM8Z3zuYGm+2
fOJ57eP6hbbOkh1xoeV//3W9z/poDaJOy469aY+rfWyjMOiSj+idyHzbFk+524lzzHwvGED++GOz
Lu97J08PTubuR+Zg0kLDu539+Ppk9lo3ILNe8vbLpD+vyKZfu8o0/njX/mqMMy2VQBPYHq9XAU5a
pW2OkNWcKFFQ87eCSWjOKe6EchDY9l6lhsQl81Ay1xtwt+TRK17fsFTU1w+T4/SX3pob31FXD97U
rF5AUU4Xq++sI47WjkAKj0mdrVOVwfjZVmRda/aaQhsjbMfKeT/XZvajHC3Qv3ISMV5pTWLOUSRK
+obJW9M+eL2TnrkIhpM9d+mnbk3AmiDu+MctHX4WYxcAR6TWNziP2BjHSjEs8sLYbheQW1n0YUUW
sjspQgAavn+g93YUrALg4+gwQDDc7Kg5bgoHu+gsjBDPNnz0sdxPrdt3fy4ByFNxWAHESpLVdk+l
DoP3Na0zqv5BjJcMScfPLuLAI3od7vxU9yW1PeTkIkaR0IgOKghd2zmyKA+hNwtk81ZK3zHHoum9
MgvXdW3zD3rZz2iWGfEanzSpPPh3OTf/x9l5NEfNtG37F6lKOWwlTfAYGwMGDBsVcD8otXLWr38P
8X0LrFGNymy8oYoeSd1XX+EMPVJOuRKjLTYkgzr5Gkg2zVUVxN/c2NbLCF+EJC9cKQYZ6I9GYzdn
Mc/NSzuqJZSMruzRc5wC81hm0xifZbnXAnee9EjbCYDX1wrKbAvngnKIvbvubRqo3mZFniaXWlaz
S5aOo9/ahji3s7a3PzYDPthxjglKOrTAVsFWDRylavo+uUSAqd4Xva6hVIZK1WFCn+0QV/H4YBsD
ck4Q3P5ntxGIPAXbpLfvUjSMkKSDo8ecaRWRkjbuQsNAQBacYfs4zr3kWVlm7cS9rbNAjooXHVN4
8sZVMxVJ4ihvbWALWVr1d4ZVS2c0w+y9BsHW12MNhDD5eOhxrN7o3Nt9gdwc09VaMf1Ijk2vaWFs
OiK0dljZ15kcDQiQceh8AUO/UtwiaA8QUwaynLlsHxQE4rFsp2U59krvz5o9+be/0+ZuASvJ1Iw+
F12c1Svs0hHtxcWJScya/BM1oKk/tFbe6/dCsXLFr2mGV65AXVC4Tp4W1lPc5fZ7OW2hMN3+LVuv
GU3epc1JQnRVedCzDSV7QtI9giTk23odXKLEsY4JDnU7j725FDU8M17OyZVqog6KBDIosN4CrGDv
K0JulIcBnS8P8xbmvrcfbOujUlfSOuWDXoNEIqxRZEtKKalaI/dGIE33YQL2wIkD/RcgzD147+ZH
BR8C04h6B0nq1R2hliiq03LD+SYYVOGicSjutVbXyzM6x3PqDQXdA9Spwucpj5LqUAZ1eE7HUtvr
z2y8Z8SVl+Y/emY6+dfrxKThrQwael20TObRy5QZRxngVsm5z4dq58rYXIvgSn3AKBaGw+u1VNHx
qfGiuQBvVs+mk9QHx4JPlyqQUG5/0I24w6iXfhOrMEJfv99wqPUIGjHbB63AU5Y15TGQgz0+ytYd
SK6DsSjdGK7CP5/5r2adNo3QdiFQXEzUWnUXQcrxF75SyneATfajpuQFVh1DoOb3XdGXXIZ4D44/
0FpPnANq7eXn1pnk7qAj338u6jaU/aFMhlRxNWXCFlXRUa32Eirv2sXcJF0APLZ10KdSOG8/2kBg
KIapvdFFWWdueI4zYUa9+CKZGpa8la24IgvTc2oKY+dobxw2liJ0cu2AQV3XGlkfa706xOJSoC/+
oEhda3s1dKRvcSeNR00PJmXneG9tPCgukIZIicF8L7vlr88UtTNqHRnZNy4V00PX6PapksIW0cTO
2SknNrJvXDwAnZL/gslcP1w5FXMPrY8pkB3GT1LuJHdznZrFiZevP0CZsy7MNSvsKOEZ7nzDrU1P
EUMeA8qI3H958X89JlpSQDcy1o7R8ThMgDEPrRG3O0+49TIXZSyudMIl9+3rVQqtV4J2maY5VVaZ
LrAmA412Kfltznqy01fY2irgSMG2UzNdk67Q1EyQuW8FPm1mcojVqLwfpfBjqfaFn1v2sKMNtLUc
MIoldYcUwI55/WgD4kPlAJzukheZ7jfcNl/CDnqzpPfpKdOMvQHW1qukZUwOhmYUg/VV2mLEqVXr
eiYuM7r0fqoOgc+WzP1ck94+MsIngHYQrUM4/lcYGOoVtFRAaV3koA/ulbKvDkmY7Q2UNx8IsQeG
JoCkrlQOgVd3nW7T5mqn0PJGerOPReno7ow+7+fbEf66+8oDQcWBwE3P/apVmPYF6KhSpBe7buej
RFxkBhbZ74HOZqemadI7UQXym7ugLIqcBfkycfIKoZuD4KuqMCWQVKTKRqj03GXlf7efbGsXQkqh
L0mmxdhrefK/j3GGZboKZfaigeKFgl67hVNNx3DqK19S8p33uLfaag/qVd5wLaCC3Rex8a4U2Y+k
StOnlqPnlc2UHm4/3NYOAcxGrk6bB6311XKOOsGryMP0MvXwDDogB54UwT4NC07A7aU2nwxQMlA9
FGKvUkh8eGcEjdmMuiQ5x1hTxVltwtaLk1g+1NHYH2+vtxV+2few2UEZX9PuNHV2rNym8eKkijiS
ypeXYFFVvr3K1gskd0Lcgmv6esZV6lj5Ol2BCJzdOwcDGu5holN5Dju1/odvxYSBCpVxC0ni6lvZ
tIzFYBIOw0SNj0UQR5ovjfN4QPy5z3YW2/paFpK6DHbokl01W4twtupQIxZKkQxJUYkGL7YQcpZn
5nVW0ewhULbiB6gbkKmQBgHQLb/nr1MG6gTmSc41NjlZ/rnO2sZFQDc+xmUjf0ZfZj6osbQHW91Y
lCSRG4ZKmK+3zrLYh1mdLn1yXkBzKQSqya5ozdabzDb0TCnDzLirm5fbW2ZzVWLkogzFxb1WaZIs
FY6pNSeXJsfqMKaCPglGREdRR9Y9Mj35cZ4L5e37dBHsZDZpKEuvflXhlL0z92VSs+jUpI9dPkcf
EyVO/Uwd9R2w2MaRoO6nGQa/iNpi/SlVK9KdPsCXcLQixT4GpqjehynIybvCpLTZKS02NirxZMF+
wIpcVDReb5wRNw+hRQH1eCqs71VUBae+q5qTEQ9S4zJrHXYuna3PxxCCEm2R176CHfMS57zvsXiE
Fid5cYyXiKpH4VmL1P6YA4/3dBkr7Nt7Zjnbq4b8Ug4sY90/CdHq86mV3fUmNu2XKlfKJ0sZHylj
zWNs4ctpRVV8msJ8PI2YdT3fXnjrY7Im5QHSd9d9KSWvuxTgCY04hL0SD78epH+zARZTb5rBP3zL
BbRO25+4fdWemlRSBtTh44tmFlHroZFfNl6plRHNsAJK1ZOdc9Hv3Esb9wQXIPc6iu2gFdZZH56z
2ZLxQodbZi2mk4sHGw+unQ+4tQo6YhRYZHzE8NUHTMwKWlRLz7vKjNJPp6XdWPb5TtTegJ5x3hj5
WRB/KKzWD5OEYiiRzgbIp5BEeD1134tTldJTzTFMvBTVitxt8iovXQUmkB+GuhH5cwzQRLa0dqfD
sP1zFnDqQpperNBeH07ICUUGgpH0QgPrEfZF5uX4Z7xT5tz8ikt4+ZKjU453lJSdBXM3v0ur9iEc
UY28vY23fwmd1UXNbYMyFjmj4OQqFNQiNWpvGvX4nZFIMVvaFM6lCcL2sVZq/TgVxvQe5Wb5Iarx
lMdFp307zxWQhuywHZg/o3m0eitYA5tzXtDrrdPol0BzhqotaVxEV9XTkEjVP2w9si4iP2H/Gicc
igYIimGSUirJ/NGwqvR9BFRh5+xuBAqNzF/B1WERy1s3sBHfMKcQ3fQL4LPh0Gj2r6mJ2iOpcrlz
v2zEQhj/BAmO0cLbXo7a36lCH9ijlcuQ8eui/KFHRTLeZXYjHmXYC6XbRFkO5qXC9KKzR1M63d5J
W6vT+EXeFa0mAOurRCWc7bIRtCsuEr1XBsDAbZKqKY5KPUbntNLNU43vwEElkO18x603TBuSmT6B
mLt1+WV/PXcXhso0iYxWt5xOh8SSbD+ygvREp6rYiSMb82fAA8AjoOITEtc7FCUXonAzhJd0btqL
LLc1NiJZ5mVNOD5baPi7OXZpJyvCK9JlyPp2liAF+HIJcOMQmNejfmwjBsy7+cRTnx5gqMzHuZ3h
2bRN7PNld17sxo1OxORnQj2gzbtGg+B5XqDBWAd3eeKgxiQZ/TvbiiavluvJT5nbHqJBDp9v76MN
xuDCgETTGfQAZeW6WdmQeReh4EaQcQ0ZD3NoMRU2ZzPLDnNV4PDSgxZDvVpLCwXe8GB+TIw2goJv
mEHvjVapfFWUENsC2x5+y0MkKl9NsWLw6iqT3qVlEAp41ioCtTXuV9apn8fwQ6yMrY6bUFveB0U6
yy6yHGFybOumeNHrQplO1FKpcBnCtz8YF1XRkWFX/QWL2ljno6OY6k/Cie1zbphT7GdKWDzl0AM7
v0MaUvyiPU5xh5bDfJjbTg/PY1WEyldVbadn/GebPaTExnFEMRZqCuNdXuZ66poimQjBMY4uhgiq
U4ZTw7Hv0METUpn8LykZyExBHkHGieXz7Q+4sWugI9DAQbGOzHM9NowCparzgSGXWkbFBV9J2Jtj
1H2g64E+Rh/WCKKme9j5jYNJ/g6PHlsR0M7r3LoSWOZ0DuzIrAvLgzML2U+Ry/5aqZpApUeUpzHM
e6+xwJ/1Y9F9u/3MG1kM3YLFtBAY0wKeeB2CCqtPUmihJGgIkd81sRUfZTHXO0ogW6vQaQHERx6D
U8MqwJcZHlnOlC4jtr4IXXx8e78Q+bjTXtxehnHE0o6AcbpOyZqZ6yECvWgMc5652RRmP/Ko2HO2
2ChQ0DYiYBPQ/mSYr99ZuOjUsPOxe4wc46G08SOKG011GwQT/GKY9+bZm49FMot+DKQdNsnr9bQB
pygnJ4nOW6m8JHYrPo2i35u1bK/iMAd1uIv583oVhP2NLuSqp9+Hyr8fTrLhhamI1benFfgdA+vk
viMLX6M3rAQaO0gkxIsGvQ3dXimotwqrgbY8SIDc376/WYluEbQqGXDK66eKCkVNsgrMnMixP6tL
ENlRvSs0uBWzYNnAAiYtA5WyWsVsu66sQCBd9FCTHjlOlp8g7vZuttMGZcvR8okouaco49tFtv9Y
U8G7UVHiuGohzZIDVywFNqrMDDCnQsaWbpa6D7AGX26/yY1khQn5ggqGk8Eoc7ULh8jWxjrL4kto
lv23wsgrnixunkeA0jsfbeuALUr7UIEZKl05mydOr9lxi6cz/p/MIWrn0qpCeGY+f2mj9uvt59pc
jG9GP3jZ9utcAcK9LWmpjtl3F7YPjhFHbtbJ9rHEnfsw8i52ZmUb52x5LMQFaOHT5F7tlXjWVTFo
BRI1WTIdSSSmuxkuqX/7qTa+FquQz5K7Qbdbp5ZxK4ZxUkbMuNV4fj82uOGYTAPfdc2wh+Lc2Pwm
GBsyS07YdbJlyngHYYASXRi0OPolkVOR+Obc1efClhwDb0EzOdVs0i9ONZs7IX/rOYGOQtpgpkRd
urq/cq3ANwafocs4iDr1gyFTPgXJkJS+HKnT8fZL3ao5wROATGHKSVNzfQYkEQa5WZn5RaBheFAm
LfBTeRRuYrXSsbfU4BwrzjOFIh7IRu5ASlYi3+7SnaO4sWUXNzb8H7h+GBUu//5X3YDWfBXUSZ9d
hFqEdzlKON4IVv1oZA5JWp/s5SgbX3ghES4BbsEYrR9blQtJr2IrvwzaKNdIi8TRizxKauNbSjCR
ucTm+yaNYn+CkPjf7Xe+cVwA+QEdAavCeG19XVT2wGUe6NmlyYD48YED4ymUrXZPQ2kj+QOcRt4H
8B/jkjWHXc3m1pBgaV7E0IcoE/dQY7mPD3kDyK9C0ttr6iY7/8PD0XEE84PQ6VXhGyYlemi1kl/0
QG7uM73O7uohqXbK661HoyaBBUsbDrzP8nn/2i7gUPUylab8wmTI+NX0s3oOFCv95pSFBpsmRMoJ
7eF0D7O+9eWWkTKNEQPw8VoXF5gK8MUgyumKp90hra0Y0U112IGLbQQAJj3QDJgIIeGw7o8FNL6h
HoniImtlIbvAeLRvddIUPbaU4a6p2cZJoCHNyaM3rWC8sgreVUuG1ksBJyEwne5sW0PzwLSlf2kc
Jcp9SwM66eGz2yngL6exME63N8wWAJgfABGK0SUFw7pG0QMlZdfYTHHmEXLK3Omp7IITq380kZNg
xFcZ5XzuCRuRa6Vh9p+Ga/2XOWrGn1Wr2gm95TZUXAmudbBza298CW5sjpACyGsDcoV/PBqCJj8t
REtVDu3paGlCP1P5yDuvYSMAkoIwAf8Tla4IYRIQfpMemCCXq0rfmIv+HeaIHdZoi/U6lOudILT5
2om0BCGgH9eO5JIhQtjFID86J2gfm8Q0nsj9K/uI2+pkH+NRlmb8A8dU9hskn82LJsz6E2qrqLhb
nZTId3OWamcw+MhZ3t4SW6+damdpB0JLw2D79emWymgolJEdUSRG9kuKJ7jtEhIfwWDob4d588aX
C2CxEbxq/kqqLUbyDfQJtPi3EejOO7vu+qNG8+Hz2x+K2RY0FFqQi3XV64caYQwFsWqISzqlhT/J
cUx1hcBcpk7WTj3yp8RdTWKYlC9gU4rw6xQal01jiuIqu7QiSL4PeT1/aAcxB+6QOumdMjj6yaQD
Y7p6kqG9YxfGYWhp37z5+DgEFkZsNgXyNVYlUXLJSQotu1SaMugezMIu9cG6LaC2Sa33ZEKvt41D
s54MYin3FrLf6zdcpF1vyxHocmsJm0U6iS+Taf5A6FV78yXHSkwoyUchwl41x3tu9TxAfP6i4qDl
GnIw31WF2MPfXF9yrIIOE6qWOOReBUba5IPW2zGDCfR3P7NP5DNJXPpLA29nuXJkdodeRmN+56td
RyLgYLg6EfjA9V31jFLu7KRKRkQJZ1N8QglYhdFcNI/mpFfhqddiRT3ePhrX1yorUszSk4cXcAVX
toqaAs3Q48sQhzhtD23mS6Wl7ETYrdfJroBlseAgrtIurSDYNYzrL00lwnNdFMphyjr7McZb7Ugp
0H5a5DzffhQZ2yOU+6fw488qU4liChVlppqNk1x104CjNztd5NEonD7VKNv+HpiW3ildLY6IEIZu
CWc83/mkWy+YKAcQaZnmkBS+PhmlrQ+8E4Y5dNKzUxA5wT3Jy14b5Lrvx9AQXiSdKhOE8jpsg++Y
FKwfkkspSVN3mmLdOUtc3s+hipbfUW17WYb/HomPAHDjzmOSWj+9fSeBMKTTqrKTiDuvHxTZvrDN
1AjuQNCHd5omKf6AWO5O72/rhHA0wWzSvzLIj16v0vGSuxaDmotqh7M3ZWP3lNYqeuhh+DMRgF1u
P9RWXCOYm/SwAA5fIeRyVFxw5oE+ICsEN6nWNFxpIvuuRXZsZ6NsnRFcHJUFIbeUY6uN0meqxvaz
gHZHovQ7xwBijhYpDBPLjBaV5TY8z/nUfbn9hBskbboikHcXjjLX/rrm7SapHOSCgjs0qjHwbIA2
3jgG8rsQyOtvI2vq1oMzr5yMMJ0cl1pRDw7VPNvv8dySGO/kof3r9m/aOjPLx10YuGTF64o0QwHR
rqc+ujRDrP1MQzt/0vt/MHRdrmm6UEAsgVCva0HJlmBq1IwGbKMNLtaADIuj9tODWct7kvl/BmKv
swI+LBJ4BEDGVVd4TmphJKccAnuSxgIzV9Qc3lXZkE3urFUNGI00xCYttJD1OiZcoc+4CWbhzzos
ItgjavO1N8vuvdy2We23ZtVrJ9tiy9Oia2fTnaNCV1wkHDVmMCOo2KPdOsYBx5yyOUmdXB7KxtYF
7YQqfmk1Z5g8remZAyjjDHrLUeLC8mbwupo7KlLT70T/jc+5SHbRL0WJ6looFdFpcj0JBMVYOM9K
J8wHgTD7Tlm6cVJZhD2MzwexcB0BQ02obdpq8QVyUevjF85MQJ2re6Mf5J07cyMGAc4FE7J8yuuq
SY3ScqoWzIs+yAqa8vPwfmjV6MGaZ/VHLo/9TmTYXG+ZdbJPN4S8eitHMt/ijpYEIolxbL6gwynO
Pd3L9yj42jv35tbnQpeDupBa6polIZVOjzpGhE5dLXfM55TxAEO93Vll63vxPGgR02m7bnJX4aw0
BczLyziJ5F7pzNIvJFXxoIaVO0X9EjlXh2+RDCcBWKTDuaFe3xkFeoy4kABwiGpj+pWiNel1zO/P
Yyc6r5Ts5J2FU9RTm+yaVm08JKqJ1FPLVJ52vvp6ZaVVGC5qiJM5tIGMI7qe6WOcJfU3kUjt99tB
c2OXAFKijwDji1e6Vhkya21CWnmhE8hTfMTGoWi9TmdmnKeNVLt1rqs7Bdy6gUkLjxqWNBlhE+Bu
5rqTF48YtDFGti+W+z50P3599/jpw954bJXZXK2xXJt/tZucqddLRs72JXVfvj+H7rvA3Ykc63L8
aonVzTuZZVbNDks0hw8vD89Pif80e99kd+9R1rXh1ULLs/71LJVei8mYWOjecRX/OfJ5mMzfy3t3
3pixMIH/WgW60f9/nPn4/r3jnR5rd4+GtrfEal9XTPP6QPDhM/d75D237qPq7j3GRhjC9pmanake
9M319Zxq2pyPcZld5kgqPLPPtdPiaHS4fWq2TihkFZpfy1zjyv/KlAwYr3OcXepGZ34SRvEFG2jT
A/K4JwSztRQZOiQBslcmMaswhKpa52Bjm11QeZt/4FcZBh7jXvMlhgH63+3H2kgmkRsC0mUwiyed
XK3Vc/XriYEdb6EO4kEZh6n2gqxRP8WBGufuqCoFWryF2Lnpt5elRYsRocIEcfmmf229buG+lxMo
7doe887tuLRKt4+EcYhGXTK8Gk28yyQPzp6Z49a7ZcYHphiWAjXQ6nknYvD/I6kNY2f6Me6Vz7mG
r242yurH2692a6mlpc/UZuG6rvN0KTXUMc0sEo02N9Azwr7AtUpdHLJBA0xze7Gtq4tsBow3yK5r
TZMBA+4pM3F7kQfD/NqIUUE9WWusO1PUxl0yl9pZgZv2kOSJvkc533pQBhiQ/3ipuqVqrz+mDi57
0ltyVsOGVFVU+nyQq7g6xrEd7twkW3fX30ut9o3oBhGWowImwc6SY57YzXEgN/k9azGOVlUUvH2Q
D74ez8o/reWFuvP62TSpqco4x+OiU4bfsd4H70QT70EByWL4b1aZx5JGsV1oPNLpXcVJZHZihlhA
8oIyMvTnjOJ5Lly0GCRY350qH8UcN5YbBGraekg1GZ0X4Q9BMwbaEsY+eZ55ltJJ08msbLP0ptCQ
P+ChpH21miy0XHhbSY1bRTYavqyLxnya5rT+nUKAS1zbrp3nMDXy/OyYiJmcNLtSwkMT5UXjSsi/
X4SiSK3vZGkge1E+Dr9NObfx9yls+UUxc0f1QzC4H/p+CD6mvTk3hyFT89I31RF7ACcJ+3fS6DTt
sXIS7cXOpbH39bQLKy8X2pz5ghvR8Ruj6jsXi2ZJwsZ2nh9HVSvNu3LoYFIMEoQOz4FE/ctoaFt8
DOjjEjMCM1VOalk3kGunmSlAj6ChN8VFKrw2kKzRnYwWwMcMKBbHzSnLm0fobPhYV8IWJblrMf7M
kLNEP53OJbinPBy/jOGYfiZKWfP7xrGYerowSYTxH1KmI0IjjRJ9a5IqHu6yUndOWQ8j6U5ShyY8
UCsqiaelsi0OgSxS8yBnoY5HiR6qGnEt1iSv0JL4cQaNInycxJr/ET1G814VY6weQkmqQd0NSd5/
TiZKaH+29Sx/mouq+VQmlfmAeGOYubM5jPUTKUlUuqI25xfbSJ1fgzlPR2fEIc3tYmSkzpJi1tYp
l6sM/cyh7x+7NFfTh6EZ+sGF3RzaPl2LgeIxM9LQn7MeZnLqDPp8lnFeDN1Q5tY7YAJhCV+ZOr32
ysHEN7Ok89mcU7lXMjcUZaX7devE9/k0NB228qnzgsLdYHvtmBufK8doctcCCmY/qNIwXIxSGQS6
1TDKPZmLZjz3UTFViIrYmR5jntNkits68PKgkZVD6wvQd9WdkkYmzm5cFpVr92H7X6UjIukGQjIr
zBDBM3hNNWXyfdnOxpdOCiLghUaSe6LLkew0UxAQ7gSGMnzqaVU0bmablfQlH2vV9ELI+xepbOZP
WoKFwlOOifPsUhEkPZuS/PJujKv6cz81RuvqZat9LSt1Vo7I+JrFbwxP1cxTsWrZy282witwRKRg
6A3ydw1THpOxmcVQIZtdOcWHMRonDCqDgaq1To+3b5HtpZAOAdlOzFuDRJI+z0NHhgcZDNBVszyc
YWeUxlGVgj2XriVwriMe6QaTUwR8rikacTSD9bRzxt3VUP23mJX9UjoGhW9/oEUamBC+SCatm6ph
jLQdXAaKR61nX9XzmDiebSfGj0U9d377JYwiJsAIbmEayuvLQm9LbXJy6scUoYJ3TqwNp575+Hgy
tZG8qnLi8U7vc+VQyMr4L9sE42+6ggzbweCsGp55BfaQDllyMRqcM7NWr2VXZd27XGrbt4sBgyEC
FoEsMci9KzRRbsZyG820kVUFyYNU5QzZ7Xhq8GLZeacbmeJSMwI3g87DkGX1WGU6hrCpIbkZXaY9
QXIInp3KsX9l9D0/VY3yXz2W086aV8dgIbchr0d6SKp/5ULRpPZgVbCzsCqbYq9ZcMxlLCWHSTJ+
3t6fq/po2Sgk30ClaKPA7V8XxiMjU9kYrOxiNqr4Zo9O9iHUWhM8p5O0LyXax6cubQrunWn8Ahci
KQ+3f8AfXPOrc7gAY7kq2bC4Il/VNaopmQWCv8AlEpEM/tKOv59qp/k567n9PzPSua/kzE5VN6vr
/CE168h+mPRSk/w2kmxxDEYRf5ODXAYQMNA2uf37rhKj5edh5gfPhcn71QHGEHbSMcPNLlFQ516u
atwjzTxoviidH31oaQfbHoUXBPkePe8q1WRlKgW4CwtAGRHY15lfocTREFZdRhkSjAdJy7ODKMv+
ZKTW/E6NjWmve7ex65jIILENZJmqYb0XELaugipiwRzP7EsxySNRq/wI4UnsNDL+xPH1R4ejTWHC
mJuG86qRgafSBP7bYs6tzkHvqkMIH2BUByP0da2tuReDyi5cMpaFs1vlFYLJU1J/V9Ok+CBjEfas
GrE++fOE3sK575Bid/PYaKKz5lTW56xpzAGbkTL9DhhFfBNqADJuGnm8Q68WynwYKm3+lY8SUrJl
HwCdQc5XERgz1rX6hZDStW7SzGP/oY7oAx+sBsoyM1z0G1zSHpOWLRjQb1UYGqNLOWDFHv61ieMS
DPrWDQu8hR65FdJPNSJjgatM9vD19sa8ur/YHrBSmYigrwj7Vn29PfI8MscoxzQh5lkP5hy0n41Y
Su/+YRV6rAzL4XddxVnZSvBWk0V2kUWrco3E0kOdVXuaqev+3J8wxPST64Ei5Hr2GCeJMAWI5cts
BfFJiGA4kO/I/hgnHd9fCbxIqPr7KG5jPAyN+XtUW9r7AVSEf/t5r6I9b3URayLzg6IKx+71WzWH
QKZPCqokTvXpgNUVd6nUgHyQtdFPbYk9yd2zcxy2YgzLcRR03G2viJucNGdeYE30QML8f6GR9XeJ
FNqWS31pHQO90L/DPkweAiTf9+icW4cetaiFNwC6hQz49QOztUoOWZlfzG4a7mtZ9KAZA4z3emdP
XHpzKSS0adiz2pV2UiKVlHsLMA6pc5v2uRTCg0KKYkxneyeP3PiMtsz4Hs1fmnJMk14/FVVEqE2o
QV2mxilOk56WlzK1zIPCIMsrq6i4l60g31l04/loKKE9BCqX+eQ616u1yiQzn7MLQu7tdw2/01Nc
d23nxups7eE2lY3rgX4ZQlQMWzYsVWmcUUH0bJqastGte0O5M+s6c4tGIH0ZT7ILGSQ51Gln/x4Y
RPtlDKIzNeXmnEDROkn5bNzRBWsXLdTZDSp5TytrI7cATEA3CBkwGSTr6gJbdKmUceQ+iQ0LcB7y
oRnBEgnEI8YhxTNWU83LDDr9OKYokKHlIqbz7dO8+Y6WITxHdplnrmJkZQOmqim1L7OamvdyZzxh
f4Lu65DBw8M/Zydt21qOqSHNYIbi18KZpVnlM/PM7FLaivTZLhpkLYwMXduyF4fZmtpxZ8F1n36J
mwtNGitTEHDXI/GmL3NHZC2I6MAsH0GphYesLSNUvYw0+Ybz1XAUVVtanpY703PQJv0dTLpiJ0fa
2vgMdBCAII+8dp9VR0nUmQ6EKzOb+D6DW4cqdF+5rZTFO/F58xXjy0amSi4GNPH1wc6EPFd2OmQX
W5jtwQpj54Qajzg7ZWjdt3Ntfbu9g7Yejd6+DuwSvBPP+Ho9NRrLYTA72NZh1HxnJWP20PXWPxt9
X+s7n3Pr4dg+HDrmmaj5rg5Mh5V5iEFaipIX3u2pks4npVKrU4HsjddZY/QPD0edgd8qLU127fLw
fzXBhZKnVjDjw1FyUk5zkH/snXE8xBjufnn7a/x7peXJ/1oJzJISzqRDlxYIgw/oMKXvRd8Nd+K9
hunWF6OewHhrodsa6zOvNngMOQoV99SUhVuAEn0QTYtnGdzKz//wVAsimW4o7Ml1sjDBqsbqGexd
IuftJbY47H5hE98GTP6knU7CstNWKfNCCNCYGvxR01u9wpRWmUyXKLl0Udh5g61N91FpzzupyNbb
W2RbSc2Njbp6aMxYbwFbo4I+a5+TOUoPY2vMx3Ju9orcrQeiwKHcoLJaJs+v90QvHCrqijFwEwo0
r2gnX4CG7eEjN3IrNgLJK9cAWIr1EAR7dzMZK7zsoAOjuis3kavbU3Nn9GZ0iGzas3HVNycSwr1Q
tfUqydAhCIEyvVYryEwBZoVLDdG3JIYNJE9n6vDUE2NaHG9vxM1XyQ0HBgk4wBUxpjFHLMwiU1xI
r+HSTy2Krb21B53dvG3IpuATUhMzH1xdp6i3R2NjLSVH4HSHpElmGqVy9GnS5uRIcikSF/Wt9qCl
M72KoWuww7aKHebTegj+585bOE+QY7j4rjLWoEMtluJH4FTfquEhUQNzpJee6Mc+QegCyJKdwTmX
kHFwi9ypu1NRZOhlpyl+wFTbWeYCVOnuyLn3eopbm42Ywy+jJXVNBaj7MMkDlSFADhj/fjArhhim
JT1lcfFzCEb5h4MU4PeekcPOzbG1AQgNFA/UadfkcTWwTUlzSnEZ5d58sNoh/ooQzp7w2VZWzS0P
NAw2JDYxq++P1Ymap2WWXazYCn9l3Ri+OFI7ucqIhAIAtdF1xrQ63d7bW8eIR1oUnxa48TrItjoG
TXaLWJiRGfJDpkxZ6QaO1eougD/15+3Ftj7goi+I74xNx2+Nvzfrxp7ljMX4MRC2tXgoT6iRBOTH
daSfUJyKHsdKHnz6c81Oqb0E8FWAX5Dw1JdIKNDxWaEholKESL4SDxko6R8rRfovHYXzG6O3iBq4
6+udUebGnnm13upr1lGg9s4yAm+F0gs3V9vppzOriX/7lW4uA9MelhIpzVUOTviHPBtpKeoQhfQg
VbDhGeLuZDJboQl5j4WnC7BIv1Li52vKzC0xyesjte/PyFjRSpqkxPTNWJiKL5lmrLhG3pmqG9Vt
nbt4OMXCz3Cze/M4Gjk0xIGBj1N+clBWN7VspTXBj5yxKrLvmpHiUW13pgemuXj7bY1xDgYbxGQ8
Z9aTGTnQay1pkTHtuqz40hY2Xau8gHsqJvMfMoPlI4KiWuZAV/DwnuG+1gkacTYqJp9KKzXeR0kZ
+NbYWztl21Y7aGkKEmpoSnDyV6kBJjO5ZDZo9hmN3sFsmtTud5aWxc9arsp3Y6IER0U0FRIROPQd
IOj2d6qWd4qLU6K2s3834g87Ci9ocI1onDjO6zRlaurSlhSSZNWMwq9dPSmeMRT1RYhwOtw+KreX
Aob3eqkCE+1+dgDhRVMQe0XXVT6SaNmjpFE4315qI5TDSkEnkz6Ms+BvXi/VaFhNN0tCHqUKmCUL
9ssYJfGdM7bpqUJ3/zxFe9iJ60gAcgkwKvuVAo4b/PWaoxpXbZLXtNLHAH+/IDSeqRvlPcXp6zjK
MmxGGkBLXr4u2bQotIzZoZfY9/Z0iMNYe2gGKfcDKTffxf/H2Xnt2K0ja/iJBCiHW0krdrLb2TeC
ve2tHKgsPf188gEO3FpCC71nBoPBbNhcFMliseoPTbMnU7E1nopwJoRzNi0V2ZfTUlNRarNC2SeO
KsVtKiV4UIcofVS13gS/hC3T60u39RnhEwPUWKCMZJgvxyvM0WkbAQu6CXrrQycp6WMrK2JnlNu9
iAUZtiZ0fDUymvUzKtZ5y5tIblwHUv9/UGQOjmkXjQ+anO7IEN7euYzEA3TRBuB1s34HpDrtwikC
PgdhqfpndvDk8qxWNk52MNIUQBX3Yhh0n2IbO9KdY7D1LRlzIRbx4sH15OW3BMcBl10DVFdi2nVp
xlG5j8dqD6e8tUP+GkVdrZgeRFE+qQU70mjld6E6pccqmqajqXTfJGD1OxnT1nC4dy7WGGSEN/ja
pCMxR4MBIe2par1ikKzExR4lvIvNrjk1/JkddbytFaTtTMarADe7AQiYjaYEA5zXa62I0TUjC4gN
Ch0ISY7BBwlmAEXJPvnWV42zF8f+GEq+zJqoOYGLYv8sj/6b9x1skY4HVX4dkqkFG2KRQbktXvOK
19Mf+ViJVCGKyiBRtKC7pmMn3cMJwSYNq9Ev5HPmDwR809q1xzzJkUEL+p39fctbgfJNr5oTS0q5
GFy83GS2mhoDzQboo2BBnsO0TI9D3QcfUcjq73Ekn89AvLBIzzCsEbktuyiCa17YN/ZDVlrRzsH+
s6fXXwxAD7+IRzHRePVzDBk0VNz2cLmRiyjczsyD2ktSTb8O+WDXbhcZRexjrZlPR2koq9K3R/Rl
3VjRMtsD1qTnrh3Upu0BFcfXPFTaKH6XJHVjeW2f4HZn5TPYqziyqfCPba3KO1NYTuV6BtzJ5CCE
BGCjywH4q5oUCTsqY8fMrw5vv4NOEenYoV8F49iuH9QA7SgnQ4ZwqoYChd96Tyl543wZ2Lfi/rAA
ZG9eJFg8O1MSqcXV7mvpaZD79qgYmXGqy8nxqAntiYluJLccZg1tTx4mVNLXEZLDJRVhiH2QSBz5
MuEC6QlD+6KPTik8Y5pnTLiqEoAHUgD9oxBG/hmW3fjWrw5Cl1O2SEChr3Jzr5aFmf2xTLrgU/xV
1Hr+DnEFc2m7Gue6qvMnba5BgclztuCxjMvrt95NwkJ/aiGgQ/heHAjWzRUmZmJEM5oXR4JpVIIb
e6J31D/QehiPuYqBLsXTPWr/n+jxYqchx74AaLmgLIiua4T6aDuznciJc3F0RC3vNdWEAtUMqZ7e
6cbofEbM3EZCLOti16xt8a7vKtl087xLIj9FNO6JWp4snQNnonM4B2n4oWDzPsomqruz3sx3ZA/q
3vvjZn/yo5G8QMqbyi6Sbku4/ut4UKgex6yU7Esvoi8J9oUn3QrTY4OQhNc2utjJWjeGIy82oTMD
fr9ljGE52QSLHe8FLdDxObCaxqNDjLv8FEo/bVF/fOtGgOoMOIGi2iILu94IthXKvY678KXUCo2G
Vhp091qvfpWyQH+XI4l6Bgna7lypN9kQfi+4GuMoTOVWp2b58pOOeSV63kbOBSzXdLF1YXv6hHbl
MCCd+fr8blIShqJMB4eTZiL9nVVw67tyDINmZMuZqET6NtqF4VkHA/Lr9XFulw2qAiS0hWrEB13r
DfYGp4lalXURQ2b7iZ5JF6sDPRXMcXxsK6HsbJOboI36GcuGXBc9Zcqpq13ZqoMtcrWxL0YX1u+d
tGzPAkDFOTSq8qqMTu9KVlk+2iNK+pOW75XPb+MHIjA8dlA6pK59A24ReubIc6tYl1yTgyeEQ7Jv
tC07RjUK4zuymVzKjiVC//WvfLtxGBaxNy4LEqSbZL2rWzwJ4FhcIkuaTyn4Yg/xWueIUn2ys3E2
FhT6L0kYxSNaH+uNE+YhmpZaL3Hs5U8AtNXLEMvWEbP3wu+rMfv8+sw2hlusZRCDAi7OyV+lEWhh
5uWiun9JzHrIXciEzbfBTuPHscyxeRimN+OhQEfAy2QRaesvHd2XZ3BqoGdSCXAu9lDYHyRRyW6C
ouhXYOd0d5T639fnt7FhFjnT5elPWGPfvByuw02St6riXILlRTfA5H6c0k550iRLuLWjdJdZ1rrj
64PeZNLLHJHBoNOzaAGsU0VoKMBT5tq5tLnuhKcQH73KdfIF9jGDMkovSIRK342sUH6Ued3u+WDf
xh6GB56xaAYuYWi1pij9doNpEsprJn2cbC09B0xyp2q1NQp/O+K/3OMcxmVn/XU/2YmmdUFrOxdR
C/2LQKH2Wsbhm+uOBpuFho8BqAXliHU5NQ+bMXQkqNlWXFCGlxr10FXpXja9cb5fjLL6Ynat6yF1
fiT7Jqc5CKcCORloskvVYe9a3/hswLDZk9wJrM46YIcl214P0Wu22ln4SjepF62zg52AtTkKSwPY
VaX+veZ+jVHlDBIZPf3ZfL4oYwpWPpzf7IrJ4tCtsujjQKzgQni5BZRQUXJRIyWqJcXnuQ2yU14r
sScsc9jJWnmB8ne9zOHI0xdMBsqKxMU1ZEDNxaCOMYbczWBbT1Ypwq896ihPyixHidtpKQJWcRHr
ozuUORJ+4ELU7HPRGwg2BH1ngoSMImDT+hCfkYvBz0OnKPkUSVnyb6qGcEA40qCpFyZZ+hCbaNP5
UdLJ/8hlZHYuVA312WotQKIFZT18S5Nef4jsPJvcXKf+7KaktFiES7jHWICaY89p4149Zkor1I8k
5bnsGig89QfE7S0SzSyXE78UeFB62ArT65qs0nxnzmkh8+aRrOwgDTo3m9Mp9i/dTuUK9kLIfZPW
o/7OnjreRk04O7MbDWKeHklyjTujqdEj7Udb/lGOTvJvFGnWewjkYeAPEm4Gromvzm94ocVzliFo
eCqI/k8ocAWlP5gW+Eu5k1LN6/EU+pJIRfm96bvc8QbDyG0/66tgwF/Vij6mNswav4V+d9ACe+jO
QTeaD6KXxvZadnGd+VITaF+TFg4GpXptwexEqXQYOm0MXROVT+mYKrG4z8ehib0hldLvMXJo8blA
VG50rUapnSOu61Hh2Y4kwI/GSInAfxkRs+tUQzzhnqcIPxhbtfL0LBf6ZW6QDEMtLPlS4jog8PeM
oLhI8dwJ12ha23TNNOolH0aZ1XlJyb9cWzKqJySxpdQXAVR03yRtk1kkU6IC0XIBP041GCh6RZN2
Z+XWWD9Iaj4175tQk38X5axoXirQ9HB7IWbxTg3S9JSYJd4tITUryQXrUv9Tsc69N8xpkHiiKeCM
6PZYvp+tcbBcI3FEfZZUVfyLzkUWXWqGZClUyDSuEduJ885MKlV+6nuT0gwPk+aeWItAB0i4CjSW
lVk/sN6JUkhSfZ48B/BKyx0llK2QwkOZzjGwFnp4q4vbjIUiQy6Lr1MbDneK1gQHwyzqnQfiViS2
uVZ485Bo3eD0J6LwiAcOGjrdEPuwe2b60F3i18GwZ8i0NRTvXwoPiyAe7d6X0QsDSFRa4wzl/FnC
a4qXByCJOD3xCmp2FAE2hiLFgipPpWajTi+rTTkYiZAuQdJqXiLq/FgJM7zX2t7ZQ85sZHTwDnBW
4G7BF3YdKFvDxHMPSDP+IXp3MCc5PRilkf2Q8jC7H/CMrHcy1o2NwVVGxoE4/9JhWaVYGcRXteyL
4DJbzejnuHn4gmO2V3/bHGbpcSxuB7dCZy1Y4QxrXfINMik/E53jOTVO9zZCKq45qPo/Rl+nZ3PK
NT83w/KuF9NP8H2ZH85mcR4qtfPauuzPr+d6GwkmVVjU/Midaamv0yA6JNj9zKF9acwKm4fQicCp
C/nQWnb5XZ9M40Q+tocU2dhPDArCebEYvuV5BgSkOQNWfOmomfoBOivHfg5pcneStXPsb7cTJdml
rM+VvAi9r+74abaRYDQq9aKEYda5UTgG8edahgg8FFET/yiHYE8/43Z2bCd6zFS+aR5SqXp5MMMC
ZunY9MolHgfbr9EYPQQq6O2kEL3/+urdbqoFurQwq5ndrYhUYAP01PEduPBaMb71YdB+JlXeGwUQ
+Dp7YSo8QPj38ilvMBcVAtuTLejDJHpviwMe3uZRlcPA9NoIGQ13Givr37RoFW7FrE1sV9Zzyz5q
ZVAlHv4K1ieVFljoUzCLA38cQniYiFmO3E2lVbqppjbCjzqM5fEGLtWnGEr6iNN1SVaEYLOeHqVm
MN45NRbQp6yY2u8ZMOffSpLmnw1nCtWTQ0Xbucgh/g73GoFR93IauFxCzqj+MtvaaI54mgxfLeQa
p3OFTpN1CKiefSuwY4rh+mbNfGy1LDvOytDTQatLw7osTOvqqDjJZPtmjzzLndQ1XO8h8ke6b+hZ
7HiyNHRIh+DLExyicgReq5BRfc8h2pb4luQicVUA94Yf21KrurXu1B+aBpIw17MNBAC5RUvxyqDj
QY5Qv2ahx97XkUsqUgau5JiT6upZmCrfxrw0S4DjTQa5I9WSn0Zcx4HHzZn+E9JB0o9F7DhfpcqG
9+GERXbXKE5Qn2qyg9LLdLOJjh0c9Z9prgTZsTPG9llJqy7BiSIuR7eAJ5e5pdZp98M8D/OdVjlR
+OCkkt17ARior8YQm+R+kYUgeO6k810kT0Pm2wjstF4v17jJ611Q/mpxCMZgsUS00VfiIJXgNmvV
ve1kae8h+TPpbjKG2u85y/Pvadtqd7jdlMNBzcKxcS0rCcU5SRv5jA2q3Lqdk4ObGArpl2oiRmkr
tfF9GhzpnPZq9rOrG/G1LvDLgC/wjJpR2QWxfs4CzfkwpdqUHJqQnO6wxFzYvmaeFG40J/1vFl08
JFo3K++wXTDNg632XfYePzJsZXsImbUvVGn62McjDJ086/uTlEyxdtCDvEXLoIqdJ4S3JAFne4jp
O5hze8htNYkuRacFpYfBZ/U9yyASu3pcG+2xcWY5PVtmoP8ux8oRPi8tCSRY1Oipn3UzvLcxNYKj
kMOq8NRW72K/aLqQLSBLYz25gzI2zwHU98WNvdTEvRySbLtt0RiWP8iBlroYQELUHmepPZt9Njtn
yvlIaY5Y8j4JKdI5DebwPJeB89CUuvxhiugHnquwzWI3783sE32rbGI19bA+iNa2w1Njac13qCCQ
oSoYlv2PUJ0Hxc8doZCtp5MhTlEMmD6Pmzp151aUkRcpdjX4dtXn5zFWqton1KvPrRIZ86Mjjc23
ujSdnxYOEdLdOPdyexdFISm5FMbl3RCZkX0I22QAIjNqmeJCIGif6lTLoFdCvZZOk4TGGazEwPmE
Dd44fEDgi0+pJuxwzidXyVNJotJ+QJ41bt7PatGEXpfxHryyKiow9Ln9EqAdZ5z0Yq4+VmUt5p3w
fHP5EDZpjnO4weHTyF6laCaq3V2xiGyhjQXtIZST/mAbVDZjUeiuQ2K8k8vcXD1LuUZeqJT0paht
rHKZQY5wBW+hE4cJpPVWkrU7RDJnL4Q3uFM/2ZgbtXbKANAMcKpd4yisPpDgl+FFlociP4u0SA91
1rYnUcqVB9V/twty84Je5kZlnwyeZBfw38trlV6lYbbxkF71Ns4mX6DDJ+EqrGXvcymZ69+qkhI1
I00daHKk0fSuGHHo6aNJUdxpShCSMIrROnfW4qj7xmuYnwZlket+MXOBdfPypwV6lPeRju2rlNkN
pkNK8L4Juu75v4wC3pQFpoy9VsdwtHqWzNSmhNCplS+hifxILOt/vT7K1hb6g1uhSA4fdl166Tth
dFWBro9ulPN9IKZfmTVh2hxrbzbLXWYCD4v2qUWRcd1D0ZNhbpApTJFrhurVF7yjYRxILj7Ye83L
m7L/MhSTwWQM3NhN17Cl8y4jCQsYoUSjLexq65sDL+iYobT3pSxN8xNT7i9VHEKRkgAL7GSht3Dh
5QcAK6EIRNsBG8+XO6TvLaMsqwA/1tYS4ykvYtNxNSE71cGqgiJwNaqp1vsax7Xfdlspqd861ISw
9wsgkmapDfe6jUzLDRXJeDP7jh9HBYyuKhvrVggfSRJHawyTkxUmyrWaTf1E2UQ6lZj87ZyUm+fG
MtQyyKIsDQxr9R3Q35goKrAQuG/CwMqV7NEszNQdBhp1bhRQqymbea9xtrX8wHroDy5V7RsOWIti
OJLLSGfjlWwcIMMSIQZhnjQywFNL7fQTurezlw7RSYn2rFtuAyUCAbgM8PQDDHYTHCxtwPerAo4t
JKP8hG+S5IbI2blBrqWpi4OGvPNa3/rGYM5A4NMk5F27fI2/Ktt4l8mB1IJCHQ0j+NxHoeThmhG4
aTvkD12VzEumXe1UOG/DBrP8/0Epc74cFAolbackxuwdueKTgUbw3SAWvp/YVUe+efSwh7A2xmN0
qdre3KogtURnw7+69qNK+k3N4kkO0noH4b/sxBcF2z+jLM6EyKCjdrYs619fUYs62GwBE6KMqT5j
dpkfm94oPBROdMUtx9w8JdHwVVIa5/B6BN6aHw97kkPar7dsryoizGPAmF7xLk8fEyTuv1ux8Z9G
of7NsnDyuclfzi/vUymwuE+uPeV72FZ1R8R3svPrc9naiwsGGYAPoN2bqpud4x4DLx2YoIi9EZGE
g6p0+iGLaxR95sY89OWbWbcs3II4g5+0SMeuKelWCaII5CPkvHwYjm2MdVvV1JFPV6O+WLMV+72e
TDvbf2vNCFw0s6mUcp+t4lpRlX+MUpASGJvgc6em+ntKwnu6uFuHDBFQOOrcVzQFV2vWK1o814jh
XrNR5B4QKsVDuEc8d3q5J0K7tf1JXYF4LmqChOqX24N6At1zrD2uPKz72B26CgO+OoXwgDRT4LZ4
VYKILrNjqsXh1/+waf4AXciquLNXY5cxzb+mA3iNoavlNVVr0ZXXx0NmtWS1Y5xKHk9h+fvro258
XBgP4JoAWdClWefOeR6h0jUQp6Uqtu8zCfEFYUnJd0T592AAW0OBrGABschkMVepLIIhLakoH3ee
9dTrJ9xfFC0v/A6btJ00fWNjsiMRNrSXy/0GqKLZQaOPGcZraqE8xVQY72rkmnaKm5vzWZCzi1gj
zf/VghktVGNOIipGTRTgihyELp4d0ce2G/fC8tZQ+B+zKWmqIpy4GipI8SNKIa9dg1ZNHqYxM94H
+TyMbpuOQ7zznNr4eMQSIiQYHygAa4gfOgSaEw4omatmKnuDFsVHTan3yIEbU+IsL7qTnGp8BVax
YzLTuaSPmlzLTPqeNkXuj1KuXtAYH3ZeEBt5EDJQ4GxYIyCyN6FRgKQU0xReRar2P0O0f2Zuslqh
r6+C13XRDHPE+6qwrH+0qZDrOwRykz1g8NZHhZlCN2GxNr4Rt1B6TUCdLkIc5s0J3GYUHnWp3OM9
bowCFWUBFpHaKjcv4XYuR97mdEcSFArunGGMDM9KKnsv79kch5IoukHO4kSxWjwQGWNrom0HWzpW
MGvOwqcMRuDO9bIRjQE8YnlFV8Rculgvo7Fip6Y65JJ0Ubu88OjROpjGKzP1L6E+2lWiehGOBe9C
kGM7adDG5iTOm38YN0Ax1s9B1YjkPkY6+xqHAVJ1hhQc0P23/S6co528deNTUl7mvkF8BN/gNewk
1PpB5VmAITPCBe/qwVJ+QI5LdkbZyEjIR/iJDPWHnP3yU86xiDupC8JraeNWelBEqP42UtNB7WfM
avsIYaUaL2VIdebtUfL/2Fh0BoFIrbFnWdHXpa2C0mgHKn9OlNZ+PM2VPxZSdHnzXUYUtklb0ZUF
P7RKFAaliTNwbJgUVDFmulQ8CjCKYXzEPUv9D9PiqbG0IYF93fQG0j5FSD+wQtQMww7fniwyzxMc
VNrKcTHsiUJv7UfaVBSAwCBDel820V9p+VAbTi3FTXxNBc9GC30mfxCB4duxtNca29qPSxkNrJ5F
LWSdbdmq0tqZOlO9K4LwgVLpdJK04d/XV+oWVm3SKaYnDSVp0VJaX2ilUxuDST3gSj2nOiRaWr9H
MSr3inrQDmPSCp88HY/bRDIPQTwYKHNObwbC8BsWYQTk8pDfUdct0Ci2ukQOqPkMci4umSaUkzag
1S/CZtrZLVsfldO9SB0qXAA3O1OKHTkpEFNNs6g922MyncbUjndYpZtfFR4y6DG6f6i3rJ6jPA3o
GcMguMqVovpRqVrHcs5n14IG73Vyl/kDgmJeiQiNW09d/l4E+pvJS8tXhQ0C2B7ZthsoZDxNfRbK
VQyVtiyPMSVbAJfl4AJ6yXa+6tapoPJI7IQPD/B6dd4jPNarrqnDK8BVzOi6yXLrcay/T81uM3Bz
KFjeQOao2t28i4WlRboBx/wK6T45qKii+doYw4OOtTfDVlFXAWTJ4aDcCTdllSYv4mKakyk5HPuu
/gBwxvqMMAliCY4ZmTup0fKFVs/95SnMcKAO0NFY3bASp9vSCyRdpKztj7Isd+68ULDVOpFOclHZ
P18/9xufkfEY7g8G7ebYy1KXhKqMZk5XzXmE+LDa3msU+t4B1wp2dsfGlYd4zDLUAhy/Iej2ejXA
WVgojwALEt8g1/NRSHAKhBPSnP9DT5MTArfWh9fnuJG1wE/hRqCWAXF1XbGXjVKrEI/lmaOW86FW
q5j4JmdPWt/IaNwmDU22Tn4qsnx4e9ZC6wX5SggryzthdR7GPJc4JQYSCO0w+kYYRT7Om9lhzHfd
p7dCDXsUk81FnJG61CrUNOaEkleGZz3dal24VmyOh0pVxmNSmCbsfU0Vx84srasqAbzyy1F05p1w
tO7Lm7/2khrSJKEFdHtdVZIRh5kqYZ4RdPVDJKWNR7eAvnUa/E5VvKJlfJH8cYRl9vrAGyGdgU2I
MYvu+c1WLtNZmyqTelyUq84DVHH9oa2S+PD6KBsHhmcsER2NJ64Oe9nkf138RZgJ7ij6TSollo+K
3A1HNZwWLY1dDdnNCf011CoW4ETbWyOt1Gs7VqbvKHPmW3K315PYOB2L77XOi2xRWP3DKfxrQiBc
o6pZyrTpMOQ/oO2Gn1ToO6eKnOOiJ0WcwCA0CnrQZld8ev1jbkS7F2OvzoeqTX0tUzS96mleHJDl
sigk8XQneihuzLfd2SK3XPqFr0/hn7L/ktqvq42lSJqpkRCVAvgZRgAiwuyStKn9hbYIHpNDh5yV
2wCS8uUpCJm5k2n3RljOD6gG5nuAlq29tEgW0ExE4hmhlJd7KdFnVh/DxytXP1r9Fh3iBxNcRuXq
2tB9fPu3huIOx10zgFn9iR9/rTMtplFzgGigK1R9L6iWHaME3WpIjrGfKeObsVV8aZRKlnuFUH9T
iXRQMAKdOlGLiZ3qGul64yWWLvlRaBo7Xa2tHcyLlKyRB7Z1Y96uRiIYIg2vZq0GKQJcNIjeD1KJ
ZnrUAd8ZrJCmax2bweiDzUrfvofJPpZ2HmHhNuehfD6NBnKCVzmeTWBH4rc8IXVjqFX3PrGSbGcL
b+wZBFkwC+IOJQatrxRl0OwpA3l87eu+fYdqlP6vCAfxreqlbi+ibo61MEtpVZq3oDzboH/dmQjp
tJYx3heBaVwUwHuXzoBe+fru3BoKrgcJuUH56eamLALadZpCWI3aPnqcpWE+mmHef0wkoZ5eH2oj
rJLjErnhsdCLXadzaTGYchlQJcxGI3k3Agw+A175D+tEWsqXU2FObaxTQPlY2PLSJRfRt6lphdcC
Pnrou0bbmZC6cQCAJHDd8pyBErM+2hISckmAysN1sGdLArxcWfWhHAglxxG4UOxpdZ50HlwzMGNq
YZk/g0JH4DepNfl7O2P7zdOknEC4Gkr6sclH/kjUDibmKFLfoOObhfzv1pgM6JwDibCV5zaiVh3a
YYdRnZLecyJHin28rNjwYZlrv3FLH5KjbAQYEMStDQrp9VXc2DC07JfcHxIU5tGr2AkyrXPGHCID
MqriAKNrOjgITj5FzfDu9ZG2vi52pAAoUdLgIbX8878Cp2SnQVOjFo/+ioqyMQjWkz2a6QmPhhIH
wDz3tC4ccXrEYPH1kTeuR4DVLCoV+oUDuZpjZ7V1kKsljnV9kh8Svocr0nQ4JW3Yunkh9zsz3TgZ
YIIBCOncSLfdI9A5E6ZNoMY7Uw8PZRnMX0HWOzvp+NbK/eGLL63hjQaHGkUzeMz4Gszw85JeHZ6l
AWEyhHf3Mv+tocDE4F8E5pZ3/nrpqBMaYShTUKjN0hdxWB/hiGRuCll/Z62WvG/1cIOEu3Qw4Vlx
mS/f9u9dMkG6l9UAdxY9kYaT2WriqyohYuU5ZRAf8zHJ30MzrcL/cA4W9BN6YCRwN2gcMSjWHCY2
40aAHOFLjd/yYHzsAks8v74bNz8mtw4KfmQQN3UEugJAiA0jvlpSmKA0F+oeaqO6NynlXpK9tfGX
LUgtm4rFzSXXDn8a61OM9s+UeyZc2R9ZkMme4YTTvSUooLw+tT+mSOvVwzqBxAg+NdtlddLwEjPB
qaIAZA2R8ZWmg/pFgAJ+L4PQ/WJUefRxzATmPLFVRz1K7IH6bwna64MNsUb25M6SJo98BwdYqxfF
BS2CbnLtBjfGAXvd9tglVv+jNxq7AlAjRmhOoyFyv1ZL406fC33PpnGjw0LtgImgZ8R/rcuT3BW9
jmJMci06u6ehLuW/Kt69P0srqXtPn3Wb+k+tjv4M/PmTNtjNvHMpbcUSZICWstPCHF2fh8awR6sW
Fsz+2Si/aCY94jINx5224tapo38JaoqVWxSgX546SEJtj8vg4vE7FYAu4+Y0xvknxxnFGeBz7TmY
cZ9f3yxb54Ci64Ksp4N189CeeXk2gU7rr7ekn1COlIcqTaKzmrXdTsFk6xjYC5+YFIzi0/p9MIcU
KEi4wPPNsvTdlnTlh9ZkaYiu2VzeD02xpzW2ddU5AAj/QAdgCK4+Z+Rgh2Iaix98VFdPHInJc2K8
pirJ1l25GtrPWiNNhyxj777+UW8XUqOYBdESksQGjLPRoPaUJZG6dYbsgL/3AADcHg82xsXe2OGW
KnIj2tk9t9NlUN7x0CFRcrtptc+CDCZJcISVgrY4q5L+czBT3cvmUMXoKDOemqA0fBVj1Z260AYO
j5E5mYtYNT2L9emwJ0Or4wHHFr2s0q9AeTLDHeJ5hoWIrcABSjJ856ROER9oHWkg7hjO56BpykeB
p5PqNqSwqtf0WbQXem8Feuh7Qa1YuCPaBogU/XNV5VHIe8ZIrM+gBAu66MioB76h9MVvDMZKA6aE
lDw1U1v8zMOZhEhvVe1bCvxjdukc5tnOJXcbTPhN6NtA9uVVSUXt5TFXyrGUso5kWs679qz1yJua
NZzE1/fg7cGmrAB2AHmCLXFGq0gAVZWkW06QG9deSu3Iq7JYUt1Od/I9056tzccTDgwxxYhFdevl
nDolj+1OIkSnUSzd5Zkhu46cjQcek/Ipl7Xp2IWlfqcj77OTqmzOk8cUSCOES2+8iaDQwHzsaPSD
doTa0IOBqgXXmKSgufT6J92a5KKnDTsIPPJNvUVoTZLDpCTXC6P8EkFmib0icCTdtzOpwA1uCuzP
Imiqu2RGsnVn29zGT1ovpCuo+i1Iz3X+HCahmeis4FVoU+NNWZy+t0IrcudySE66mkY7d561FcXo
qlLdRhxlUeZ5uaaAaadYlIsDeq8lD7HaDiUc4KpoIY3UyL9jy5jXLC4sEW8ubcipGR3LH1bqNPbB
sruxvEA3mepnxN1gv8yaDXs2GuLhsdfm1v7Sx4PUHqiZJfnDbKklUbEDv+nzvjOkc22mY3DC1zpO
3SaYFMePdOzvjqNwGu2Q96DykXINisalVNFpECR68TCYfdJixRWYqH6pSnCXpz20idKezS90o+3Q
lSNRLNSfUn8Iqi6SPZD8fQWpvy2fMytGVXQYJa08oL+Ux4d6huvhWllNzSzkXsTRQs/6Bd6qoTPW
0/iTmHRcQiACDoejWTdpI7pNZv/TgCeg+oMxWnQ46z7jkMf2ZHlFM2MlqxptDTOwkYrBn+WmhWEy
9qnpVrPRq37WBKZ9VLs4UtyskvOR8xvp1VVK8rE7dojhizN5nPYpLyq5e8ihrlS+GHv5nUyHP3a7
wOwjf24HRXt+/QhsnbZFtXPROqOJu94THdoO3Fy026ck1HzKOrgSkh6exNC2O5fo5lCLbQnxBMmj
9X5vaVaL2MxotztzfiSA1R56K8FdgzP965PaOlnLQDgC0t68ybsMyOtzHvf0NRF50NyuNpNnHiHm
qR3t9qch5D2o2tYNQKmY1tgiB3yTdLXW3IMZEtCmc6swXCkIBY6OEkdpJ2JtzQwGIzXihRF6oxcl
m51JGwHX9llOam+gHet3imhdKnI9yf20JyS2tWa0pgBsUv/l2l2FjDHQ0RG3cdHR5Lk6Yack/DLt
m+eO3ubh9UXbHAoxLF5VWEbciICEXDS9XETJ1ZS7/i5EHvyqVFpzmCZT/w87kQSZ/F+DWauszRSK
Cfx6lox8xaLQD1KT6q4Io/oQ6fCP3j6rpQhEa9JcXt8rpejWNEctqhBSnvIRGT5pGJMzMmJBwPsL
ofPXB9sI8BB4UZ+jPPJHkGoV4HVlQnBi8RTU7NTTZsfuXLginYtCQ3VqEZB+5Im/h4u4fc3RTgNu
q8FY4EGnLf/8r9pClZUojsqkCvmoxz/p2IhDqivCdmtjxFqbwn5Aq8IETwyb1TE/hVLn7OaFt9xb
4Er8cQSEKegj3fjyR1hyTUjmarkCpbao1hRCepScARXSKhLZPTosdv4cwg+u0b0HNunhcFN9ymU5
5+qN0WvZWYqNgwpccfFPWmqf9Hdf/p5RydXejEsEtMcSITzEF906KVXXiOr0YLbBHrlqo3e0OCbA
UWeTUZaQVx/AEQNgKotsIlIT1W0nZzyLbrbdpIosPzVEejatsjrq4Rwe0nlOqMN2wXW2cUt8fRNu
xEKVxBGcK2kj/1n9EKU35Di3eaUlWdadrcCI3zu5HhxfH2VzvlRY6avQUUZocHWwajqBiCLjHZLY
CxTBzp0jns465ucopDS9XVwsp0IMgCeCVxtIi4QNGBed2vNOWrURt8AmUXGiOcBPWc8XKbuytBB+
uI7TGPoo/RFMjHT2MNjeKwRtbSrI+UjOUbMngVtvqgpDM7Xi06bYu7o5wAhvYt0fE5KMX2Zo9Tv3
6EY8wbHIWPqRjop20upk50o5t5KIk2tWdqrk6c59jvx05gZyqP3qC7l5znu72tk/mysLZIU9RBdk
6fm+PDp5EwdxDmD+qgdC6125bGwD1q5a/yJHrJ7gQiSfyrgzzkY03Q8o4/PUK9RLEzV7Mv+b81+E
iKAlEcHN9fdWTeY7Vyyt0UjwhKOsv6O71b0zu7g78RivP1N1GPeup41hkXyADcudCztjXR4L25YK
HRXVi1KMGBKWsx0pnoaK6bGGClB4sPKRD2oqG/nG10/VxsjIqNEtXGpj/F0rlEZlhY3Zt//j7DyW
20a2MPxEqEIOWwAkBQUrWbZHG5SckHMj9dPfD15ZJEss3/FyZtwE0N0n/aHwItMSzl5v6zryZmc5
KCZ04xytH8xl6ku6XGcuDCCzm+3Kxjk86QYaKLQ4ac2iGT4OezAy5c6e6HF8/GhnjiluX4xk6E7Q
ezzmhUJ9cpkTohydA10NlS5Pwt409gN08Asb+Mzz4NJHG5oLl+bYcc6USJkCVeTWb0Fd+IvR6w8i
yfULq5xB1CAJzNNsYEQWOq7QsWC1BKYqdtRhVjYHs+iUp1xzB9LCOckUX46tbd6pcLI2PH7bITyb
Dk1y29HYyf89d+PTcQ17CF+waY/2DdqysROrIrmOKRb3DQoML3PhWH7qyEvSgmeee+MPgUomym3Z
zlbU/5VukNqXYN5Aeds15qq1F8uVYK5p3we9kl2Qa14ndm0r4+ds07kI6nyY7j3RGz8/3lDnfwgp
MVEX3uLJXNPtpnQaCUPX6E3EmEk1WYDrrZH5NMpiONeDth/Sdg30TF/DKlt0X49N+9fHv+J0W/M2
UB35wzE/NVlbu8Zqsf5VolFt0Xfm9yAU5dqIDlvVhRN09oHZaNwQpBlsOf39m2+bykynxFKiYjMq
C4ykyw0/awxcYUvQE1dIJOji0KSqkvtOPFnpvrKS/hoNZJjYHz/2mSAB2JHnpTEK7QRN1Pe/heW8
QlhWwuxsSIFtN639nKPz9qlK2ulHrhgZDk7SfFrLfo3GBpnrHeagpuHXMkWj6+Nfc5oBv/8xxy9G
U4nHEsaIXqv1U2o5KHrN2urcdnk7B+WquUg0QU723OShRRfs368C8j2ArZxA9BORg3r/MrqhNcYJ
5btrFL1RkzApY/4go79j3kB+Wxat92mdmniPlt8mcKd417wLpb5wC5xefBvUnJQPwrqzea29/xm5
yWZM7DG5LixHXFWWvSqBLLNhvLDOaRrE302vYsMtMlo5/vaNcLxUmTXYJOYCTdjJwWVazbiXlp36
iKIpjx9/3nNnbPMTobXsmUTlozQoRVRImt7C7Va1Sjgs7XLo5TT6yKZ4F3gX55baGN+AZ3g8xGHf
v8LanZLanblTckvJ/IShXpi4EoG+GqGRCyXK2bXAZIIU3Pxb/ogx/nWROrlVV3VdJNciTweoaIAi
rUFdwJZZl8ZtZ5fa6AEuZTdDlG3n/LVUXQAgWFIbvdtSTR8RxjFfKnuePmH25X37+GOd24QbHtrZ
8Do27fj3Sw2xgrm9ncPeMqd5Z7axsneKsrpQfrjnltnYMUBJSSZo/LxfxqgSq4nnNY68bFyyvZOZ
qrhbkdFIHoSljV+zvii1oHIk0+ep7cRbBnMnPyA+VRdB2niNFRAg1gwMn5d/rtZlyPfJRK/Y78Sq
/lx6QqffxkszIHTUZwW+L6I0Dz2ZhQwnudK5HFI7+Z2Zed/6xCJcaFIjW/Kg6UtnCsWgwJ6XjpWl
gU5H6XeNNAj1j2UtD9gTLbFPG6xc7ru4YTur6GGKYPb0msI47x3nKnHVzgymNLVrQmpp7GHPVh1i
gKPdh5NYFm9HY6OY8GIAS3Sn6tJ9ybViqW6x8RUIVaOIuVvNHJvFAY+sq9KpK/AhTpvmV7KwjVe7
xAzAj+sxiXfFMlXy4JSzMuw00aDY2apt6d6S7q9XSYJWp7/p2HwylAZM9Dor45feLas4So2+/0kN
76U7RW2LO70THYpRc4UIEER7Me4EGHI0rOIMdcgeEZbGH9QheaYqhEmaJnjO+oOO1Ztf19qKENbQ
0xzMFLN5o/ef5RcCxZlzABpoG5qqmkVRdZS7xBnjYB0tnyg35/KGuI6bb5kA+ZB0m9ML5/t0ukHB
vxnDEKoh0Hrbj/nr0MV93xhJ3WfXnp1kO+YJi49euAwrqYodmihhXZWoLzrppYVPqwiQM7RZtoah
BYHyKA6MejMaveOm16ZaFF9ynBe+ztqco8OuuyLCVZhYLNrEvvC8Z6IwbmwWnahNjx2qzvvndY00
HrvCpJWdNsO9y0u5QnX+fjZdeZN75g/GmsqhXyYa8c3YXbi4z8xM6VnSQ4cYBKwAJaP3q3uW1MxK
jNk1MqK1h1bY1B7wZaL5Ngo4iENvTs01epr64EMtrl7BGY0Po+FRTCLXWviL1huHLB3nq4/vwzNb
jnbMNmhyiV8nAGqnSiqZ9SqoqQYXTUIn9WM+LuHCUOzC7j733XE15NKlCiCsHG24DCk5XeZ9iqZA
ZkMplWNQetUv1UgaPx89b8fM+NJk/tzjcQWbGoyUDd50FDDTfK3K2YWoiCaMvucC0aIYgbXbXNEu
CX6fWwopCIpIqvNNjef9Fy4E8DMSLLa1xrjVYvYTTr02YYldr4ePP9qZDId6mEnyJj2xWb+8Xyqe
PRdwikkQy9fY8JvSS27nsZkEY/dcHDKoYeqF03NmScaR2zxy86WkK/5+yQSXFhz33ASXsTbd4TFg
fWb+lOy9FIG3wlqUCwfmzGbZhrxMaCBknfbvmtyY6WAgkZ15OiF6XJ7rvmxewWXbgeSa9K15Xf+P
mwlwMm92I0tBMz26mUrg4I69eNSOWTcG/aTb98paUzwvQxmguyyCpW3/2byRr6jZNORRo0Ap3j5a
1EaO0Z1scrrFahB9TOi7OkHMgXD+j0+4ZSPkqNSkwODef0ItGRpU66QSGZhS+0xt0sDIGzfcNPEO
TVYqu4936ZkciM4/lJ4NSUyz+2i9uIir3BGLEvVF3746bj0GbmFd2ijb3/Ie/LYxkRkvMDKkK3Z8
7JRskrlTuEpUDrV+mNexDhpZu8HQ9Na/HzvGoPBzUILgKnGPTvi6rN5Yeixl6klzNysQPirD+5bn
nbvD2/OSDt25I/fXcseE0hwMs818mNo99TI/TS3tsBq1CK201Heg0y7NJM69ScBoBEeLCYdzrBgi
jHRYnXjxotWUs4/ETHON0qsZjJMiLmB1zy21sY8hO286+MfNqbWFxqEh4hkNa7E9S9Neme3CWxxh
k3+8C/9M6442CDtkA6AxxD7twww9Z6twUjzhar2+spEaHwEV5HPkMry/W9SYvG4ueq/YYWOd/+zN
sZ/9mdYzQKVx5USaxurKK1EbqHmXFM/2s5p5UnxG6dgUOxMfGTVAmj7uwqqRqvWAaZp+cOvC+pqb
opkDC2zOTVrW9rPTSOsryq7k7rYtS+MTTTkn3hPmm59taVQIhE6uuIuphZLvLonn6sP7wNkrWwCW
BYuupVnogGFX/VmJXc9vTSDyPjL/wv0+yEmoO1isyWuGWcnql9asmpHb1+ocxJk6fSv0fB4PSKxZ
X+jHEaSoUFDJN1JkaExFSwp/coYV7MHq5L8rWueMxz7+GGdyTtoQ/NnqVwLJti/+yjmlbed21qKB
neqFfVPORRyuGkrr2xSM4oOiWQEk8quE4nvh7J7ZcTRdYQ5BsEfE7PiaGDQSKBUnXvwwrGY/81+E
ZTrQ71mt5enjhzzXCNuwEqS4qIKy3hbb/npK0SoCnJmhRArmfVcrtS0UMaVYya/ZgUq5Kj7Baw76
1Dbvzdp4Q1Wte/z4R5w+L2Yu4NMZT5hMno6HBBVOiKNVA0msROsFNjDeIO4d+dkQhbwQqk/veVDj
W2rACJtS9/jVVpVZO4nNPH5m+nVFdqtclUU3/v74gc6t4iL757LEmS6LJcHwtDXpO6aO2m2zzmaE
Iq9+CfOlnd66SF+h+cY8y94AskeJjlg6VO7AWYHWc8dHjanZWzEt0g4QviynAIg1LXSUMcQ91ax4
wV1AHtYMWmwmNfsN8mr2I597D7Cymn5esRG4mtnOLx+/jD/Q4PeXGm1WRk7ohpLcnvQ3adeUulvP
6TWS38N1Q69m9dUxrX5PiptcUVYgjapDDbxd62Si7q3k50oW867NFSe0JkfdT85o30+pLaOPf9qZ
jce0BmkOxjXMOKyjIJmOMlvwhUF63h2mAw6D/ZUVY29T21oZ/vtSsAaA/OrUy6gmvT9nruIyBiuR
VRHKqIZqOeK5UHfxrjSKiyJGZ7YfcHSYGIQRsJzHs86atABEHPloAun7baKFWvkNbcbiEBvj/Gaj
GNsGI8Vr4ndWPN6D8ZkmH0iTeLNpa4hbkSB9sZjDZAIJo9sTLtLTv7dAvHBfdiHL+AiqyWWfJqqg
tac0XeF3kzF8xr0x++r21Zz6BrPsq1Vf8jLMk1jbWi/N8upZgHFD1RrHh3bDYoeGLZGhHxQNfbOq
WlDA1BKrtSBPqcabYAZD+7dsrN6fiCG/l7lJXV9gRWAzkFjzLtDxDonpRjfZc5dK7xJI6cwO2SCV
VNh0oxkJbf/+r+tRYeJVDCm6KpWbTYG+yHqnA9t+XIzmEj5p22xHx2RDGuAjwcQBa5CjzTh6pWXE
HuWfrPNXbTTSg1QsEbiV0Ye6O6gPHmyIEDd61c9qsV7Yn6c1DHxAGg6M+xDjYYD5/kE1YBXuWNIY
7o1CDaveEyE05C5IPA9jYXghwBq7S9I85x7ZIMPf3FuR3To+FMnsVIWC1Pn1ouburmf+Egl72Mbz
4xw/1XG8gryJq/iQtg19hW7sgQh/fC7P3aEbaWnLk5k30AN9/+BI5cyrF+sxCt6iYN95ZRUxBoq9
3yteF9oPj0bT6E8MPiIBajK7wtyJoCgZoyu7vjb1h7nI3S+6rK3f5tzMiHk5E817OSuX4BnnXhfD
CKD79IbO9GU6E6ia08dRZUu3Ax4CaA7B7YwcsKV5Zfsiy3QH7o5c+qvWTlL1RcsG073wys5cL2Cp
2alggsBVq0cpQ52pVEZFT3pieGsw63b5YNai/WdKBgUS2xHGwMZUPa7IRFE4A9rzSrS2mTqHluKl
T0uCHl3QrE2v79EKbz9/vBfOhFM2vwM5CTLNaVckKckxi0HEkVHg+hn2SmsfhmpavR1gJO/ZZbj/
8vGKZ64XEDDs/w1iBC3qaPMNWgz0fEjiqOdC7Eiqd8KgX7CURXWhd/anH3t0vZDLoyiGiN42bDoK
QFbRxUW2CiWaF1u5M1OvdHyKUakGWbss39lwEhMEAFcgkNu6WqMi17LvM72bOlTqtn/Db8DofNh2
3q/YRgnSNxVbu7OK2XrAUWWZ/UHrci2QmrogqVwp6rDvJ6W2rle9pWvmDHTQf2kDei6BnswLOUDc
Jh7ODEv/NM4ZXqb6usRg+wq9fbGygaYqRVJaYT9DKbmbpm4CghCP4jvjFqSS9EUxP0+aZLjUt179
oDApjTz6WRQsQjG9J7IS9QbzMk0Lzcm0mzuu70U8MqkCZe2OeSXDWCvBfU9mJx9NUm4lcGuvgIZb
1Up/lRU1mvxu3WlpqOi9ib0arooHDzpq+UjqD6BHb1a0InrXW6wAvwNHBNmoqyPu1+1436mir+ie
OgxP01J9GeGSPI/IOvW+kirTXVZ2bYLoDFdyIBcgnE3luc+GQUEFcHtyPhkA3r642tC4AGeQjwyz
xunMfcrUFJy7zBcZ1lIunV/1E8MuzC2TPhC8l8mXCY5MflfHqRu6qe1yH1VxOYYY+ORjCBtCLRFk
kR4Ek6Up4Z3oiaL6TtHW/8GUwJcJse78y8eb/TTE4PkJxd2F6YbI53HNPvXCcpn9WZFKM3knFD37
VqInv1erCa3ixVr2WC1cyrvOFDib0yi7njoOTvFxjEkFxYxl9Xa0oi6GSpLZmehcmc1qMZME4O/b
Rp/8KnsDrzO6ky6fRE/7tbyBsFQMF17B6Xl//2O2q/WvdAIZIj6O4sDuL6okrLEj3DV2p+8W9aKj
3pm3jaMidG36WoyYj4mWjl1xsGbdjDRuzgB4v3o9Wk1a4V4pvb3koNwJA3Wxj7/xmQcEPEsSwyWz
DUy2K/avB4SZJ7Kxmoxo4to8xLbahUgbwM2YL2nGnlmJwhyoAP/wlMfC4pmw8VXIMd0ZAaiHnbDy
J6Gm6k03Wum3jx/qJC78UdUDqGNtMDbiw9FDzUrWTnriRa2uPEle67U2D5+9IUNDUBrJpaBwbjmd
wRoBgSc8GftqtdkAS8qxOMVvZydTYQYkE1rg5bERmJW8ZL958ia3ydpWmZB3Avs8lg/H9SS1YlWC
0Yud6iWeRAy+SsHitK2lckl+4iSH2RajYYckAtHopNGKQWBilcgKRlaRZfFVDY7ICspar3adbg9j
INcOv70Jp5GEWzIt74dR1hfE4s69YPK9PyxIi8B79D2lzjgCW1Mnchlb3yWr6ZSHCUhtR25f1jct
V+iFzOKPts+76Mtjk84YuIJQcZ6UZCa3dwWwx4vSwrWHq04bShkazNAgBsPFmABV4X9Sa5kFB84b
ayPUxBT/HOpZj4QzQl5O3SJ5abN0Bt/QDsUAtb4Ul3peJ6kdP5MGDGNdYMD0+o+Or+JKwo+CEWwH
jPGzjh/AL2cy/ln/dlsF6UOoYkA/ybrfnydPh62GYjZ+r3W3vLbVaoOxWpnxJygkvXx8ds890UYT
A9JH++HkMDWGN8eSeUaE2smyIyceb7I208OPVzl3hBA68SAVbTJDx0eI7K6qKFbY1flcBAW+Pgf6
q60fe/RUP17q3AGiqAcXAjeHSHqUx9nzgOMiKP1o0Go18R1rMr61xO3HcaziryWohBTrpqQndY0X
EHw2Y5P1QgVw7gAB1EN5bKPx89DvP6CGQRemX6sbreADNztQ2gaQwYYpp5FbK2qEGeml5z7zIWml
cWopCczNS+L9mit2GaTmuh1R0rhhXVfdlYHkdPTx2/0DuTw6qFRY5ClcTlyIx2M1s9dcJVexx0tg
kbVD2Mhh7nfkF/lzhaCA2OUUsm6oDd0gsMGykfDEP6zsH1AwBUIjM6vpArTMFeu1x+TpYYyRNPeB
iCdJoGpSrJ88ZHHST7GTNt9EYwnlRo4IYwWr5yQ/J9OsyLGVWu6R2/WGQLWwOjNjBcOwEccdjLsG
zSijdm7iL6J28p/uWBTPuGAbboiyz+pe6SaeR8Hcd9Or6qxgTBZznn/MwmwuQfjPbPpNABnoxybo
QM/g/RdR58l1ihkTNsft+4OmJsO+ngxl34ii3n/8WU6SGfohjOaI8qgaEhiPlqrLNe1tBRPulVw7
AAzi+YOZ5iHMF3mw9IqSCRmx3ceLnjYut1XpWDLrZB5/gsKghVu0FrKJERI9yp66vKYcYH7z3Gia
dp2RSiZBzUzvbpk6614ORXWn0NC4F3aRR/bkQZQRpm6/esjxphfquTPHweKto1cDjZ9fd3QNELgs
mbf0AnTFbn7EiiUf12Tp/p/3TjkBEUenID5OnnNjcETWuV6kNGjU5QgENUFcpmZ/60BoGKNcGZof
XV4gKP7xuz9zy5GKbAGCgmAjT7/fW71e9m2fT3EEMJlRjye8UC5eHKx2Xu/mvFGvxVJ6O6ElyxNG
vf+MguXL034guWSDmyf7DV/etcCzxSO5tMaoFV4WKHlZXZX92KJmpZW3vVeNu2Gc9X1bWvqFKcW5
pweQxzzGIyWD9fn+6VfNzkuty8gAXbf/ssk53FtGo/LqHdT6tKEOO60cfArIOVgc9SI6+sz9jokm
4WwTheEXbCf/ryye513duC7jyNzYu8jlDfVD7pa5FopR6g+L1JWaCrHvfuVyTtl4hfNfZ6XmDYiO
WUM0WRrLlWCQ+RrHJklKbWbJwwI7ur2wTc5dQR6c843X/0cU6P0PXfsCg+uJ1LXO+u510XMHsEC+
UofPRjJfCPJnjhxYN8jtTB23GvboyDnJsih9Qhmgg2plUiqs3/aijv99vPPPvHvqJwACwHRp1hy/
+zrVSlVRGgJQIe0rlLe0l3QVYq/GpqIGovtnjhvsZeZhG6IDxd2T7L8wRN/OfepFc1HHhwEh8Xzn
VGNfXagMT+UuWAiMqaED3mI08cdy9K9NJXWkOOKcxKXWBH5MpbbaLj2I0XjFHUNpnr14nb4Puok4
LoFAvOllZuIN5pn0np06a69zp82mf99A736U/n4D4VHq4NrZuRh/9userfj4UcdiedepsbyQuJ12
IrYXAFqBSAYaiuTi/VqdUTt906putJjxeJhTcE8ZDGTfabz2quK2CSBaGD5HJsNldaFJNdZlcWET
nzkxXGwmXf6tK0Jge/8j2ryThdIOZPiE2zvTVuCj9U18jWrvJV+ec0ttbDMmlOgQn6T59Sj71arY
WY0pkt+DmMYdVuXii2M3nz8+M2dOJhsXrP7GkufGPkoPNItOWgZ2LhqswdxVcdI8ySF1LmjJnDmZ
rLEBIsEun7aHpcvg0urJepGikl/UVORXM24hDxmvOgkKb7S/f/xYZ8LARkHaxAwIhbSk338rkVfC
SdTajZoBmLLvzF32Wi5OvnxLtQrIldl46Zvsy/FpKeEhBxMaqpcOyLlduzF/8YpD7QBdvqMfgWiz
M3T17EQof86vzObiQ9+3WNK5k1HnfkwJkPqQ+WrJQKLvb8AIyOvVxUTrwvk5wWNQaGytJeLxNqU6
vn5XGaN9NapW5KW0P5PRNXzNmotdrqFyXLWleFxHqQQWUkIXwvGfeHtUFMCW4Mxu+iYoBB4dGgcz
N2dOOjtyndaRO3MZzH2H36vr65NuTLeIXLa9b8AvvWo8I/6cCif+nHuO/LQORXzpCJ9JhnHY2hDJ
XCIbufH9togpsdKyjK1Ir/oBCz2+jz9DfAhtZFH2Wtu3O7fq5dvHm/HMGUMi0UFJEGDwKQucCx2Q
fFfZUTXar53s6hu4COmFzsyZKwNFaTDPEL8xszuegVJWlrDYeTSRYU9WqUuHbvg6rt9x2LS73cdP
dHYxQBpMXwB4Y7Ry9B7zZPMkX+lH51UT1Ui3XG9mt6E3zOa/Z+t0oMFpMtLe5j1Hn6xXKzsu7cWK
6OKAzqhasV9Vq7hwQs7uU5JWKPOERUQKj7LmRa2MOV5zK5Lm0hU7V60rlH+qMn+KOy0XQSe1/HbM
mrwI8LBNP40t0Ca/XmbcnWu1QpH5398wnPbNOYzp+clI23OaYSjXgp2qN+nNRGOp8Wd4d0WoTq45
Xght53Yo7BXgFQDeTluL9CrNRbqDHSmM9wLBLCnA07i8UBKd2zWQbgHcQiwmlB59ShOXoaluWIUx
PmQ9w5qDwuzWPeib8f94fbDwiWcbLgqpy/cbFCnD1mprloIPUPilNy+Rly9eGCe9dmGpc++OrckN
+gc0fZx1plmvyBaCaKQ6SnU9sR5Ix+WSGeiZYIKozNb8Yz6AP9hxy8CjVeLCB+fIZZX3U2ALHgex
FGL2pb0idawBTf1JjmSjcVTJEuPxpi5Cw5xpan28NU+DOb9kA/dtMrJk20fvdkiYmLuZZkUOIKq7
qSgmkJXCTiYMr53qVl+Ffql+OLfkBn/aTsLWXzraOTaI1SwhRYx0mGpX8JY22RsoV/sEc8nrxRgv
dXNPtyrtAWDpfNQ/tgxHoZsm+lQZbuZEEAimMK/6ZE8/ydrVPYjCj1/n2aVoSCActzWPj6fLxqIa
ICQtOyqxsoQ1reIGimTpvhty9QJFdHtN74MxT8XMh2zaIYc9VssgA2PQjFVnZLS9s1PjZdqvYnrT
ssXcFblDSzR1Y6SzOgwa1vwy6G6jw52sT/238fttGzT3+1Op5oaSAv9xogVnIjAQSf+MY5Z2o04x
rn6dNh+k0TejX+C8lPlGnc6f0Oa5hFU498K56+iGAVk5LRMnqHK5ZSZOpA5atdchVwSmsZZXms68
/uNve6YPtoEL+brElo2juv2Wvyu3BoQxnG87AnSNgCoCYPqPMk9XihZX+VyCYDgoVuU99/1iR8tS
Z5o/QtO8laU63/Su0R3GbMqfnLFYfn/800xHP/0abG9ERJATRHj4+Bybucujg/mM4iLxpjfSr9Z8
nK1SUwJDMZxub0obBTMH0TL9FlaPACm9Kuvqbwpr2n5Jxx4H6NrqUADJCtCA9mPbKvXQ3lqFaRUP
ZPxDtusq/np/6pcm8yen6H6DZXObX2tti2TfaSBYb4Va5/pt5zHd/WxlVAT+iEm9e603UwJcaFUb
+V9aekMd2IOJbpxieSt2OraR5G+Afro5nIx1NA6KY1TalXA1YQReG9tmgL73GP92sNmqQBwsiLEF
TLKT/G6Y5h6JUujpSzihGU84MpvxrbTTvNiDyAfDlVYI0wWJgr5IULtjJULyW2YSA/K6632a6xON
e8UbSn/o8+56XLM59jM4CYuPjD8Cdmg+6Q9u1jBB6YcOhZ2iWLUq0I1sIPcEHu2CNFqm773VTHaQ
6emYhmo38n/2WZw+IJ3XjddF1mnxVRJ3qr7DxQ7c9pB48/ClGI1Kt0OH5rjzJudeS/a1OTjxrjUA
du8WN1uxhgBDK8uvwDPc9nbJM62+mXNrbfZ9SUnwfW6qRQ2At9tTUC+62eyyekQFq0H2s39Uy1Yp
0RmV62vfWbUZwvQonwUq9Mp3HDibT0lTGGoIq7625miQg9YKf7QT1bwrV7xqgs40ltuNGwWaYhLW
d2fUrfhBswe63SjcdV8tu5uKEHlhwGOaSEFhwazWVR85OFR/0R1RJwyvYv0LtP70l2aMHhmXviy3
VQdZ82C3bJ8nCLjVGyMOp/Pp1hepjzyM9m2NdWW4h6y1aH6v1cK4Zc5jfLImW85IYpn5zxH50vZL
mpTleqDfPN8ijtVUD5KQkO6yxNJzP5+KdfCFZS/XmORM8X6WzfQFKRjdC1ddmZ+02LJuVLVQvngr
f9AsXldicOZUwbim8X8NZZ3lq31cTOEsVokigqfVjuePmZPKAJpJ81Yxy00C02yNh54mx3Rjo+iD
oOHKM/pGNRpr0Bod1lsp98uLM9fiTQzuqIdelTO5UMHrjDdF3FfGoVAyY7zKprH+BdWqncNa1MX3
yhuLzi88qzf8lnJ0L4WdvWXIhrxWDg7pvq2W6IQlyuy9ZEOqasy9Cm30k2lcHpVWIRfM8zYbfM9i
OOePnZ1pexNgp7dH5hDPF4UyPFzimBlrOjkaNV5W1ZHI6QRfFUbVxvxIM7vL8RL/KWZX60JNa5eX
MVntNMShx32wEcmrp9DuF8N5XLS4MgMji0drz3QdukJvtqmgOhs19auBOTKhsrST5qaHERErQW8L
Zw0NaNMA+1ILpFXdbnjE3nSor+ch9WIkMWaLzG80DOXJMdvKuaHfJl4qwZzvzV2LEkPPYYzTO63P
NfvLkq/FFckqcPqsSQeQul25zOJmKRIjvnf0LOvvcqt1mgCFSe+GSbnId4nirXetpy7fp1zSA4M4
gOlArnXmY5sWQn2QaFF5XIVow3CTluYPjRFIEcBX9ZZrwx3M6cAgcrhdaATYfomTVuI36L6gIgmU
Wzxk+QKSMp46HBElJBE/NrQJ5Fmf119nvBohPJijnKGX05t7GNuh/KSg6x5fTXFbTLuRjlLCpqtW
C427rHlqm1oDd7zyxjpLds9DVzTzFy0d43KXcL3cy1HkDnQXRX21W7e7R1AXU2NjGFQNbncjYLXS
llp91K2l47tCOA8O6m8mfB/k1261FpWNRxh84pvsFc6Hkbj9XW+zt/cp8QCwaF+4gWrD0wlQA+/W
wDZw3wprtBvXr9hfFes+MYCz3TRSy/CBSZas+Zoqg9AOJgz153Rca2fPt3W9TwT7dQxwO5vu27hJ
lgBM4DzftasDFA1VGEeERtbLAqkIZA79MluHyjc7NS0Dpymnbl8Wup3s25p0mhCnjeXO0BHEJyHR
mr1V4W4WZMkE+msqdOvHaC5C8+tRLxGAp4rzaeSxeVdsw3xnLZunBeTLd00Zs1+O0xsPZYV2DHTG
Ov+ZDf38Uy0cOw/bKRkcf4ZZoIbzuJrPdMpzkKmaVCHJsP++EpCHKvTGZv3P07r4ebKX4aZZ6vX3
4toLU+NyHV8m6m7uiXoRwsf9sPs667LEnblUZL8vK61+cYyh/a+NteyZXnKK4U1RtjvkPTUMMbLJ
fbUKesYY3NZZEdZI9/y2XeYC17GaTk2kjXWThvOUqveNqxRdhL5z9kmO7mwHBYhyPK4nfOYCBKXS
F4S3W4eihF0d5KpTtZEA/pmHzL3t9VY0tvU1BRIUYw4xOqqPiPfye3aZ2KCkhXGUC5nwrkcA2fSt
3kJluLSt5NYs67bwYbWk6LSvog/jaeA+swpH0goWYuCTAQ98rJi3MOUUySIDpc6zH7KNpbmjqMBL
yBTm8DoljdZ+XRa3+sJscVagIjWI8tRWyk2Ls5LiROPappGL00TDvWF4r/O0tj9MXGzMHVdRpf63
Tktn7eM+1vBqSFfV3ImurT/pTtX/ZyAxSJCfdXE3Kr3+jX6CkIFlDOPiGxP1i9/o/H2HtlkzO+yG
BdiLL0rZutcOXGkDbtgw9X7RlxmyEGjbIWpuN/XjLJPFovVdlWMQD2ockUo632yKvSKgxRZ/dmuE
bAN37Yb+gRRSJ76UWQtr18u9JlwVRf6onUm1/GbEZCXsgShQOzr2alwvQnfzEK7+qu0WpVzUgz5Z
/dWgCccKlSaf0ttSd+RTPzWdedjM5BPU3+TypS/BUwaj0J0xSF2vKPkiHQV30QPNBYpkYZZHvtB+
wshNrlcWEqnU/EksX0SS8pQeuNqnqslmLTDtGYHIZTUqJYWTG0v7Zy2Grv/6cdpL5n0m7cV/lUYE
IgzgdY7K14oMQ06urqNulipvLdpqMbLxGQrituyNMuj7US0CUU/TFNiVq0q/GIbhtosNFUhIjQHZ
bk1g/GGggC9txBXpvukD9it+Tns1981EnbqwVznO7FKjwQWlU7231egl0lCbOk5YOkWCl6api69m
Mv2PtPNakhw51vSr0OYePNBi7fBcAMjMytKtxQ2spgW0RkA9/X6omV12ItMS21yakca26q4AAhEe
Hu6/kMZPQ1GrqVfphfG5l1OdOZLiFEzlXJkI4wacFzKCxgnmzzlg/rnpKkJ2j54FeUgVS7tUdbrg
lt8SzHeVviwykgql8aOKonCKyOhgPwW0vKe3bW3Z8U7q88o+jHUWPTeVPOlfG0UbNTx0VCSaOcuU
0KuoNSBGEbG3Qj+rHCl3ZbgxwcEMm4G8LFDat47Tlot+72LU85jkihhv6PKqaAvExUiFt84l05Pl
LhC+Hmto+dmJLCkHKlhj6vdSaJj72BmVwif+FgKNCLMub+rR4rQPVTWpHntTQUMAIHWdfLCQuJJc
Gw3L+A7KZF3trEqv0DvBoRhXIA3k+Qed28PTPALv9RKz04RXiWSevVBDvNo1W1qrXDcn+XnM7T57
AElqvJsNJym9yIEwt+ujUMl3ihOWOA2jOQ2elbqkflP15fwyjrPyMUBUhCiQV1V4LylWW7iU1ln2
el7mSDrEedwcgBDVz8JZUCOIIeQOIVodl7+ICNxOxYUDehl1tsidAmm2aUCElbTr+ibuPAu1Gq5J
wkhar6ic9o2k2bnlhmyhbi91NXPgpeWkvS8qMxOhmzvm0GHnLrL6MQ/iuvmZzE3xyZRjk8zF0Cf7
Llbs8B4FQxzrSONS4QEaCG7rJsVh0ikkG/E7OSvb+3xQW+NmkkxyJlii+UenyGoTBLlqsA/oP37q
B2HeVtWoOod2UhJ4nXk43XaZ0ZRuFRtBf8D+XZn9zrSzzyKGcIQGWq9HLhb02jthVM4XMqzk3ejU
6l1ID0TyRGTk2X1lA9Bzm7KQnBvIueIh0yeYXkM6W8kNSt1t4LUpNcp9lyXErBwcZOlj9ycql60q
I/VSq/ZjGiGnAh6yQMaorcOi8sw+L190HaMutmDmfNPDPBrYN3Ol74jzMq2QMAQZDyVamT0VDL6B
YFvZvxVyoaf3cgY7HArVFHzS83zOEQC3488cT1bmmZkxv3eoyP3s51qed3WYje/TeazEQYLp2iH7
rC2/MxnjdJ82vfk2nLsFLC5bHXfQwigeqz6rS3ouhvad7GOWHqbBEe+GAlFJt4ddKe8yO65TGAST
ZR0CW8TcNHNU8fclbeIfUmZWE+B6MEpur+Vajp65Mb1FbasuvIjyhupqKKjnR6cqmkPc5o7jdSge
l548OaHskT3kxd0Yg5FB8keO+Viig/M4O0Ir3UjSgl2cVoHjypJZp3uSSY3EEiNbPqpk7LUhEhRW
lWC8E2ovEo+a55hDRqzoplllN7zv48amu+Ko7fukKS3Vp6Npmp5ikPhR9M4wjcWv5nPYhrp6MOpw
9IOkr1A+ooAceV3Yyse00cZ+lzeNJLx0AlhxHNUQIXSlD5Jn0n3za66KqNnoOFyoDy1VajQAlq4z
eiKnNZvSKUbFmGftaARlt1OGgpv3wGXMQTploz50YShGAn+B2Q1+b+uCGN1mMw6yVkPj0wioQQwi
O8CpNaddKqBTbRRuzyvV6EIAENaRqsI/ZV1FRX0SuwzJVo9zD+qIDMt8mDvd2Gj5XThfyS7oQdFg
U9CBWZ2vCdZFdVaHMuRvOX5oDLZjrObmvTFBuuhlufImLVN+u8W2NBiRSKFhfkETF7WdwNJjWT5i
o5LftXqdHktHbElrXHo1GiB0cjGnXNpfpyvDBmyo6njrHIFa2k8qxWBKEV37jF28/r6uHTlwp4h+
/kaH4dKwtNpoY7BCLNSdT4ftwryL51jIR0Wr5DdSnEDrzYx431Mq0D0lBcTllk7S1xvjnreNweUu
vUR03xfB/tWX7HtuDnqUKsfcyvVjKiVi8Ds5hfihTZSL3VAOwrsW+4z7RFhKvVGsvrQ3gMgqNBkW
NP+64YGyjpxx+1eOTuYsBa0wfkY5JXcrM9nScbswFEQP+uK4yYAcWtfFubzmmdRxb8XkY/BDak6e
FQTtzdRVv62OyAthHkQDTFfoxK+r/aUmh2U01MaxaDVjF+BDsw85R99cz3Iv9EsW8Vma3CodPRLd
0xVTdrmQRTkYR/hWEsmjIaqPI/e3d1owNHsT5eZv1we8NINLXFlQfwSZ9c7o9abMh8yBvEINbqf0
nXo/FBaqp1m6JTR/YVUu5jdwX7F5wvFz9W5jj6gCFs0617RSqXcz/hu7oJqC4qYLpPaAcrGNJ2Q3
FNQRKiXaci07n9oFyrGsSE4HdK5WMSBPW64KZQl5pgv1vSXHwZ2awUPSnV72ER6eNk6j86CNuiUi
E2x/MI1nnzJTkFtAoUg7zkstEUxE66t96GwcRBf63wwDcpE3ogl1pomkWAW38zrRj0DEReIORts+
OUVSNGSXQ/EDeEnxNLWFcUgjVHZdx0wqcyFTq2iIasmX66vp/BNzEqHqK6N9SdxZL197xmndohh4
xOurvHcCCjWSqopbCuDWG2rdCYKijnBtPU8P10e+9HXBjr5Cry60qLusblWr5UBuG9V+M4pR4bI9
5Xtd2MXjoATSb4dY3nQxQweviJzuet/oETKfQ1Vrx2UfE8S70rdrLd5nQfk1cHLzM7WCnKJ90++v
v+j5hsUogd26MC7gnK2jq5T0sHM1Uz2aWTijBWcIf1RTm/KuPG0MdX58MRR1XJQAyarw7TwNRtT4
0iQxQu0I7mf2s7wNHzpS6yek+JN9qtH7703L/O1cB2Qr1udLqrMQwZYl9kvjrTenthRzIh87va6P
jgi+GZO8ZVZyYbXAx2L68CPFhmwNaKj6qIyx05CPo9KZtWeLIf8Tv+nuAWcHp961dmxsULsvfDZW
Cxw2/guYbp1cxabA7iDU5uOUks/LRhSjJ1bEeyHZ+UYed94sXhzMgSw5BDm6HqvPhgep2peGUI44
Ac27uTHVPxeNvQPkTv22QZrE4/BuUOEQlLvQEd6ISBfmFr00ExkY5E/IflbDx1GaWRl9y2OPHOKu
6cGyp2YSUCSZE08M+n+wIQBoLUWhV+WZNVAtT2kJ5508H3u1kb1qTkv0UOP+aBh9toGGPFeJJIlk
cS4YNCaYsH66OBvDHApDmPIxD0p2tixZ7ctiVlG7yhA135wM0ygU4rSicpPEkRKP83zsoEw3yqPo
6hTOryX3+IWPTvHbmQOPRsqAguaCNVlPg046awoqAWj0xsbbRtOmP5V+TFJ/sCv9W6VQQdzYqRfC
A5EegCAKgPgZrVvkdQbd1bRS2EnAjo693I7+NGs4kxqVuF1cQD0Bf/t69LuApoGUwlWBgIQ4GTHi
9Atw3Kp6D4/pSPnaWigwDZ3ZrLHnTyjqg6mph8YI/JaTd1/FI7JgSpfnflq01pZnzYUdrRuQc+jP
L170620mdfBPlLzm4J3mdB9Q0D6qcmvslLrdwhBdGAqhEjLPJSCe7+jC6ro4X9ozel09BrHdPaZK
h2JJIam76/N7IWlZdpIJAgvzQHbU6fRCN2vLFreWo0pfoPalwKAfZpS5shGjLo2D9CA0Hl6La/Qq
GVPHKItz3GuOxpiU92D9C3/qVXljtVxIR4iBECEhtYFgXb8N+XkhGZUuH82R9Q+bBnrNfpySRN3b
SV31ntGJ5M+JrJBWclukW9fOVzjlKW4G5xUM05aDmn25XiOQM3QRmpPCYUZq7bbIJcNeSQsKb3Qe
s4qy0jTILpB09S0CFrTJ4Ynq39CIcz47ZqV9k9Nx+Bxgi47/EL3WR1FTsvfGaJETH+hefk21Qe1f
VEVQ1G1o37uyAEZ71BA4eNLIA1/SyDa+VGoc1T5G61LrWa0lvjZGMt9pbdpJaNfB8fCribLpRo50
4SQAtLuUYhYh4zOPHyOxyzYF7HfUMDag4D0iTi6F9H2pd3nwzMRGxr3eJlDC7OXSK/PRF/jX8vNf
Uoc219TCNiHniT5qaJzRqdelrPKkPKqO1/eJofK7fv2yr/xaoMEACEGpE3ROx0JQLLfpDIzEoYSO
X0tV/TGTrFF9nFOA9J7TjN0diguYFUhhHH0BPTmIW7hjqOl1tLxVLxnKpvyc6MFkPdZAgL0GLPLL
GGAG/70xMudeHrpWHl27jkyTau1gIGDYG0rqI1xhRE9tNBp0yZtKlN64GId5YWYGIfRyS/4yT86M
eyGqod1+zGSUUdWqbkZfas2s9aSFbeViogalWp6bOrwRozx+MiQ1AiWbm7xQl9t26EfJUBXPwzC0
e2Ps+ulRD3Kqhy3Srs6NPjix9lyrYUKhKOxTNE44i6sjdfU4PJQUJc0bcDkTloQ2vZYP17/A+vTh
A3AOKNQXcKc9p0ciqZJJ7ANxjO3KRvABdbWDFgQiu+vptvc3lPrVz04ZjeEWE/jsDGLoBYm+UNup
/QEOO/32mKWouiSZ/VGzmzD17KjCKioayvCrXKZW70U4hki3Zoei9FHpJOUjuxNF8zybQcf/9ixQ
gmRryZQngLIuW/CXJW+JBBQ8La9j2wa9XyKh4CZKYn5zdBAMZpVXnm614UbwPrtzMgGUKEDGgZED
271GzmIUQLW9KsVxABfXcxMxnSclpxiOyNuAqFmij7Rgoiko5Yd8DCFO1GHdmb6UVC0YHSVMtmQB
11vfQk9oOU+o0VDe439P5yEq4iRGrXI66kXpPIVCSo62PGj+XLfpRlRbH10MxWwvC4DERz3D82aw
Rsnxh5kyhkhu9C7PbivgdofrH/bSKOjFAGtHnwv579U1KE+dOZDUXj7Omcj9aE5hGzfZFr/kwlLW
uK6/evEweWcgfQORp8FOCdExBuiLsriMLqDd7qxaKL6aLtb00GvKuL5zpNp8VIpi2Aja5/uYJ6BU
QJEEfQyqlqdfrhxacDr6JB/FkAU3IOzimxoC7j62AuuYas3klWY4byQGZ4n88hG5XrKDUTsla17l
OVqPwF02IK6IVyd4HDWwsKWV4DRHe1GM8rGv0lqnUUiPRVGnFik+Xa7vwNdFHSp/NEQjK5QscJHo
pGw82xkd//XZUFaA1MDZcnaMZaGDVkfUzcdMydS7MhnMpYNr139aMy41gFj6fEQdjm6p3y6dQjBA
zlwc5b7RIw+IdVh4oECRhJqqoYhduEy5etN0ZBee1OEH6pqIfDWe1lFx94JoMD9pWmuOblMhPeML
tW6fTe4SoycD2viCp3Bboatd93Qtaae9DOz+pzGPksYNlvTFbbo6L1w5lIef2FjElHw6K4ldo6NH
52bg6p91VOy/yKKrtoyr1gneMlXwBFCM4TOdi4HqZhXETtfOx8ZQgkfZKKz7PAlx0dDn1PlegML7
iYexaPZW2Zjvr+/QC1GQahtXT+QAqDid5cowyNSW/TMfAevG5c6aVONnGqJN4eppbo0LuCp4qhOR
ZF5LcCz8JWn4lHUj3g2K3lEUvP5A63s/k6GiUEFJakmAKDue7iQJIoHudJ18rPKyjPc1ag49clj4
sSkawtFuF6U0ZBUQXrk/6VoMWpdF9HL9IS4EYvTnSbgJXpQj10fDqEtFGEzNcKzKJqEsL087WUqD
dyR+1UaIvBA5UPwk/6KGSXK8pnXqbRCQ3M/jcaYx+lR3KfiOvK68Iazk24LI7+dpkv01yf/1bfxf
4Y/y+a8Ur/2f/+bP38pqamJ22uqP//MQfwMGU/7s/nv5Z//3r53+o/956n80nWh+/OPhpWr/Qdj4
/tLFZbH+Nye/gpH+fhL/pXs5+cOu6OJueiN+NNPbH63IutfheOblb/6//vAfP15/y/up+vGvP76V
ouiW3xbyWH/8/aPj93/9sVje/devv/7vnz2+5Pyz3Tfx8r1s1v/gx0vb/esPkN7/pPHjwGXTERCn
U6L+8Y/hx+uPHPWfpOaLzCcd2mXH8qOibLroX38o/8TIl2VDVqFDMXD41FT5lp9Ixj9l1hL8RzqS
y3X//zzXyaf696f7RyHy55L6dctvPQ0XyxYl0tMXpkyO9/JZ3iKN6Jen6iztKBLthZW+1zpUnvOf
BVCRbIS0WxxE9lIUHzPr3rb6nWJSRcc2HQ9eMDfqIVKbnTxOG3eJ02vS8lT0sBZGw1JLgGq4Ouqz
cgxsMPTOTsg29C2uh97Qds6ujTSxg964Wbo+mwbuXDC5cBShU8ynWOWv4OqSnvuaiSRy1kpubRZG
/ojzAGaVPfYRmhtqetPgKk95y+MykGDLlRbSO8q+oB2VoO0Ld0SB7BFoWNy4eYgKC/dOo6X9ILfS
G6WOuk81dvHNDvkWG/gfGgNgyUdd/VyNM6lh2EfzpyjpjK/Y+4zhIXCmqfJ72x6Sd0ULZWqXq8YM
MIvMI9gvb2Lu2ky0CsK7oL8O5iA3mVs5TWzfgrHma2ZJkaLnO6vd22ApYKCYmc37alRwh49nOzxI
JiRBP5MEzu8ZkP19lIey6ZaVBk6pzIrhENdGbbijKJJPoZFrGhiiSKEXlRQJNj+AaL7UXNQhH7Rk
CRWYB0C+ipq1gLWgd/txqi/Sh8boYJTsBF3nOSFZrwtvGcHJpC+LDvQ1NB+PK9/8zQ7qMXJpkdTO
bQozq/LinEK1i/5ICZIzHKanVrNFtUN3kunVF2FEd5ay0nTRoMm7XQiKOnCxUjQiT0iSYbqynBkf
xFyTM42lDRgaRAkYkWxQupsQJ8lHhYxySxHn9NRh9VKpp0qv0Y8g7yUtXp06IomzMZ+0HUCx9ggk
3Xk0s1qu3FJSdAn5jhEcqZQ4aPNnQq08eENo3/8SgP7e6L9u7PMFTfEXYxC0oUhlSedOn6FVw8rO
wE3sysYCi5zFHX4gC1YwuZ2tApRXJQ254QajXCOnSaO+3V9/gFU+iVECeDKqHK+aiwQxY/UE0Duk
RsypvBviQXsPbr99xpVt8CeRN/cCYD/N8LDYA+N1vJkK3j1O4gMMnbygIxZx0e47a6M8e3qD4JEW
aXuVJ4K+vXQ61ldDyaziSUa/JFKC7MHRG/FE67nZuIZfHIWqJDkHPmTIip9OfTiGapKImMuCNhZ3
U1xkuyyYtd3G/J4S0JaXgQbPMuNytahSW6tbAjUW9DMCXqYqU/vZ6W3jrWg6/Yeihz422fojLI7P
hGbdr/SwRTIk3VLJWq2xsydYvaitlDLqo6niD6Py09KLyi9bEGEJV3/kLC2yjmBykW0tNnoOq/11
Nu7qZgu1udRJqhW/x1zqdq5M6Tap9a91VAMjBE5a7asknL5Dy8IvJpfL6fn61K9Op9fxSSsRAkdV
E6um1cxLBZf2EBkWn0Ud7gM9DzysTgR8gTa7tehE/nl9vFVa/denXrJqB37bYm23SmPjUsoDdTZl
X3XwWpds/M9buVI/RJmJj4c1JkcjS503mKb2j7NijD8mM7feGVlIo+X6o5yvbTTKgNAshSZSmrUy
YCkTnCdwDODbpsBlj6lvYT2nG42b0zT29X3ZodSHl8sMl+BlAfxSwhnsUtHKqld8AFjJe2SI5mOR
jtZ7A2l3F6QEld4wyoKNfuT5u3FRoE2E4wolWlKv01EFlBeIBCxno0LaPgETuJt75N6vz+DpbWB5
N0BjzBDdskWkRF+lNmUZGhOfU/apQkX7MR/rQ9kTEXMlyb5cH+p8nXLloVm9HETyUk44fSFMtsmx
qFb5c9QPD4UzlB+lsYCSWkn6rqzCLR33S68GFxfA3HICIpByOp400r4telv2y7isD0YvZWSVQ+Lj
MRBt1dtW70ZYJuipy6XuNbHWV6dLZJmAvdPQhK3Q9vMuVApTuEZllH9qU1D3VEjUtHEVbCShqwGm
vaERVdJRCetqus+tClhrF9bj8xCC6N6lVQfVb4y5sKI+KXEmX/8Sq5nhacmsuZABs1uqs9oqIxBh
p8OHS9RdnCH1qXVT6addMu5lDaj+9aHU1bnw11i2pS1Cl1wR1mgBZRazKNJJ3QlTyF8HaiJQ2gOj
/dAUwmk8nOVt1UWNFwwsfQ4NyZrQ1m8VKxkmD7azjH0kqusjMiKz85InHC57PQ0ol+ejpr9HyUEu
XLNEocnHixOgZ6BMmXK8/hIX5ou0SUcU3WC6uAucrqQ0BUkPFEDbKZNm36uZZt/OajPdWX0q3l4f
ahVrlukimpHbvxa/YJKfDlXUUZs2Jsez3kXKAcvD+Y0xBy2JZdLg3VnIwXuDisVGhFOXL/7vZgkV
LIbV6H9xcAMQJhE7HbYUtsxSzLVdXsTt26Sug8JLAQfvlSYAotA1Sh95YHvGY5eOykDXHEy3lwQR
CkCp1hbmTTc3CpKSkEtuYzOZy4MQcXwwGmDVXt86cYE8sZoZd2OIU+kBl4068THjwLQ5VRJ78K9P
4yp4vr4PTBRkI4if6GuvVnhhd0M7yNxS1CbsHhxROb41zlsY4yWCrGcNMxOqlBRGCWirXR9U+ZBX
o63s0LzN7s1emN9L/JnCXdxhzqkFeb1PjQEPdaE77wUH08YRcWF8eisGPjs6OkhU106/Ws6h2+Jc
Q/QMi/um0e4qVafuWT9CJP2RC124hW191LXq2/XZPY923E0B3FH0Rj4Yd/bTcWu62nExyMYuhxK9
S+emPWInO8AKqONdJ1nWxtc8f0+bYIWyEG0kWgdrlC6qCaaDn4uKj61o7p1Sy94hyFYcl9YlRMM4
0naOpEoHHbKxh1MwRhfXX3id8rCeuPqzN+hdkmqhPXn6xhRN4b9YNW8cDcE7y8rtxptgX9LBczpM
hku611Qh6Dpkbon7buLJZSwc19T64gO0WvRYrj/R+QKndmOx5KgCMDln2j0RWbjUaPqOnxqeXRc/
YcdtodpfX+vfCxydS4UBwKzQHpcXSfPVa1uG1LWQZeSdnCbB7KqhaXyjQaSMPkqMlr7PCe7PcaEY
3B07y1axIqaTcBjkIkKFsMq+0BMrM9cS47y4L2D76Zay1d5F+Je0ey2JIQAoZglARKfX+alN0zm/
CVOb4jQUeDlyY2jU0v761K2VI5a3MilVoccDyMkBK3T6MZ0QS+Yi1tUdKOx9GwJqUBNzcBWRm99m
3BjgYeDA8DWeRgtThL4Wh65E4cZVMGbatXDUPT0ujDc6fM0P1x/t9KBhviHNgbVHv4OHQ+t6FVAc
iY89pY3lI21R+8BttdFVKeG8sUPF+PibY4ELog2GXcpSdAM0dToLQgx1i6yc5VuczLhFhLkvurn2
RouW9u8OxWUBbT8u4fTj+aWnQzmRDkN/ErZPPQm5gHGwdlRu+gPNLev5+lCrez5TuFxMqGBS7wfQ
YS2V0l+T9QwitDxXjAXH+3HmqQhIovdErljfUEFrdih/QNTsZ7GXhaPeRlDyXadOQd6LpNrX8A02
7odnH3VJ3znUOVmXW5O9SrHVrik0pUWeOZH0aQ/z06CgN6Cf1ExbunhbQy2B9JebioVdiFpkDBVH
ZbObqGoAJskIlB2C2Ncn+jRRWeaZAiWKwsgULbSX1x7ZL0PBas2dQNimP6Ml8dzLzfSxpOP2dh4n
+03fhoqfZoW2ceCdb91lVE5cVq6MBPL6xGumAlxDD3N+wqbpXSonkuuMenJ05la9wSrH9lAOgIAT
TeXORHLhnphePkdm3HzvlUY13N4x+rczqPLf/8hcaxZ1esrEOmpKpzM/F32CEnZnAeYbnX1Vd7M/
NmLYozci767P/IWPTCmeidewBQLDuQrKoBhKfchN1APmUr7BIcR8AOOUPi6Aiw/Xhzo9ZV4/MkMt
9f7lnCFqrt5KqWo0VpahWvh6RkZElsNpKzycFm7+HoXiEXnU4p2xHgW1z6bStcDyo9HKkr2aKMYX
pAmg0AGent1edcQTPO35zkbMaGMZr072vwZHpofJXORHwSacvmKLoK0ehcLyZ1MTt1TSxT6ks/xk
5kEFojpyDiHUjI+UNbJ9btXZkcw/fgmtod7iBJ1mOX8/CbqkdKctqmnrxpxMW65yxsKiTj1lD+0c
pN9asx4f89Fub7QC8LhVqtUHa5DF+6oVW/4TFzY0BjjsKWL+65F/OhEpOgmQsCRURwxpvMMpSfs4
ohqwT0T3nsxf7I1UbHmYXHxlzAdN8KCvqN3TMU0EISR7zC0fu58ZsVKVmh2X32MV2dKfHK/T3YwX
+MehncZDkptbBhiXdhKlI8TBuG4ty+90eJEqaeKMteUHSKfsI1sT0JfT4KGDEfH9+k5SljPuJJUC
C/vrWKvQLFfl0Njgi/zeyBuXK7iB6WSrHXCarO+Qa2lurNRCoiCb+zcGogOPMmSpL4VWmg8inaL/
IIZQF2Fv0xvAAH2VaEz6FIoYGpGPYAjMs5o4CnvqJ8nQ+P850jowSmFRpBIjFXDNvIBC22IootCu
wYVnY46X33U+x/9+q1WekclK0GdZa/lKZQ5Ps5mHO1RD1CckWdzKrJOd3ZSOl9VWQMM/1vqHZhj2
CN5s3QsvrqvlxkBtkrq+uvz8l7NRUKjUOQ4slHOmxp8XhK46dNp+VGJ7450vDQXQmuAMx5VK6GpZ
RVBoEF0nfGnRqB+ypjOQXRs1P6O8c3N9ek9vfX/FJ9bLgnJGv4++xelbOVllS+ZIcjoUtBf1yCy+
OnIj7oAA5IhUW90GS3GJvOuvydlDQASlAMFltXLCSXBBQAPLR77OwkMbEn+pqr9pcLkcbkBSeSVq
Saihrisf0C9ztVYYZZ6V9rYeZukRnUnyfhkRlAZNRM/pYu0h17XiUQNmuZEaX4q6vw6/WrIjXgZW
0y9B36Bun7WRjViOmR+iwZC9lHwZVreaHK5/yYszC5GWPr9NzXVd0Db6UC4ltgFfUk/8TC8ySC/F
FkDu4tI0dK5b+MKoVHxP14sUZ3mlW7xaArwVO280VuRQuJYVbOFqLgZX9hQFAqrlFDdXQ6UN+UnK
PQdFFgQhPKmmDmLG3YiNssDQLIbkCuNmP+vo/4vqc21Y8wvNdKAvFfXcjZTi4j4BUbS8NG+93v2V
3uBFixiIn/TcMWVMTx50XO4f2kSrfTF04vgffM1fxlvdeORoKkaa/bx85FReDXfSVRlvY6FeWjOU
BoFS23APOPBPv2aQ9xIMW2Jrm0n5W7S8Ql8aIvk/eJdfR1lFzq4YciWeK/Y8YhkHbCitfVvNW8SQ
JVKtIwuJOrRkqmdcg1fv0o5ULwuJPY9XRXM7WWEsuaDEhy/9RPvMLbW4pnrHndm1mlpRDhkyDLvr
H+3C5lh47riX8OUI3avUI3MS7FzzwvbHIRR3AtPnfYC8D3KIiv7x+lAXQoxDjkX5jF4P3brVWW/K
QSOPeDf4KDwUX/qsGfGHM7y2LauvDUfYPisDeX99zAurhTGNhezENY07/+lqQblMwqWdMcMY7eoo
SZRbyJpbzauLo6gsRzpkgNnWJxKOtkgoNpnti7YofFstf2q19jee7ARO9it04eL0gabmPwAoOGNP
XwUJCTGZCl8q1nIwepJspzuNiPdlRnXxifpy+mZIFO33txvli6WtS4iGvbWaQDJxzYx6Rq2pTTxQ
b9Xv0mizk7ucLquNgEorIFZqM4t09Cp0tCraBzliO346jOkhFVbzqUMHbm9H+XxfSV33Ppm1+VAX
cuNJ8qAe0kqdji3Uc8OV6nqrJHVxqiHXgz6Tlxizmuoek5ESBxOum1HhTO6A1BFqKGp9yKqpI3Tn
wwOwSAA+1xfrhXDALPx72GWWfknXojiyJJImbN2nod2pVR/8mKXK2qVYa/l5iJSra2mN4w42rJgO
/c+N8S/UrJDXoDyEQSUNUnbq6QPE7Rh2WRnaflOM6UcOOHifSmN0mpvZrfVi98bwfW5NoMVhJyvv
S7XQX6SMNiokkDkvd9VsIDsj0OHbupq/CpecrRAqG5R4FFKk9WHWmV2kjZD2EdnUAI7ArExRosmk
R27L9mOcScrnUeiHpO0yL1ED5HoMMbmNMKf386DrP9om+GJZWYBTEey42gmTvRzbyRMmysgxoYnc
b5SILsUEWnT0JQhdC0ThdC4nVBnsHMV7H7SL5pmhFR3lINjiQF9aqUhKg4Zn5YAEX32xOipqOp4J
Xwz4NBJNgzS6jhUMe0ULx4NTTGrohaX0u66YZKvogqOnAYSKQiKZ8enbFUWYJJbDLcJWcPuJAPfs
GivK9klXhf71XXFelWEoyFroXJjcMNZffkgqSTgA3nx5KPLndhDIoyVDD0UsAoOS71CoRba/Q4bw
q5X2SFVeH37NzHt9VcBErHZeFJzJsmt/2ZVDJaY8t8PAT8GH6x5qvemPVBLkUKAN9cckU53QRboF
+ZukGOed2Q3vJHwaIrfV2ip29SKaUWyXRW77ejMng6tKC+i7NQEVe4HRJeFBrnv9JUZbqvfGOQi6
PSek+mhjHZW4qoWF+S605OYtqbn6ZilMvrRoys0eyr9luc+LtkHXMa/HpwJJ1nIjQzhfyMDmKQYB
3FoMGs56AXSZ1SLhupUa8bBrSyt521Dl/O265UKNI+ywVzi01nlIJYwYKmNK7a0RdHUKXHiNuf+R
qvm4gZG4tJ7QLyS+mUtfdl26tYEZOq1gJDCr1dFKNPWDLGZtr1WNMbvSKOqf6NvvBsnQtnoCF6fS
pqQG350V/VpV/mUpqV0KLcKgasylTsHsYazaHedqfNDkyfocYKJysMyqckPbavd9zFHY0Ku+I6gp
uyQHNAY+/g0eM8Ob62v8wr1lud5yS1iQW/yfVRbYtQZnXNZTgJpaQ6Pt1KrvTOCg7+kD6Y+jUYU5
2Agl+zaFGv7ZTWcDnpxtNqEHJTSsvdwU04bbyXlo45mgTHMVpmBFb/l038WBGTmmM1k+q7J8zJIu
cIXo5++KXpb+WM8YINR5uIWgOc+HWYSAU2lq0gAj8TkdtYH1UvU4vUDByAcvVI1izz3quzIq9sb1
TFle4ORIQwkObhhLgaQYVOjqBZEWbR00CSW/lu3s1gav7FbaGL4l3Ij72I4T5GGjQf2adW2+F8h3
HEr82qkF18lbdc6rb3atR9+rUZWfTQmfBjdDOn0j+J6lJMszsjCAQ7FXoM6dTkcQhlJUAaDzayMb
n4XRSN/QRA1e2tScF5ZyHMkHlLvHn4JH+zypc3u4vjTPtszqAVapWDMUdmToheQLkQE3j5wPcx9t
VSHPQsIyCBcwEmsF9zFlWYq/7MsEDdSk45zxUey/p5V3m2Za4Y2Sdt8Y/V2nG2+NttnIDy5+fVCw
iyQczaR1s2GoUbw2pVjyEemLCncIsTzHMbXhNlsf0B+SPl+fyDWBj3jDS9rY4kKzVrg9rz6lIYFg
RJQy8C1ZLGrZoeEnrTNm7pTozc+xz+s/YUQagPsQ0p/wkHgwEba8/hBnu2t5BhKGBa8BFWp9hxlZ
ZxHKjpIfg5KFCBvWdEBlA6sdUb27PtTFhfPLUKv8ix5nCGCGhVMUo447XvR2zpXs5voglz4iXFJE
vlC2WBTxThfOhJjnGEqJ5KtqFgW7Yq5mGxq2LR+CvJU/IZSt/bw+Iq3jC2EDHD3eOjZgvzPQ3KDk
/5u781quG+fa9K3MDaCLAUyHQ+6gbNlyPmFZbYs5gQEkr34eau9vxpb7t6rrrzmY6QN3KWwxAFhY
WOsNCyD2Kdmn9uBfJxvuJ0rmZh33OOIYBucj9ofGa503eWLOOA04wwyYPtOlwa1Z0LkTXyjkh53O
dY4obGY2VAKj/EQ8TD/RorpvYhvppZbyuNynfQr9LC1s3F2DuOlovDViyfZx1sjP6TgG6XGz+6B1
3fTqHmNAW4a1MPVb6UzGm9FWRRbmRqVQd+SA14RBL3Dt63p/ckMaCyBKx8oGttFCWzbCSk32d4/q
7lMNPvkmWIs+2Beeyj/Ng4NQVU0fjErkvMoHu12ajwqQAM/TLt1HB72U23jykGFFCLQOws52+LdG
pmeJkBDfTJyABP+9DjO6rI474KgNU8LNoAI0cr7yjAndhSFWS4rRjm5nyoXZcBFUZedEHorPnBLc
dkQT1rEWgL6G6h4RfUySndutCBdw3kByuh7z/dDamb1zW79J3wokV6PKzwv/fWFjyDkhyN2pOuK0
7SM+7PjiwuiSgC51PSqEVdu1Up71waSaTuro8XxVt/NpqOJlijFW/CFLbIrAmW8078008X3zOHpD
WdE6wagwrDEhS2GNINS2N9MisCMjRndl57ijqdCYTakli87wvg1zWnxFs1TmCHgHXRnZJfZQ0Ax8
h7xkLJCcrTDoyEgFsqKPTBxOfkyObbxtadn9SHXhDaGBNiHuESJJ+p0Pxnv92PtVog8uGsXFRe/K
bkJI1BjacJ4pne9aU7jII48+G1u39NMDVq0cds2S4/6u7dErCK2iQ9S0tJHt3nuweNYrsgt/oFYr
yxSri8XCFCG1E7HPEhO8xLDO4mnpmAOzM5kcQGWi7jmLKspKhRf3IYzYVBzyMh6Y6ogp3PnIfsqo
HA1lRWnjlKFqqXI3pYvJR5uK5TsFUy/fLbaXvOtsEvrQRHfyfgLwhU8E4ukdOZINMgVPl+LzUicE
0AlD3jdswP7bAc3iB9q2LVKrHdYQcGRr835pOyiwvTUrVGdsR08oTaPycNAeQrKhSbt1CnsDBYyQ
kXPTfeDMxheLxfaBs/Ck947FmTdaE1ddZgqpuDB3Gql27CDzIy256Zsd9Pwh+iWwsPBYXm3IStP6
gLOC8UBryPrqUDlJN7OLZgnxAVTv67J35j1lpkmCm4xdd2eN2ebK0i6IA3OgzH4MdrxcoTiJ1ndf
Zul9LK15uLLxcr/aPDLrY09c9MPGSWe1M1KhQVbpLqeRmACT7eijJDcYHszvhBLe13UqnHun94b0
ws1TKF5lXDi7KvatIsQ4L7mVIl/nEJMP7289BonN/NOQ2lFPsNYQ9FRe7fwFOgfeRam7UjlMZYM2
sN2Pu6W25Q9YnWt5Pwk7yaIkzYW+wITAxASArNcONx/T7DJVRf2lw3Xkixkn9sdeIDkRGp1CislD
dOurnycoGi9W3HK4a9H7japKx1Q3sqIeImoxiQ6bwWHXUnZ61Lmt37tzYV30yIxDdAvsNWzXqxGd
/ccZBfs6NHGd+Jw6RrbgBlMoArDjqEfUjdv3CWBiMxp8d/iMvotrXuCmtnhbYBhR3B+L9IORuO4H
Kx+L/iD9fO53KPJX8xfqCjaONjP+O/slS623cxZP85FFEXPXmW2MfyPrX1pRtYA5Das8673rLFnE
cBlLdE8PpeLsHpr9TDsQ4eWhCa0l9kTUCiAcCJ+XBbqj6diUkTHMxhXCbRgiuBQYBZW5wvjaymId
LxbZVGY4baKaFAHIA8PcnYxl50HRL3fz2Da4jGQWOPMaLz839NvB+zrNffJROngihViQxkh9TSMk
nGU2RL8rchedtQZhY6TJkU5wLiBHa8TI3NyPAMwX44VZuvZHS0xjjLi+q6rL3puQiDYAhKBibBub
lrHGLucwGnGFhrg7i2Oa9saThSuEsZezUYw3pVNphREyOUc09lLHHxC36et726JSfESnf8B1Fogh
P4WFh8MOdjPLDgMV/XlEOqgOFycrgsi0u968wOSGoULOeKy+D0Wu9a7156wOK7dvr80RD5sE48kP
Rhesn+WcgN0mgkpkw+04++TaCs5jrgGP3xUD5I59Ies6f0S/p0QozIJwSs82oHVkjCXVLBth87BY
2zGIPA9l+0n0QcVJlcPbrixyVFtWK82+goia79Yq18U7prZudmnSmhe5mYm/lZTjeGmPcfPNoJpc
RHAx1zockIMhdgRDsNpX2ViyCSDVjfkF2ZyWBw0EwtkDU6PfChp7QIt9cZdPWTWYH1GRxj4myQri
hCAP+YbPA2YOWaFwXEB9HUUCOcj3CQYwnzv8TzjU2DMZk+gne0IDGlPsKFdF+smuPTTpm6KvP1QA
Laxd10zmk+im4Ye21+ULjFLNwutkfu3FCivrFtXsKQxWBDkRszbaa7T95/pQx2jpHEsvKy8dp3eX
cK5rec9Rs/xqeal1pxwMhnbL0jTDB1vl2e1QY0m2QwGvu+v5rTikfdW6ewOJm8fUNjHXy/K6cqJl
mVYIm34+/bBMdJZ2iOO6N3lrtF/HRo0CiTGzGPbTMkDR9JvZuR6wzRwus2zthqNsC+FHZllbdOJH
EJ2RnFLiZ7CujjpATZBvZVrPD3HtL+qImbOPNv4qtb9zNYUi0rgRU1toGSQigOSbjp0U4C+6UBie
7hZINXHkimn5Vgz4qZHaVCg4TbyXW+E1gEa9BlYtZNyymaIun69iS2l8wKsf9pTOWdR2UtyWNt5Y
u5XCtqNd+J8ZU4jdhlP2dEyHprgu/bbzD0ag8y/YZI5DNI2izHa1asc1KgcpPvu9ySJ0hrT/ppZl
dqKJM46zR0jCv6qbzSpBCQP+mQnA6BsOAkes8RBpn7jfsKos65g3yugfqxlv331WlVYWSb+KqezO
wcbZo0rnRFXXxzhnIJJzZSOOZOxyBOCvkRBP70DX4IloDJ58V+IjRiEGOXTXkTw1HH/SY9nh+LLT
VlvCmZoatm/MF5oBlKDQOIzMmJzubbxlrv3cN+JjLmit7vG3xS6JyI+pwWawue+qphtwosm677Ka
xyff6MiI6sStbgPICE6YbP4WYbnkrgFxxBdVNGWBsiNlrSomIYKiunlZN01odk4y4kEkCvSnXAJn
GNDehAHsOHW/R5kBwwm4XtZrdb3fz2LwYJGj4CABXIMj/q9nF28OtJrmMthJq8QR3sjHdywK8sZ6
6S7/fGj5/Xz966VelFAFtgZdk3fBrq9FeoHcdP8gktI81GS7x3IB87y23XuMevJPf77w74dALuxD
i0BeMoAn8OJg71ZSaVpYAQmwsvZlUXR7AWv+lQrpP75JkIk0NQEyIWT565tcjbrwS1Qcd5A9qk8V
+t74P0NGOXKAfhVw/88X49zHYd6DxvyiahSw9UiVKYYtn5udauh3kCK9CxYS/D+/vN8Pmrw85Ln/
c6UXL6+pFJZWHqNGbXu+SL24ufA3gffV8QDhJa3G26FI3//5or+fqDcxGxqBz0KJoBZ+fZfOqOO0
xa8bgUhlogTnFbvMuEvbGzOOX2NT/F7c4lqwCajImi58wBcPqBB5HnqvwjK2s+QPHfSO3tnOIB+a
Gc3Ecsrq92ltl5+tcTWPc+NYH//8rP/wguGgI2XBXSDM/LISLRBHg1HFC65RIr82/XK5RXKvfFuS
J3DyQg6GFeJUu//eVV9MoCIekqlcmEBTEGB6BVnoyeqSBDPSYNoRL9obsfTxK6Xvf1iIgBxsuJ04
L8N3eDGsXbGu7pxaMbM2866lUbs3ppmU/z7OcOSwT8YEAN1fPJqmVOiv1hTvysBcwiAl5OKTAfo6
02jcEUSr5FjhMkEWz+H+lVrQ791Th2q470KjBweHqM6LgIp4fj2XDZqiS2Dld/3WMo2meujeu3Z/
g1GOidFI114ufeo9eF0RfKPdahxccPk4wqNHLTtUzf881v8QeOmobCK0MPsJTy8CL5YtmapVF+9y
FfhE9qa4mD3b/Rgrc4gjiS/jLbI/utrVFqnNn6/93Jj7tb4NFY2dhX+3Mv5LfHilwFOXSyp2sMJS
SHpcvQ1j1bTXC3XcMHaxpbKx+aBXiU6U7w363ln9bjeXWfyQuY24FL23XgRj4r2r1sChNYQSe60m
J3SmyUY3sByOKBVbka7xbUL1A/rIqv0wL/oVv5ruw58f6B8qqDC8kRWA4WYgD/NSwKJbp1XHgxHv
NubM0XRHZFbN1YzaVjq3boBDCmYp+R0FnFRGM+TJu35003+LRqQzgWbv1jDA6Zdeza8BUrsxh0qL
urFtae9jV0Jr9LB3O7XjzpJB96dheqFW9OLL/3/Ei1AyqpEz+lmHiDbXBjL5r7WLHjZRof/xP6sf
Kvv72z988ixiZMu/6BNBXka/CPzUM4frLGLkm3+hNLghZ5D+o8awCV78R8TI+gtNIwiEgL3R3qbN
9JOKEbJI1okXBqkFYpj73xAyor+wmTCDGoKJBDARjsSv04VtFj+mvHAvjDQuVo2zY5fxv04AFcCJ
qDVq6pMC0mJx/p6RJRTkjmkGkTIIU6Nxi9vcz+s+O8bNDH03wr42871I9MQbBdojdboB0rMbE1et
DPvMcp9PKvXr1xpmL/ZLOC0BrZKNZQpRDCDni6lfLENVgIPLr5Z40jE98hmPaeR7LG6xTgqvp962
kOi9MSgI508qqGPnc9GbcnqH/XA39nt0TOtFRrE1+e7VqhFKfWxS0xj8y9Qo0+6g1jiZPwR+lRfL
K3f/DJ75KRyCCiWb8cExkP+ho/hb9CjTVi3jUl5RdU3482tduvKiryf0r8IUiSNIfqn01ybhWOaR
kdy6+ZAyVoPn1fmTE/Tcs+RYXdxaxkTNNORsA/Krb4GFXKmgwb0WT6wmf6LA5RW3Jr5t1puxxgVT
RioJ6IVEYvLRAg7xVg6md9Yy6jwPi9SuMGlVYKsoWNW81dfi5ovNnyff9H42xSo634hIvdj8c2uZ
OtQH06vCn1P3c5Cu5NAcO2are4QAIGBq18ATL7pU5zzvnK4SgOzzY5k4yMmL01OTOUzcb4t4d3xw
SxzExStjxPJjOfw6SPamB+zR7XTk77fqFoA9/ACBL4UueveIn0rDVM+nASFcXs5StvWut1B4QUvx
eQmh0VfV6qAo6Yn0aNLoEA9O3uR8aoTImVK6ScbaPIhpQoPuKOem7usdpsWiar9vbpCJRSkN59Vh
5w5Lb09Xy7x4TGtWEN7aR10swOGOMqCRgBtAlfeiv1Kxk1I4ynink/dm8cBk1HsnNiGBR/lY6aI7
1CmYVfNgTnSjghtBhUlVB+x2PO3cWqropuUenQGMPSJj7an0RBVKfdXf0hnwPLogYozBfDSEzLsE
owyH0+K1CZENgY48pqjxptVuJuLo9BJqnqoSt2LUhoH3jKqnLtmbM3rS/U0wDVlgvE0G3dre0QPy
2j26GJrymuRYE2JKTNJ40CAH0vKgC6S6JCasq20WF5k1L0t37OdpyeMDLDutLZYy9AW0KepW8Egx
OKuBXGCx8EsKR5BOdXPpiEX71W0BXq3SexTDXJVcJsnoCOOulkta630W24jVPPqJLJrkYFd0Kx4N
dFq58bbXDP2gi+0LFCsnv9/ZVTbE5biLkWJm40ccQs5pdV9U9hz4GIymsGSs667OjDGBKwStGJ+o
0kzJc+nCDJ08TEECdfs7KrPOkB2B2kxlGgXzaArzItGoqz0oGkf5clkCdmI2YDXsKPVxFfbkwW2I
G3eabpKhXnhX0kQHbqBb3QzJcu0MRgA5+fQMhaVMDPRGMxG19TQU01rmN0g0d9Lfzxq7v/LNhBJt
mndhmXq4NLYh00z2Uwh9Iy2rzxwPyJPfBlZfTuZdhpxX29xO/iAKyu0uDjjGUTmJaY57KsoDjrCk
3LQuAAwTnf1DTl2buR83pWIupx7TBCtpYbft29Fk8jlPZSvbsX5LvTNj9G3KJywBWRgFX/liSRUC
biPtevKqKoVEQ3V31MLepTRtygKo1CJ1HmF3LovbJbO3Tc3SFDkoqGnuvAzT2lcl4lnKamT5vapk
3XVvAqhcTQ921lvxTfQFOrkxFSF0a8cfcihZ2neZ7XLmvLNwBDXbKwsbji79jMsZjalLp0EhXv0I
xskQ6BJrmsr5wWmpnGUf4r43suqpK/3B6r5XRm02zT0tP7SCbtoiMMuOapdoq+xidfDhhr+4Zqpt
o7rKqxb/ypk6U1OFPvBnpe5G+EC9+ojZL3LetIuWeMGLA9AoXaixt0GlIpgGF1xVYIBbXKfbu9Jd
HVF/HxNaY9VbK86DDg/qIDORUAY2jtzNFzma2E7urT7LBm9fuR0XRym8L0BCYkRuah7VTjq4/ADT
cCAV4tbIOqPVD5Q0M3M+dI09Jutep1DWUWWrJowSitsZCx233q+UIh0Co6cZk9zE/ZpdS0DPb6Fy
C+GXHwd/Gulv1ZBg1nyX5RY7b+ZOgBYOrTMoc/nSzKmjXEgnUBLLW6YtON9L36ErZL0B4qtZGTGV
XZZk33pjbO+qIclmcVEARZmsO4E9C0bbHBh65R4pvst63g1N5UzLgSomNab9zKZftQfhyCmz33QS
NbocdX+vSvrQybxl6r+Ogw/k51PaoMBt3eOwjH36jsq1PVtXXofp6F3VUpZprhbhFXP7bla+x+yt
JG7v43W8qcVMN8WCEjKSf6eIlqlZjw0wwKAISJ6GhiRNEW2fF3lXOiaf546IWIjk4lS62TOyR5HX
VMv2s44HEmz2HK633ykg4m1T3Y+33xEWhp30NU5/e5nUc/xSdGCTvdSAqdV+GulrI/3VD8K2ACC6
8M8iFNp7bripO81vmm01B8VFo1kv90PgzXJ9qv0um7o2XOuxUPkdYoWIeu2FFzTck25LwmXXlfU4
v0HVD7uAPclsQ2gSqjCX+L3lr4ZFTElpp1Q3WTLaJCT1yqewRt4eACxKz2JzZ3jM821ftNs6bkbQ
ln/bXdyZy45Ha/Jgr1trEA+BqStWzjloOIXD/oFnecc9jU0Xux3I0+d4siJtyDf/c7+n96Oria2b
xTSi9hIVNbVn1vkkC2lGuajpAR2MKaFHvW/KWI/pWzYQl/5PPHeIfLwVE8KXyQ1mg7bDnFxczC8R
kGwdJ9kn/TBL+zDNML/lhetmSYucY9nmVvcuyIbKsO7GJN/GCrDEFvBqlBnpqE9U0SzrMDvVPDxV
a1xb7lcwkIHSB11wCWNfNf7sTTc5whG6PqAkvS5FuAhHW0/2wK3/TWPfUGyfg1UhuNz4YEXTqVyz
LLLZG/PDOkhLuWEXKOuyrjOtHjJ7XfR1AR7tyq/J2n+w0BPvigqEKK9tV9v25bj2ueWFhSiSAshM
XfCi7VNczVxbE17rge6IsT/n/flpPvaBqra9fO1yrzusCUfX7kA25DK4p3UATrnurX2Q69Gx31Ri
SvjFWgItZP4vwmRmrP3EH0bmJZ5QLMmmLYnSANAU1XldeVZ3yNpFzuadXy1IvgGVbbZ4n6XamfqD
WWtlr5urpoWB2rpIwXJrbEg2JUKcicH/uhksrg7zLCD89Mu6XS6J1do9pnlN9mEsFMy7w+wuiNcc
ug4qDnWKySBlaa11+0OVRMKSlsFzitA1TGjytqwStryZ06nrm93UyO1TTYtD5YA6p+q5yPkNFqWf
8DCmC9BAh/0kNa+n6VMmuA3BmAykChpmL0ruYHo/IjK1RQCDYpECDeJ4jZ0OoJ5NMJjXAyUdwycN
8ubCOQQY2PvT3gxoyJbfdG0PfLDp7JRXSHUCwDGXA8HpXnjeqpb5sqqTVkIlaPD7Tva0Rra3fL78
lHMKIPLAR9+eH1PkQRxQCC+lekhqN/EXJEGCPjNClfQm2AGx0ljzPuYVDrT1ZV2R1yJjssp6G07y
ps5F+MKutvgwBbEilLs5/sMl1rFaaXWVygAs2KEZ5smRh/NcglEQ9Go/Mr17NDJmgGLtMXAb1a4P
/rT4DFRZTHKcD1aDsVJBocioYm87sprtfRd7W3CYWi6ObEwNGvjI1Tj02klacSPO3Kn/844UBwJm
lDGg0qhD4dYGg1ee5vZ54S7U9vjmeQ6p0+Tom3I7C58mMMoi2/TK6Nh7xV6tYBeaq6Gdt/mwIcz5
NPA3IuHYtj5ND049SfnYinmbIrEfb9M+bYqaPcQ75dCDkz2fDE5vy3gOoH0qt7Faq2rLmOgmx8zz
8zur+05j7Vt3i9YTPSga2OASAMnwK9miE7asc4C0nFjxfmiVbrdMyodm4j4NkoqvUnfcHv+0JpZk
Wf0xcu0Y7VRgQngFMrsdWo1BKEbCCq1Fq92C83mS2+D7mN3z+VDDvGa8vawConKr4nKrEsyntI3c
xZgxsW7Hzmwj2GlNTmvs9LlT0Gjp4XFDrSMVm0XTMcIgdmh6cFI4zVzagXRXd8mQbVP9PAKtwwM8
ouQjNrBFT2/umMIfYoDPYeH0JvWEWTIT9TQ0iIdtK9Yoq8oLDjnHWWoi54+pWG5jxOZgZdZ2Sl+Q
ja2NcgsgdH+IkedlT6Dp/nfIG+OW+ZYsSz+3JN+rhb57c4oZ5/0sfj70nA5RrlAldzMAQVncNyiU
bimtrvNtnVAJEMz3c8w9v/000KLrDwyvGh6sccAOfr80hJ3H0li2FCwx/WwLsqf79J83zfMArs8L
Inb1FtExc7C51jm2reh4MqhSzdtSOH9TUfjh5RTasBhNCk7bEJ9LSmjYGHwcRfXtVpdYb7tdOZuD
ItGwqFqwSfnKTsrQtnunuD1PkPPCwG56ezRXrgEvbm2n7dTb2vh471yZbdlNk1HMI+V5PqOdZ5DX
5iPgHmiS5FcMSLqt3g2nwR30fhOoLsIZsJrUzrHr7SWc4zd7xVbWgrSCDiKS1amTVvPhp0LhuXT6
M1HvpZQHEn2biB3avt6m5gBX9deam5QZjWHUao4LKQV57ppQL94HWbZdOnneaU6DUTJ5eZ09myKh
CNPLbZ3im7NtEnXSbYHylVuzf6tvUKOEcA2ZZiNzvJTZHEykPZQ/x5cOqIL8qRCWN73LEaMVFbHA
SrByN8catQ10rhmqlHNucdu1wqPr35gO+I+yr6gdIbi2FW8sd3iNCPIsifdrCYZuLXcIuZ/q9m+3
2NtBUSA7Iy5Pb4pmZ8n4ZYD1eUcwGGrKIfPMMcl93wCw1dVFaQpUSS9xIEvXeQxliaWRdRFLMYzu
0ecoEdh3NP0r2nt9DmnNelrtdnYc5vFz4OpOe7v1XLyB/kYmICo4mDhg+WSXywWgPGq2SIs1vQBY
elrC7HxbKkAti0VeFPU2R09RKx/LLQE/FSbPQWY4zc3zV+clkJ2OSmWJsAAFJSMRrX1x2ktIJwMW
HGWq7dRQOPG2UM+B1vV56jI837065TFi1VuAM9xkK6q4WSb4iimVk+d3Qm9zafLXLfoiaIacT+Qh
7Mo3z1HbwVqeD5SJvX0OAsSwxbva2HZyZu/21djF1EXMeqo42Z8X/SvTc1sZP4894pbAJwJE3tAx
BD27VRJ/AuLz5h3Ek9r6Iu2roY2P2IxXqjn0pdzOKUFq5QT5807Zno45qwG49PF8OkKngcHDweP5
/Z/OB6dcLS6R1IRuddplZVaBPnqlM/OyP8S639q4NLo2Y42NPf7r3aNKKbsAFfGLc1niNJVohm7B
8lRJPxe77HENZuxRed3c1LI4BbxJC33NpjiVNP8vNHKOP5rNtqH/f8B24lnq+b/u3dz/UOPPLZvn
Xz83bFz/r02RDdFCZhe88I3u91PDBls4eiRUqfnB1tA8N2yE8RdGcYgEIumGSo1kxvPD/xhPmP5f
eM4bOEWgWAoVE/Lqv/CeeFEtf+Zp0Lcx0cPhj/ovJUNTULsiQdZg3xlAcdvGWY8A9V5Tdf69M4wz
VWCBekA1beur/DpXVautBo25ZL+o9p3I/WMbZN/S2buVTRqg/DTdC7t5+vPyftG/eX4yGh/05WmT
e+ZLIeTab+tapb3Y6XgBTihi8S7xx/gGCOK3mY7u7UxW8lpJ/9eI8nxN+KmMtm3y30t9Sj0UCTnR
hG2hyD6ZQTpclX2yhnDey8Ofn+6f3qiPvww8EH9rtL1Y/WZDDQmsutgtc68/NrVBizYxyjudTGa4
1LF5YRt6OCwVKid/vjJT7+eoCeQIvRGJ7gD0PfZ248VYBmtuO4W0uj0nZhzKGzmYD1UD335XxABT
X3mjv81P1g50PMOkoYgigPHiOZ2ecxM9NbVnE3GiNuunA5qG6cWfn+kfr8KVPANMFQjjF72+YfGW
ssxdzn/lHN/6dZnuRGq1+393FcBvFqj4TbwWCyJQG7+uAuokNpw5xBgRzl0wC7DEgd7sa43Ll+Oz
XcVnraHOa6GS+5JBi0O97Osy6TnLbtD8ytQPDZj7q7Yz4+O/fiCEZ7YcD6UiBHW2SfrTBloAX+Kw
v+EGF0y8gNHD5qgm7xVox8vB4YGgZKJxw3vDGualhwX1g3L0M8irrUazAUPFIdTL+pr19j9ehc65
gVuVvSG1fn2WUrEbWm3XA3D23bCvcjgBo/8aDPLlVQgMxHpCYEBg38wpfr3K4uSyq1Q+77suyC/y
GCOYYzwIOjZ/HpltWfyU2oAaweceayJEIw185F7qOzEIahqDzth7Rj/vK2PuLyxhFF8SSrkgegF+
3//5gi+PIYw+swDbSXYm5hwqAb8+WVo1NbVfHxgtWW9YUoDb0W0qQBwZ+ZV022+JrILjOqQcG1On
v7Zkmd2AdH3NHB7UwraOfn54ujXMF3ZHEjvMBF7ikHrprZMHr3DPOUdSleubaVO0xXLlsqUJ0uJU
2pqBvZMZcB4KoCqoPsZtmcCoicdkOYpSJz8WQ2IkYZXd3N92s9brZ4cOz3DfsJdWVxDLUmg3dkX3
IRy19jJ8Uy31Drxnnu0ohOokqhq5qosSq9L73iz0dKh1q26MZqr6cEa4DDS21RbvUZKS1UXqIkt7
zJJhzHBNzfx0N1WAtfY5pwrECFp4BfsOhJm567WGN0Rda91P2MLLz5SSOfJTR4GDgJ65LN5pB7Tf
dV+AK4bJS4JueEM1RQCjtNqlS7sud2axNoW4tuxi8G88uUCPgX073uAasIoQSpvfRb1jNB8Qws76
KDP6dh/UDjL9OaC667xeVL6jalu815nnY7AUJ8tNPNhG+732qWmE/rgtWbfIPIBKE2I80UrVEL/W
Eq33sCnRUg+H2RUW5crR+9R7SrY7i+KwvweXbCAxQCvJDx3ZO/eFLN0m8pSQ15Kdzg/tdSzynQF6
8tCIPk2iOoEUsasCIAmhnVkOzrdSNM6uNjlt0YiavXdG5dWQiOftr2Bf7Cv6C3J5EqsK0p2BtjG2
iX3c/51DblsxPUrHZO8Yc/I1hTn9zrdb+ysEaQ/UQr5ME5WjohzDXGpDH43CMlvw66ae3/Ztq7/0
ECWfqEiyM48y+Tx2Un3LDKOJd1WmY/QOm2Tsoz6e3c8yX/wk7OIAk8RW9t6Nq4IAbprwxRvwNO3f
xdTa6UUORmw9DK5aqOqAS+/2+Nv0V4lK4QcN8PibMG6Y1qFXpGhML00GGN6CWUHJ3bhTnas+9jVa
AUdoackU1iprjWimu36cYAbboWG1EHpidgonbOcpKyi6ptVRFLn3ldZX+1lUi/tJc5Itq3volHSD
3wYYkay3Y2A247gfPKs+ZnGmzQiaUPCOIcOdgBaGyPYFaZEOa5AOH8E8tHoPW2AD/GuMqK99MUzl
UXnuWh8KVYxuiI58V2+mvdD4YkSOfOryjvcGAwSJNoyS6FbJBfb3TZImuXk7KbqG8ZfCX9WbJKH/
xdgk7vfVKtv37bCZEffQMGFDBXoWNAW76augLSD2Ne7zb5cmB4wYKwTUKb7r+gHD3I62LjyTN01j
DSTFgwlXzUqTOo/ob07vcbd1s1D5efC+oMLjXM72WNylqpIT9RRpUyrmSE7pSfvyi1inDpOWYTYN
vEpTPCCFci17H4shd6ORYhbN5joFJ1FV5g8vg9O7G6UXX2ks0sooSL1lOTimGkSkURXHK7NQbp/c
drlpisjPcJoITXqBmsK0H+9EZmUcyLEAKTFWFGkPF9exr72CeLXvfS/oONiKGnqe8BcnpH+8dGCs
xPCk5exn0UKQyakyOgH9dIeO0DSpbrlCE6ZhUmpB/auBnPV9wfhTq72psOxwaAw/NmxlC+0aHyPP
xZmdH6Ocqo+2kn1yVKMlvyy+TL8WsNM+UuG3v5QrEqTHOGlpvS9J5ea7FmGXhzKYTABjuSgvgYo0
5tEHPeTyEJSI9g7wHSdc4Gd+KbW9POqla975aZHnO9hYQxc2miYWvP3VyaKun0oJucKK3+Mzk1k3
DSWIKaKHHaDtAITt70b2Xbcfk4rFU7Iq6IkmDhQikCfuEwe00onAf3YlxR14j1AEaSJdAmG2L6bS
I82ZqrT7BGYAHzrP09UcLa1sgPiN4nql+WKG9hKYXxyII58rVcxBlJNhtHS7UJKKxiSD/ZeDSIL/
ZRcyvfSRgjgylz0ZTUE3f4OB1JtRaQ01HeNlnPrrEeWOdzQf/Keg7lpJKCYLiMo0W8UOmHX76BAD
vou8EIhBS+G+tTpYJBF9churvCAQeTixB+0t2+qx8Gum9B6JAoBY8UyfhlINLdBQ44z6OA692Lgw
WZCxNsZR77FKM9W+AQ/6EDPnkzDOLTEdM1UmbTjazVhdt6Ys3hSTlTnHwXYbP1pAUZT7OP1f7J3H
kuVWlmV/Ja3nCIMWg54AeK61Cg+fwDzC3aHVFVBfXwuPzCyS2dllOahBmdUg02gkg+HxBO65++y9
thi/rAKnQeq5eX8SqAC/Sr2Uo3231yLeO94w36D+tL9YyQx3lbHn1IJhDdcY0JlgwWSKMp51ZTzN
y7a+LoWmxW7McMrHrT04HzlnEFYWc6UVpcraYYqHtV29E6xOlkg6doEaoRFaDY12m8t2WxXV3dR0
tblXC1v3oNMJifpUGo4n8GcoX+SVGB4wCYwytk2QEEmG2/orGol3o0n2bpfA6l2vpMYvgzVw7e9t
NVHoZmcRtb10167eme8Ww/ewXHpWEMJqFzxcqnxp+s6ukwgXVZAUq7N+uVI4XooM2osrt4O5c2b4
DT4J8FZOlPrCLCeqXoJ6vJTcXB7ChrVrvCKRX+Dz8Ic4gIR4aymCWHGLIH0fOdrzk1Y1jn89Nk5g
xBmM44wtvDVdtjoyFO9LkRHkbCkNLpU2rwVQMjce60w+88ypnZiDPbqpZkavxIQ39zma9gyOTMhP
f19skDRqqvU07zP9OGnwvnHR0OJ6HUTFIuOe8hTSTnI2AO2126s2g21IVlfLh8wp3Vt3ZId4YI/A
yRIWQDi3iXOq8y3b4DtmiTfSfqZO/cUFwmJnyv3u2739a8O3ckZLInT3obbtl36vFsN3Uxq3AzsM
GQelU3y6jPC3jAHmT5cy8BHriNcXsWPzcUiHzDV/WtK17oZSjZ/Mdi5hsNxTz4RZmy7WmSmv2Tux
B1RhmG0pacCtjcfNde5xsBtPWFVa6zyy5+FKi2BrEj0X08+tDWcQl/bMl0w6K9LwqMIqXQLF4FeH
ZDqVgrzCTGzp8y6f7IzTNqsfuGBuG8uWwX00moXm44xoGKYXYdaMT76xbjGFoThdhmFCgIUfN86x
P0cVFrnCtOJSom/E4VLxeSVKH941u8iKEbD3hwOusPoJpDg/ZG25zc/WtloVL3RQ3hXzuBkJue0s
jAsxby7p1KoE/eSsHTVVs5TPamzDa4G0PZ6Oxpg1B5eF2viktwzAQNWamT4zmBvKA2+VXGPK1yY/
zWpJ9jmjcapgkB265eBOEflBVYTkdfNalm3q9bRoHlzX0N5BaJ/qSBx0Be4VJdyRwcOg4mgp5PKS
O8GgbDqhs7EtkprKb+q+o9nPyWJ33g8VKvNWbX1E9mmuGMRWavcY/dba+GmaxAtBK83tM76l6L5R
ltXGy2h1MjV9e7rDg2NlB2K1jHFTR0knTtlNHERWwmHviqXoT8x6A9rqjLR0ceOsLZPl8dRfh66/
2Cn0KvFrFIXDM4OkRcWgvBqcqHOw2ZzurF7IH0ftx0hceEumwXU/ejyGfjKO6NFxHzJGHaQ/B0Hs
B8bUx+5i1/jWlKNNkkiSjLSTV8N6Uo9j8MA8p80kw+33PHE7GA/9Mb7RtxktGfmydpg86u6XkJOA
FmFGfVp5AS2knt8Xn/68dLdTL+Sr6YjlmVet/RzLYbSTnGqTIXaDYvhJOFo85NHOi8uKgjm4bLro
re8R7WK5CunF3epEN9x+TNwmMOmLdMZUNSUEtEjD2u7SyjRzlElXnCm752la2ycTmjepGLahL1kb
Nh9LZrd+rPt8PCdXz0O4dpTXnOfe6vPYbGb+HCXPpmtbi71WtKiDx2EsCouOzJGqdw+w7pY4Zda9
WcKdt7TRC53KrgALEEuriVhDmo7GDDPZ3B0qvTzz/QLbh+Nm+Srg1XmndNfLd99p5jBxuL3xiK2n
hkJq7F5XDhlfnpT1shbYXqr1fdBzOMXzVukf2xiK14A4fw1hwl4/8sXEdoPxz7rurNq8xOq0PnnV
MLsx4XO7v1QUiwaHbsrDj7Ae2wvH3TbJaWRrXDdr5/FUyzNssnVzm6+e8+RGw3xb+D5ZfExd412R
Kw44lHyKdulEk2eF67VflAEtEBcm2WexJ/oF41iUOez1ye2S1u4KKCqTdH5pPgncRkrqJOLAtPP3
Mq+NW6Nvpg9RMATESmMTZnqpeMNkXlHvo0p4Xzha5qeVhdfTVO3fzLYyiq+Q6+rjYummuJDQ0wtG
8dnl6hKFJPFXLG82aWDMimBY1u6+cjFFHALiyHmy5DPOyXbuo3MQHd1PfEbTwHPNH60dKYG9qDZX
sbId7a0prrusW5PCCLpfEPdrK7F9ETIx+cqEi4DZEEeKFOt7FvS4so0wj14doxSSg5Mt+0F47Z7R
rm2XN7Ecoot1DhgiKtLQl37YTSUdXVn4a24gqUCDsAT3dbibF94gCN8F2dq/es1crJfVABMy5pTU
9C5NewRdTBYfBH9QHW5wECjPw9b495iu8XhV/Ex12gvH+DEEs/yMMH0xDPa1vuVEWYYTHtTtbTGK
9QcbtvY5cPAQwSleyi8MEWI4TEunfjlK5Z+agmXJy7B1KoXOVcK48efxC1wSLI1pwgXG+eVzZArb
fcTJQ7uu6Pr8DOixVSQhhsI3JPjiuzbdBkiNyFHZZRcVVmKGyrd56kRZeeJrGeT0RkbOlepcVAuf
cdtKjHUEsykdJ5qxkFgYu8MiZ0lYlB4zQtT5SBYCMyGtvxzu6wFWd8FVrO93isqRqGIf6SpiB62g
c+7MlSN/hVJSLnHOOMg+psbC44t85LWII7tl7+rcXuoj02U78l3yI+ul37EvATece3NHwRjGUMmk
ORJimtraJJ/53Bz4nXeKzFS2EGXGaafLeBAP37IdOeNWcqTw/kiikTZUh9Q8EmryoZ2aA9YmyDWa
Gww/1pFo42A9X4erMpLONb7N7NmtMoxNT8rC72c/ByBIt3TWUyR0GeslLMKnDb+MuEeDKJw0qoAh
HvBQ6O/BDughqgqrB/De+HOrMZGl4LBkfjWVcg/UHyk/5Q78MY/snwXzapHgMkLaHI58IPfICvKP
3KAuL2AIAXGsfvmYOiCOtvQlJeVWQRwqi47/j6adRBSVC/l7XKsv7CKh1Ng7tMjc8UWVbAmyK3//
opoLLIilLkSELgj2aILk8IXFwv5QVcdBZ68gK2IXxo6IhyM5iUgPFKUl8DQLeWuupsQm3xIlrV/P
d8op7hSVyszcbSHumtXx6zg/oppwNruvizZAh5h0nOR8YFCLk/wIeWpAH1HhttbAnxwgEN15HjT+
+GpVtPLBYuo8WEluu/IE3KM/hzWweKdiWzRgy/bzFWNZ7NpmaZ6gmsw8WhrfqBzuhFlYXbVVl2HH
AKQ0hec4NSZBMeUx2R/qYllWjuy5seNszcOvruHUwyqz4wLGqggv5mGOxNNSQiW5qeiiCFOvWRpU
TRNmibrIttDTT6IAqIjdCbxEm9KwGVC2EClX33eYM7PLYQkKdYVDZBIlLp9AezdRs/GhxKs3+VkW
RxjTjRehsBDfO2ro5rdQ+n5zQ9JZka2Z7YwAw+40YSQwc9u8GAIP6xJ8CaoiDb4BRQSnwW+6rbzH
bgsEzKKMLDrBNmpxsVRrFLGHUlmxcEAa7mCO7ZU1bBMl3HAxs2VK7TGSEHp83HUoG7ZE0IJKpNcg
zBPPRFf4BYYoIjTKqknwYpnFLJ0TcCID1ArtLAAivNoQxUnUBGbPUdM0nwatLddTl8uOAAtGeu8X
W3R3O111z7S49Bkr5xYOBDCq0g24cfMH6FBoyrFclZlASKi9Z56BVZAnxuauqj6FXV9MoAwGHqAW
r3fttR/hPBHspZSnQyFUXt9+ttO2k6HQzjrv0uqCqLnESFmpNpZEU9DPJK/BrzKQloOVaiotmw90
uYxXS5iP85M3YXPSSGjo/ne6oxQPoYzixizpSQ47VoxbzNB1PBtuVz5yWMn6RZU8VxP41DQsuhhc
q+fViOz+FN9COF7WwvPKB0zce5QH4/EePtBZeLn06wY2lviobOtkzdD+gcaZvQ1xxXZ73yEAH/Vd
Fo+jsoIzTIGGc07MrbdBckWt/dqCRHxgxdM79mHBv9KUp7knqno5Xy25WNtBTf6Sh6elxkiJMVwC
8UIrrh2hMzRkbkkBAC5TKnOM15kqyTJehqERV3MgHE5iXBGjXx9yPv4SvmzQsoX+b7MJ3E6fQmnx
+bfr90H+DTDJx7sq++5/gGtgj4P/a9PAifjsfhV/O9Xle/enwOf+y343D3jWN/pNiP5GLn634Bjp
/N084LnffMxHIdm+neDteOyRfjcPeN/YkwXkTX1WTFTPuuzFf7cO2GQ9WXAyB/PAZNdPo+S/4Ryw
j03t/7ln8fy9iRESIQYaF5nG+6eYvbIgqHUzxW55NtXnxKFstAU3HCpIT5hlYVtBV0n4Gi1NMpfj
/MMRhatPWZP3VCmCLEn6BcxUSgFfbyZDbyKS5E6en3rharknjhPUJ2WlVHtQ3jaf9coe3QNTYMi5
V/vGnEDI89+LFfhcrFDCb4U0+hIJx0UUzwcq8AhfDlw+HYueE+Kam3FOIZH8ikLZvkyEZFDgskF5
Z1uQuUsyCUArB4ComXnqrtIYTkWlN3IeWZEtjxoi+MUsJ7kkvPjiB9//QiXUuPr3Y784935eT+1Z
i6D8UTNQPdRmVP+IrF1XzKdifM1tFbCXWKbKuAm6eTlDXxn3jutx/Wzt3rTTDvbeL93bxavSW/iA
a6Bd07bnWnnlZpbhcOZ3G48k6bnPI0ppnbhwANgjzUb7YdmZ376YufLDF8YqCzXfoBP0EFqT8zR1
LXScPAjgEJrbfpBTbdFABPOXUsd6NfYz1bP98s5s85zRPAI7H6+to3kXi2lx0Ai0MV7XsmhbXut6
E6eaJQKjBwuIC/aQ4wc8f7NMzJVR6kQEayhiVUE2jetM2HvlyNbftHqfuKxKSn3BonRRIOCIbFyU
Fjji2N+YyIC7U412mkVefdtxn+HttBnI0rHtqiLZik59FNFiiytdwyA7Z/wVrys7offOnt0Pv+gk
Am7gry9uZeTfGxOSV1yHXcvCZGAcjBeFEYXFHfkKwF+IHUMysNO8doPR/cw7okq3NeQo66QoDRa4
XJOW6llJNvepWjoP/knrgI6zNa8tolVJ0oQyxf3yGpDMkM2g/YcgGLiB4TQ1zzED7LjFhekt9UE6
tin+wrx4oogatFNcWuuMMDjwPUsmTw+vBGNbdx/fl592DygeatBScrsuV/EKc9uCRSzg3QtGwHuO
1J4kHpbDFn1qyKFbRv1snLsY2L6EyqIS+0lVFO9KrIqlmcVIcQkpVBDgWBG0UoLDsoo3JqrspGtb
A+CVnAZO6G3pfA7WhjneagpFvivoMiRXOTYD/Tx5Xp1ueV++QtYoPkcoeiTy/IDtE7UVaHnCIbvB
e+X0Z4uXd/dqEy6dBvAo+DTVfN7TMnA3lQ69S1BwWLrQIaVF/DXF5+1+kQZBJrd2FzKDdWhLSoaL
7j2wJBm12XXEYz0jb8eFIygJd40m3BJqtd3xWhe4+g8287uVGrlZtPHU2/piFks/AHzy8xMLUaA8
W4yuPV0qbn8E/czpfiPV88r+QRiJaFR405osWFOefOqpEW3RMr479VMOMryOJ3sJvuc4Nh8G1dh3
5mqI68rZHNyMvu5TfpxCp4FLtCIVAP1QfZgjNV/a0X/jCVl+j5Rc3jNvDcPzENxEk/CkHtvYWUpm
s4yg8S0EtKk4+Ni/dczWab4jCWzhR7B05gLaw/4ZQ5QERbEZHsuMqZ1DiyKQWi87PCw4Q2uqoZSt
hlwumkwz64WzzvjUk6xsDqKcUG2Op9d/g/Hvf+6Jfqy3/NdH+qle/3KWH3/B3w9z/5sbYgnDcwoA
CE8T5/zvh7kPuoFiMcAlqLkYRP5wmIff8HiyW4N1atJmSSrkH4e59Y1fYAcUzNucvfxL4b9zmHtH
5P2fDnMTXg7zhA+snieV+xf0Nfn00K87+s6LZWLOxgEddGBNufMnYvGhrFHCsL1NdLM/sy2xSGaF
UVWSLh1RCGYifo8zTfaMlFbtvFHoxUliC5iolEYYTytq88e8DRFdyXl3Abh3eJibfGeqotOi7Brj
cukMFL1z/k/5Q5+5NswHhM17rZV3ZbkEbNJoEd7LUpcgzYatY60SNsMMLtdd3SZGGJD8wBsQ0jk3
I9QB4g6vErfQTVmUIHLlnFnqxKQoakAur+WrZVJdweTu7GfDgmYgXJ3fj0OGLFwQIfzkooonUvQ5
pM15qQXehxnYmiEkuDmzYKhZRcv6zvNl6J4aXRdcjnbm5WlrGypPh6b1AdCxy60PFstZsp2zlf9Q
MtfXkwJ8GWchlLl4ytv1vrDoZj71uWJdtGZo6LRtJ+NWbKXbnMiA1oaY61qHThZoi62XptA1hRa1
ZPv70nrnAwnIszznIYwFsAD5mHtL8MPyyGkkbpAjY3NliYpzY+643WvYBh6v/dzlcV5OeAXkKGRx
qiIvOhv8oPZwanuPNZQH7JpuzswmiTPuNATrwWiLvElHkqnXLj9fns4QzXWCYr895yIL3Ng3i/Dc
pEvUiAno4Q4pjGxduYVyGcQnw203bloj+ukLfDDJ4HvqJ4IW04BTW8N0Zput90hufUUqMZrpaa5Z
t8aWK9eTIccXDrMBRqetPUgONQuTuURp7nU0XPMk9LwUZAOfY2JI1ldoOEbLNX+XR8j9SMmrDQsW
bue+DN0a2x0Tsm0+JFEsoUPSr4Z5W2l3/XBk339Om29+Qbs2b32M7+MpwUlEf6A8U8vsAMMDa0MT
MQ3s7v+0HdfyZ+HPCjnW3ljfAGWa3qYlG96CfctBYGinucIE2c4aH1xcvHnzNZZyLBLo5hw+MxhA
NI5NiLdqxtbKuof5mRBrecJuVbmHEa/XhacUIL0AjCpkWsQh99BiKutYRvSD+LkaWXMDx7PRh60I
5Lkuc6544dS07mH1sAyeBtALNoDK2t5SW3JdrhxUW87c4Qn9lo0yoH18D5VNcDtZyqkz2dDX7Xba
i2q6F8Teq/PANdk1+V3jWOTbt/Dn0G2Wn2DOsGzkKHZQN4tha40rZptvLWtEXIFN0XwoK5TiUkRB
cTX4DU3frrksO99ogPOtnM10E1QK6mXAJQ5fZtsV1HI02Wsp++3dYCWLVGH4/o+OgD7vnekOP5rC
GIy4zysED3NmGAQp7LUVi7uobLliF8tTaE9elcy1Pd1MeKkoWt8s/eYtlfM+1+5qED+DiRK3c8fU
uW3GO4KN56T0MEQfgcyNIN76TD5R0xCoc4fHXwGrXI2PHaCtez5jjuTVHwYv2QBXVodMgjJmPRIZ
Q7I4fvkSZmbZJTsJIQQqiiiPTlNQ1NnRbath/g+RdaEJwC83k1suQayQr0sSwZNWF34f8XK4I5jd
hP0oWpW2jaZN6EISpFJAJrN4VMPI6AXwrOIhx1IbKHJdgqmEkdHXN94gy+CAG9os8fXUwXpdzQWV
31bLopRdhQ0eEqR8eNo0G5rGVppWlUItX5bb0UP6OBsddilXPWuHLl39wbvTjbGqe0K05pYgRpQZ
oGqgLA8u6Rj7QtBEbV4YY7lkF0K3np/FW+lb2o7daVz9JQ7aDhdPJKxSHuSqzedgm2kjoC/dMBKE
6dlMCl71DVSN0+kbO8xX8YKDXTWfdVMvRcydOQT+zfsK/XQMw/W0zjWLf2tt3O9h0YZ3ks+ixGLH
r0/bxbZ+7lUAP1u+91UsMt4rNlDlbKbY+dTTzGvDTskdO8J4owyWE4Nc1ZJKVuU3HrSICwnb/bWs
2ox04hZV15vFeHiahRP7OyxcxpjMcz/8ylW+/fJkLW4xvFdvAwVbl0XhW98zvtC/rGEutmRWERcq
HjqQyOd6Cz6CedbPDqBik7Di1LL66TJdxXqCphQP8LFFKmQG59Gu3fC7Q/y7v/TJ6cuE/TQD70jz
4oErGMtqG9vLm56ZvUGesWzjBXCdLa3WrbewlaAGc1761VUZlPrR9uGTnM1y8F76mahaUi16fQZW
ymcPN0OOeDTmKLvOPOMYKhUNZid1K9otBUnDCziKjcufVeZLzeUtqwsIMHbZAvlZAniN2ahfgDm6
ToLTzmVpZWnWzM0WYpbTs1M9l+xMcIlgSsLDRhu34rjgchFXUVZfbRGZXHZxpn8gp7PxMSt7+417
F+FkRDlw72FTN9MJ/GHvzc9ZkAXsMLsEj9QgTqhMqn50fb+8eHblsRnLTP+nAgv95OB+4QR1MbLF
DZgbTvFFyV8B9qDzPWj8EZZrfReN8ABwzkx2lwoP6fEwFF5zv3Zl1S+nnLZRZ152XDRedJVRTyNz
Nep4U0b0VcNS+JrMPPqykF15OrUutI/N72OAUvLW64z2bGDjdC1J479itMRt7liqfyphgLBiXCuU
Oe1aNixfawjOuAxQXNhlobhqFMDxWJQkrnH2drZOKWVSZ1kWsCm0Ni7D+FJW6OCqcMwPlr/bmi4D
7PKz1QNjnDoVFERzmTAYOpVtP9H97D4BccqjE3tlpRUDZs0odcCVdWUtVfikZNb5SRnVAqr5QHtk
ws3O3O9902tkdso55P5eutCxOypjy/G2G1KKlk4l+uY5dWehG8P2qm60mzfTTQsm2ko9GL/PnChm
fV5FtfVC2NOeE2eR2UkhfdD4i2EqN12L0M4PTqBX58ReugbDXif8Z0UpuDzFiOO+CkrAltShufaJ
/CXOIX8u82QyDROHbV43VzzUuf1G7vTRIhd8MM2uPxtd9W/hVnOJD9T+1sE6YGUM7snuEr7z0C+s
gaZxRJ5M3ZUQzZ7l0oRZkmvGsXgOVri+mbE7Xyud1eluRP6x6mq77PLSG088Mm4Rar2y/FhA8LPO
ZZnhMDMpyHgZ26m/I//ct2f90CyINlYB74ez49LKcJOkwu2sCYAWN1k8iGNwrnQ14ZS16JKct61q
UkdW/sXWkZ1OiCWyGpcFOz3sPRLjDmAi06FnmzRb6Ew8Gzeb8WAzgUec4EnFIpH3i/XKjNAW+zLe
o/2KNcD3QhGxRufSwOkREjCgSBWhxjkk+6qzKJMlvkU3sym0Flv0sLJ0zdkRBfMTzKbie+8AsUYZ
6TJcZJ1dfGcbPH+GQdXkaVczOsWdBVEaW5VRXtZuW9zrUSI3sCIOntqhoqqDMz6/KUWIpcWCqIaE
SL+rHeOM4VeHQxHdbIEF0JzNE8UT2nh1OiNwzirDgYnY67m7MCBRsUXzVu+8Hn33uZoq7vczYOiN
CLnMbifH5meYuwwH07TjTuLZmR3MWBqg0v9eiD9zlPc/J924JP7rC/Gj5kFExu+ffsnfr8TON/Rp
k7wNcRXItHv+8u/6dviNBhaeFHzyKZg73nt/17f9byZ6M5k6iNRo2d4f9G3rG7Er/n0wwkQRaPH6
d27EzrEh9k83YqJ7gHpByDpI3Fxn/pxoyG1s/BVRL3DRJelvMt1wskMbZHhMe3pYnIRWM9z6Pb40
HArL/L31u+XSy4ntxxJPanbmVlb+UqA+YgzDrbXFGNlrGz6T1Z60EBX4y33GPlRcdk6qqWjpvpkb
4wSIqlUy683VW2VsI9IVC0TnNAwkXkA3IM4BGsxrL1nV2e/uorkXekzlLFJBY+gYKhctvzLLyLfh
iAJGHlVZASC/1MNttIZmj1M17/GP9os47TR53bgvcYIw8m9qTJXPZQhtqcWiSJYebtk0LSqd+62w
TrTv18N5DtDHiCdzBTcFAZ57upuVWwRPwFvbQxhKeOcOblLu6HCudr9/QdNGGBYvnUGW4sQUCr+s
VSzRvZsv2Rc9Aflz5s3yWTg9f5wozJ3vQufFA9y+xYpHpduDxsYHBP4ojtFN191WsLc4egW6fQwQ
rGgSm3qK8HzIg+VdRFX1HYHRfyvLDvLVVLEKTYzIp26jt8jupsgRU5/Wu3Zn7SpetM32Xd/k2cO8
a3x49Lmjw6hvnph5EAFNWeonDp/9IIXicDMeBUNHhdFruauIDfsJ0P751J4Og2mVZ92uOOZLhZqJ
qq8vBHYjRrSIyiLccqNeeDJb/njthgYSZnmUMyXkNuD+u8oZHgXP0Zi69+wog9pHSZQcL//BfEYp
rY6iKZAQBNTxKKZWR2F1f7ju5RgGgivWNsTXdddhUYD7s4k3s032zCmD6zTjxhFHATd0hvIT1H/5
2hwF3nUtW84PP8cwSt8UIrB/FISzpusJSB2F4g0ZdgSZtgvIfI8QkzOBSJl2R5F5U2CHLgvRoxws
NOgU752ljfKC58zy1YbuYpyT9c9ZgYRb197nzTAYJxPm1/v1KHIzqLG0cQ3xujSqyS/wMZrVuc/+
81FNmvtY6i7mYj+z7tkJO1HvV5fEAqZHxuwp/A7uh+qSoPT9PLE8Y1jORmFkj7qtc5VoA/UkxisT
9NjdkLUfDJ/LHROQsUdfTB8cxVnh2fnNhJ1zjumxpd6ESFBQnHZcmKur2Z5nsJd2oFMuWWygGAHx
wdkaU8whGvJN3WWmMfjp4NmKydYkF8oQy4DBzp3ekTohKVV1J2qsUBa6tbL0xZR7aOam0SMc1W3n
LiwIvJyRps6nK+gvXCdZGOsx6QpsUAfvtyunz3aCH9A3762+GB+ryKxBsdWup84Nb5FPxAW4wKpW
RR/dDPc0Zeoy3pv9rhuVJtfenmnY4MXkNuwG1fQ2/3ZFxsF1g1bAxXnZ79DD8TptjuzIY4qeiAkN
xyt3gbjOX9vj8IMF8jYmNk6GH+BbuaqPnre+N/v93bSd/HOkTvELr6umPbbyqEayj9f+XvWzeQot
EDlA7sqAh9dYXIZOVn94pkNspzqqCNTTsMDJ/da/AaiG0NAfRYdg1x+8oxTh5AHWmE6S5jzPmW7v
x8ivN3CPVmsmjlciaLRHcaPHRxUmRo/mMSxbkx3IbVzWai/amKag3qh42qUSuZWECNRRQll3NSU6
Ciu0LbU35MGQW5qj9ALYhjkrykMsKkUQZO2BHFZwAdVRBIei6CfjwMMtKY+ijrXrO4we/LsYIUcj
WY8S0IoYVB9loR0gdbb8JhaFGcKR3jWkeleTdN8tJpctsUwYitGbwPhAokbwQIbqj5LUgumlZXza
paq1GtfxNBQCux0rp/G7fZS1/G776Hapy2kdVijyqICtRzWMqCDKGGsJVDKNX4kr9FE9Q5kjW9WU
0vryZg8jIORPtLaMt+se1rn3VgLb4RLqXDQBiR36u5Fpi6pdT+Z18ZlSp3V6co+inqat6xHHK1Kf
eZT9lNnrn9BXbJy+uy5YHiXC7CgXRiVt5xj+PL6beMSQFNdyDM/hrmNZR5+rX6aj/Ogcpcidl3fN
bItAOYuWGy7ezICowi5huk7WvvoZfz4YKOicoONUcWrAbUf+PEqh6iiLWmybnox1Mr9POIoQhTrG
AFavfhHeu5U2Y6JQw0PetaZ3yNBjWNdB1eWM69sB0C41cr8XGf7vduVvgLJLtZ5//N//Y+2FBP96
mLx7F++5fl//PEzyS/4+TLrfQPAz+mH5AgLG//4xTPr2N/9Ysxr5/BOICURT/05asKJv0LSh1TMH
/PYP/7FgAUaDyYIADf9RqskiH3zNv2GX2PPD/zlN+pw1rrvzD3ZSjx/i2vjzNMkYFtrY1+sDaKJH
Yok69vnyJQNVSOkfXhjmjzXvuz8Sgf7fv5O/s/AhITO//vl3cqfat0Dp1lQZruvNoE3vbsaEeOgX
TJj//m+1r6Zsn1eQhP5fEu1Q4wGmKf5QZkGuoJFlYljewyiy/6KvmTfvn1480BFEi0OLpLm3x6r/
EDRnQQbsro6qQw3iqUkkq9uYa6Z1OYQsZDwwsN///3+w/TX667sFPtrncgLy5rdt2R9+w6nK3ZKc
K9VTnWhuoz5Ej6/ENWVo7kld4KH2Cin/C9SBFQZ/iYcDSYLlwntG14oF1uqvH5KslaOBA7U4kAkO
7oxpbT67Yc0ONMIVZ05RhI/TQlZqrdfg4Cg5nHExaS6WYQpuMhTr1BNOQ7i5br9HKKvgccV8MdHr
crfR3gjTSnhYErU4jxhMziy2RY/VRAaltxYaDaSksB4MXmnBdxzU5TA14YW/9PWPxvbaAz0DaGUY
fnqZiHqAXTaJDIEO9tZrtk0qEU4d/JioQjstHEO5sZylcUvlX/grMzP3jZCDpGRywxmxp+HyWGm1
XnFUqvegbz6KeqoSLos3E4G6y9KOKI7aebbp5uCsdfEioY2SFRyBIF9yoDVnXL/8GF6s8d1yi/DG
C8b5YLWTOsFIP5KiRsV96RhKT/FOlLf1HNpxQwPnuSsideaZ7bvZj4Cbxn0JNk5UxZl+b70LzOeP
A/cYFBsaQzVWifUXrqqeaXEOmxNWNvoUKYTQbtPSN2f4Gv9iVA68wA0Dyq2HfKdif1yanwr3ZpIp
f7wqKDkjJ6LNOuWEE68TMNwH5tn5iQCGBeWz8lLb2Egxic7+SZmDkVQlaTaJpuSkW1YaV4udh8Q7
TQ9VKdS/cn/F6l5k1hO4Y+5iYZ8RelxVW11BLazPiAxl56IkkG9vI5ZvEcmLHQd4WzUiv1PNmJ1b
gdpQzPmbZ7o1DeikbdOkoic5VxON99lPLllSNvZ0gRFHPa4tzkBsFN1sITr9B3vntWO3uW3pVzHO
Td9sGszhoE8De5Erh8rxhqgk5vQz87n6DfrF+qNkeatkW7ZbutjdaBkwYFeJazH9Yc4xvpFZuyY2
wocAhL4CmIpd8NThT53CBK3HJGs7QnfyJzWo0ZsUTay+MGWzfksALG56H//AImwghqaqsDdKFFGW
r9B2LdkJKp6eFd1aLqIz4gSn2q2m9rVhCNiBjkUDK5vUrBeaJpTLRm7EWyvL9T72A3NrylzcyUCJ
E9V0pl0q9zg3Ac/Wbol2mpTVprqvzC7Ymh2Eh0hFZ4HYP7Q8jbRvUnjyHDlFNHna2PUbZ1CMW5qJ
xblamtUSB3CCdbv07+xmwgusxua9pGfyzs7C5NaQO+J4wdQ+jtKc2UUo7jqe7LdGyVnkg4W7pylG
8RPw+nXkZMFl3hkmyhbdufEpBSASM1HsB3Kwc5owP8q8fThKfUW+0aZwDrct/ZOiRHRTm4nkttCf
iStF779GURCeDQYa3mm0kj0q8ORCMur6nh2d1VzotIbSJdD1vH6RQr0Ml+roZPEGBolcrPq8mw0Q
rFrIIQSH7ReXIqm1ao1Prao29gB27AImaRx6FQIw+TV30j5FdDSnIuY4Y/K1b9gR2hJHK4pjyO54
k2gw5m6SBFDOIhhT+bVmjWrBg4f2gK6U8p5b2UUSHJlSuN4T7QPb9cdGf5wqyWy8gUqLtSLOr208
yU/0fmdGpUWHLbDP5SbbWBhXjDWrVXZkAh1171ENpkyZG3zZJ6wQ7XXUFTqYB9Zi1hJpg3607Qlh
WDrqWY+vufeLXY4b+I5FnN7RfNSGpwy7PPxanSK8W6n18NLKFF9QudXaLeoZx9olSLo/ZGU9Xikj
/ofrmHQjCvPo1UhFydQp3ApJSnQPK0o57MOYoj7hLVp6KYIADXZEnq6fiLUMS3xh4oFz/bo5GDLh
SEz5qKZq4rLbRvgr6P2BS4sU1VvR7wJKTRX9IBdsuH+rdRHxxlkcf9DDcXaXhbhBK6dMqXyakLP9
0rYWsA8aVMHaTuQUrpPWwaTUmowXXI+t1ElvWMTIhdWl8ryhuOUCPWeXR+bUpphz6Xj4r3BqewWS
bLLokg1JAPFaGViCN6FzXbf1mTDNjZ9nNhYyyZZXZOSty8DcqdZAgnCOvjD3deVM1cdb9BtuPoVr
ZqClXYm91fR7kLRb2NZ7ZPW3fV/dG0UVrQd/fMHy/6R11SJu9LUiugNt4Rsb+f4N89CazuFGBmK6
NQUp0Wk1Kxd7FN6+ingQ4P62yIv1pBoUpkxsJWTL0tbEhlFa01MaiUORJEdmSVQO4sNsLS80/UyH
OpGl5RWe/wugepgoZH3dm9o6opL2iI0BT2o4Vxosc2t11P8hkeunLvc/hHp/HYnmzFJ4SJycrOL2
VFoqHunQuRMS2yqHJs9iJENxFdT1hV3yHHXTxpKrfZiiJcBqDzYyfBlkByHriEH7jUBcnDOG40ET
vWVv2ixSo2PITNmGJFFKhh+lqio/GMbwEJmow3UoD+hRUYm78HaXaYxzo2meRMc3npRDmIxnpNLR
j8V4QKgE680SV2lTrWrRL63YOmvqPiPV0TwFBcxB9J5HQ7fVK90SS8Ox11U3XJOynBBqKIpjZfsb
SmE8R2q2MVplNZYOfaF0fPCpr2DWSnd93yz1yMbSR+gtg6VEXlKHJ7EvJH2NZa/wAlzLEKoQxim9
IIDRrnDPG9gIYdMVdiotIE+t6WojQBjFuUR2wJ1ik8Rbaro4g3x+roHhJdpp0IpDOmG3QhScrro2
2ulR53i0I0hwpmYXGSwN5SQ/0ikN1kmar9opAipg7406fEqL5BVjeHUZ6lDJ8FDjJVF3MaUicBto
YszoysnsPQR47Swma8u1e8nZ8AGcPPEXOMa8Umjyymokmo2DfQc5/03HykbJg8QGWiv4CMOWIOUa
fZOJlP9CteLyRL0FCWhaDAtZFqeynE25mM0u5KZ0tk5h3LP75pKBb3EsUijmjFrauvIaNXNziYsF
VmZR9atM8jdgJ/snVRrCY2VN1q4d+3M/yjcj7lxXR4ByTCRjW9lSsSGQbAtGa8DyID1qzPUbBVHg
An8O6HsTx0qfbAReUrrqcfyQyDZGPED/oVPfh+yQ3F6Q5t7W6hrc6mWe1YmHEfW+ccx6JYbwfjT5
xJ4PcAd7uKi76LZQ+ksKfHunr/H2ImTl4SZEt1fVk2JJx56OrxualNWKJrwaRvmkaN1Wy0rM6+Ou
jepDp4hhQF5LyKxDgMaauOsjrc5pacvZI8j1vamLTTH0dNmNfDW2CKQNKlSj8iGJ+o2lVZdV6N9S
pr/UDO0UJOJgpeE5XqNu1ZFdr4yTTFZzi6J6HF5MVBHjKC31xN5iRN7UPfLWSj9IvK40ucYViRNH
9DunNE5g+NvRiazYZ23A99PCmG7QdMy444Ui2Y+KXl0GOCJdGhdnlI4xQ9K9TBSk6UAfZCvzoABL
B1POr5tJfs4VU17kaeeF0hB5BQYpHtker6WGT1Bw4oFNr3bEsTQ7ZYjsIS2dfHlzVl9PB/TAhynm
Xa+FYCwsKNxEkaFdAs89KfyQ8lKrbJqECu6Am3JRlrQLm7K1cB+pN1KtbPPCLpeywMGfyd24JX53
djCrr7LNTUzotDsSunglkV6A8OMEClpzRxC1zKBY36SFfoXrVHIt6OnAQXLMNoCZkMxpIrowRDW5
Bu2aBZ2UaSYqYJyzu5cObICbd+WxNXtpRzDUcuLV5lFx7us0fxxE7ll1PF1NNF0XpSbIILaYnGpM
AmDBHWUFLubOaLqRQ/YPY6YcMwDmCxhYXNsyM4gpIClZBx6CYLuOX9XOelabdI2efz+K4mmOvF0O
qn/GMLXUTS5vGqTNqjQp21SmMq3ikKq9+KhvCLorWilMLqW55fw5FTM/xVH5lg71niANnJkmZjK5
0iKquYgkVTj2+8HRWb/Fsz8qq7Hbqmm997saVlFDyXsiaZ46uVLkZJMn+bqYzFgmuKeMWbMGladU
Go2cAk/A1JYExXbIzDVMh2Ne5ks1rao1lCqoAGobI5Ku5eF2SsdhR43XeAmcILlOHHGq63h0G+SJ
V1ObaXSwpNzrQ189ZEnDRgTCKtIMcgmot7E+lrO6f84piAaumgHoyvC8XUWqzAogYM83v4s8dQGF
aBP79xtmxekgEfd3S73aQXZBYG/Tz2EeZhaX3hiRLQuVpXGWNm5/FzJJeEkv33xK5HTYCF07wh4I
V71sJ6d0VKM3TBZW45Erj0IaCIdLzR+EBcKckMhmP4HaVGEitkP6wUiYxi3WpormxaDa6ynP2TQF
SqYe8GiQMkLfhWiWqvLyqJnOfdvsVmZvDCeRFM1V09TGGa6S7CgS56EAJeBGSMje/FRRfIzDDdsb
MzDdIOEZLZymOAhGwbWOqOtQisS8EmMOHQfCxqnJAXYXajqsfJRZHi51xNuy0Z2h4zRviffAqKGH
LZuosayPZt9Z+zpSapBRdu1flLDPvUQpJJdkbl4nIlbuojFU97SGlAuKA2WMs0IjfGvKomsy7ln+
+rLcVy5w3mTFE2u9ILUqliUT6N3AU/jBslryN6CQPRMNnx4gGBApbo7lPsxERPXXiFlbOHFYh/h1
+ozYZN79XdL3wVoNOmtT6X5zNHwE4mkkv7V1Za3Q0Tae7uN1jYeBEBNHqa4AiwOdrHuWZ7AwQmMC
5dLZr0CYkBAykOzqyeFGDwRPhzJgDhqiU3uJP3uualjxQMBSrFa5N8x3aod8VCJCHWQPqyb1PJV5
bseDnKlgKD/k9ahB4LMNHodzK1THsT3KehUpvVfRVIw9K2sI4GgWI1owbVmNhJK7aY8NZjmkVlpQ
8ZKUYy0MXz83E1u5a/CT6otZ9UfpWC+Cy0wfD4qhM7gSAr6VwwAbqRoVmA7VigYS3nw2W0hKdIDI
GUNMsTT59ixEQ43kb6GuFPJ2DqWtotaPCG6yhw6C+Fi1S4N81aVSZf66zUxjBb6333TgHWJyHZdC
A7rEMTzcv0CvMpALdCR1l7TRxqNOaB9gCNoL/ILnVc9qSRngXLBrG9YFE//kxrEqEKJwu5KyW3Oq
ww5hWLlmy381dgP8pKC3t/4YmYuuqWDI9cExrocH8t7ezGiIUVUZ6aLTGmnZSaG2C5GL6GK6tGlZ
JKom74Iy613CV7rDEIxEE0yKsRoGEZJw0La7Bgn2sWzsfg37Jd2HyK93UUwjURo17d53zJeB93lN
lhERMOgewXub4Ib8dlwWuX7tqyyCR6NeoQZz2FGotOPKwQld5DjmnkQw2zUMqTuKzCpX4JnFtsGc
iQPaV5kriRc40Qs2sTyshqaQPEBBycIwpmcHusETZmugPjSdV+DQebFGtc3cLDQvDF3fC2ATS1ub
DnwfgxgF5OiC56iCLFJgr7fl7RQV1oFXeWDCtNCtISpHdBfqZ6IsT0MEyyA05WYV6IOzq5we4hVF
rPiuLjIkmnUZ9NtWELJQ1KZnEl6wRG3fgd1KivUw4l0DhoULS9YyL+rrp2gEeUZyYeEWkS2tQj+I
tqTVVWdV0V7SgzU9SwS3nYw4xRp7Mh6q8RH7ko4ksKNhpRbOhvcdu8dg0nmpQCQ4nbwqMsoQXa5o
98Bfq5XfhWSXUCdY9LZ2otQ50rdOa49dZeaxxWj3RoIoUKsTiSUR7boViqFFMXukM3y0i0BOfCSr
UCMt/FZ7NmpPspp8EGa+JxUO6f+UpSdcrvYxcvwz20BVZwi1e9AQWm6dEZX8oug0pHCqXy0qcO83
RscomGbBRdnI0cGWcga1SXNWnRyHG2Qf8oPCwLwtE1l4TV5ZR4Z4rP2VDQcDA9KSiaClIYSLdYgj
FaSwZWzl2miXqaoM9xPlVeAqNsZ2KAVn8dCPbHTi/Fny/f4C1aiBzMEx4gejyZNlaSv+1ufklzVt
wGWlNrA0KOH7W9IPsp0qj9ZKBhFx6ZQGeQqjQOcZZJJ8Y1ctk6WkmcTG5+1Vnkvanr14uSyEVd3B
VO5dRaoqdLa5s5WgQsULfYopbMZly+YoJiEMw7ztn4AdKqjvq9uxTabt6Cea2+HLcg1NzDxENaPT
nz6pkcI8TNTFos2qW4BEJyUo5bOgqGXGJYdVmVXl8eye7NPIS0bHulVhqHlI24L14Ahph2MUfDy6
YYoQxU2CyB9ZqIIhO4RxHkO1RGuPAB3jBUhhwIugg+55HOJNLSY6oH2sosssHCxeHUvQkNdjYcyo
FZ2Fcq08ZoTLb7RGoeisIQngfTo3h65ehHZmr4A1GosYl6br2KV5DlItO+lCO4kyT+vFhKLOoxFt
bjFv3pCOdkOSRE3pM2QjXxis/8bKWPi5YJTgkbBJosHJlLhaY95Ws/I61zHbZdNqYpfYJ/nWafOl
PpQPVmyDWNXOtdF+zIbumaWUwRI37tZVbzdnoT686uWkk75RZ0tft9h21PUzMTRek5TjtookNnmV
3GwV0RvnvHPiCDSzOQim+E0WK7VXRum4CatgWJqllqyCyJLkcwgwCfyR6GhE451WjU8SmjV2bP14
lU9yfan3FDiqJghGF3OZuVRJNSjbjGWmPpAnnPUA8Ega2Ldq269yI3fu/Hoc7gytnElWtnQsWhbP
aaSjyMQzEdhgsCBhXJmdfWs55h79QbpKs8RLE4MZTgToEIfqITfHylP9fl12w87CEs+iwaOgexih
uj5WI/NoEsoe+6kNGYBXvUCOP9helkyXZontjwr8yogphUQyIKQJUWJn5gAe48bFCBpd4Kv1KIB7
gr9UGDyLcVtt+zzaWoNxsiLn3hHyPsavU+oq7sF4B6p0Y0/Z9aDL9gphDJC/dtMWjJdOdFFL7XUX
ljcib11R2BtqqqtwQANEOcTJul1QR14amitMPW8NDYIaNDAQsPOcTMZHVdU8gdA0VZhspxJRRiUt
i0Asa8z3d2SwbSbALkZoQCadnakWgi5pLyre3tzZayRZArTqXaoOq0Ea8M/U5+RErRwjuy0RP4eR
eBiDflFTjSG1jdEr2MFWRbBVrkBFrXSk8Q9dZq5Eol6ZIORKoeJtweG1g5N84yNGAne8BGXGUzR5
DgGaY4JCNA79hUXl31SZ39Be9ZTfF0H2mmlldRrIJ9r0auExa+zQnpT3vabtMkOsw67f6oAlF5E/
kDsJTrLQcaQkLBHy7tAU+ZqNKc+qrx3ypt9SMJgRW27HN02C4qGMhRfESDWcyMvy8pxu6L0lMQza
AZO2bB4yI7/MawpICLQprcDSS/1mZRUKXQGFm9G6sWUeBqtehyQvUfM414ClApgKQRPSN2rsleQk
+YFLeXQM/7ohgjxRX7RePRAQuBqi5Fzv9X2FacGrU+QqfnpO1ijV5YGDUH1ms+Oo3aoNgkPgFDSa
ouzKl6tjOlL9YkbXGtWbqqzzBlMuwRhpF0GIRmZyHsdMclNevoDJg/qotBnUeKlpYLpMczigxj7W
dsl4YZMmWu7TuvLwqi9NqdjmPtv+lnfMGWj8Lcq+FQtm+QswwQetix/7uj0fgzyihdDs1HhyQ9Be
lxTWweiUqQcZr1mahnlsW0Q8kjQXMAXWn6IbLuDSUdZGMIAFNj5nwr9IzeYITmw1yQkFBBLKWs4+
6QYW+06z7/LwEmZXuxBWty/Tehm2FGJTFDNR6KxKXdkPGVC8uncQvwfhOQavg65lqWsG/SVy2Ksw
9T0rVvdRK3fQEOt+2WoAwhqH0dSXMGOFxC2umkjeRKHP3pPnir3t0oz1R80GEicn7UOht7dCZ+hE
kDt5SW3tdXW0vCAVr3KPmdtpPwzhsBV9vNULxxvy6KELrQs6RjeqAaWDDNbHVOsAY9rOll7Etc6o
VdIbpMd5bJzweezGXdg5Kz82z0fY2IHtM1zS7FEi+LzCd1aWIi57g6KC2juRq0TDvtKVrZFks1n8
xp6kM5KzwQ9KE76FQL9qI9KmfdG4SM+PfZe9xYUGBk5dl4N05pjhk4Miy6XusvV1Nn7zVq7g1Hup
OGNvAlE02QMr3vvOcJmY1SVYDkwpRr3Ly/rE/PdYRI7umop9kwbhsM7UhvWTZS8DuoI4qPMzSyQH
obbJ2pemOzrYsNGHPb7zszRECtpMvnwgtzC6UgL24VJL3OM00ZXr7QJP8Nip7dUUZddJ3A9u6FMm
ScDPjNiiBNsucABbaItkC8nJeOgVGTWQM51KAVPIrnkveD/SbT1W1joYdPuUMoZsmspSbkBE+ls5
IKkrV+xmXFhq42zTAR+c2uYUfGyRh2so7to9FLR44qFzpn0EUuKIHqohE7FOq1VRkUuqCDEvgWxz
RSOZJnKVJpukScMrAgbj50RTY2hAFVWfxBkrPCSk+bZQyS67MTLONSuUOZnICTaZn8hvXTdTjyWl
bxmIfNTmAXi6VSWHz2k4+GLjR7oOzT4O2gepJ3BsofdFf65U0IRdQnFbJis1UTcc+7lNfRUOby4u
KrqHG7Du1pUWOdMdXAH7DP6TfZKcSkG0m7JjdiDzeXWnk0cm0uGc0qH24JOw+9hTSd6gqEJXZZAS
szJxrboxbbh0GQVORZenIRDYivrLijuznCEUS7/ERYTXs1vmdRA9OZWlUbGYZphlA8asKDXW4yOj
T9ygFG4HbUU7ARVw4TuXhp/C35Fr9o0piwu4iZKqrRSqJAzsXX/EihIdYfaCHrZhHdymuT+4Pjv3
XWf09lOYOczPKlXQIGlBOtpt5/XkB97ggEXViPguQEDmFcg6Mdv0TADQDcpNrebtzm7ZE/VR/Qos
4NFqjOaMILRyqSCov24zXSbliFSLgzMkxXYEvX0lDAqrZR9RlKGu6k1CUVyrMHI3oZUiIzTkSqQB
TUkKqIY1PQNRwq4LfK7fDqRDr8u6YfyRJ2tl2VW5rwqR8wIxtAHu9PSC8DVq7quBstulI0/JPmqM
NcKEC1pD2mWYTayDK8Gvy6h6vMHO82XHavtuqIdpm2oJdbIaaq7HGrZbkvFDQT0au2VDCdVTNUpN
nUaxoUIqfPQLSzqNRYik1epmSoARDVQuii49U6HjzLzoYK+LoWfu6P15NkFxsejxoZ4iPC9uayjx
3g/1+EIurMdKzLGROnXxIDHTNWsnB++TAfNLLpjYW7h+J7mzCrhrcU2zKYFysWuNxLkCEOogkmuL
+nVSgNTNbpNsVVl9e2aXcsZ2zQS72E5qu+56B2OUxfKNLb6lrycIsg3LAkR8CyAoDDSok/WjLwZ9
V9tBQ4w7yXa8n5NJoSMEerjKhiHetDRAZ7ly7LP2V4V+PeeUlZ4xaDhLHJkKAF425wwcChbacpRG
VozNeBqSlq4Wath7pVayTdJF5LkbWFeGpjGOGGgKjimZp9KvLY9EXaqUaMLxcBCGtfjHRHIzHCuF
UoKjjhgx7QAYKuO1z1aCPFTl3jFjM7zXQJUEGH3pbHkWPHht+w+iAyqlohW5DDoEVrQ37EChN9ZU
8smsrLpZ/yMhWrI2ocxQFyM5Z+bXsdgaecaJKi/H8DbwNfbEH7VC/1+d94U6T9WRZP2xOu8GKf5X
4ryPf+OzOE/DzmGQxIMfAa2YYaLA+5fTQwclgBQEFZluksD2L3GeRg6SbcwRSSoeEcP4wuohafrP
/B0iLj4f1PwucR6MJUWGpaTIOFIAK73XlyG37nS9J4tgynL5oU7n4hTWxutGHqiefHFlfkee91Vy
j45KUSeeWNc4Yws54izf+0Jahnss0qIq0ZZWbtVk5sDc6VQS72CAt+uWDIarJC7YIYhw+hO13m/U
ZfMn85kQI0g7s9WvEA/2oLFIVvFQJQHl88LAAlbSHPj26f1GfTh/iMb52YjYyAiapXxfnB7h1I2W
FHxIZNhXtU0Tz++OyeR9+1OU+bu+E+h99TFf3TGlK2qaz3xML7ro1OYILPpKSNclOZqQ+Py6XReD
RWUXBHnBBJ7ckWh8EQ5t8CfSRPV37yfiTpt/dINYtvcn3ENEDO2e+9m7SMy92i2Okktb0DXWCv8G
QN6vwJkuKE27oD0v2Fe62TMNrR2t8639J0/X797jL77N/PMvLj8kucgEQaMtuz4o2MwbB2kY9L95
j6HG0hizDIcbjOLW/lphqhP46re5tsS3aKzA2acnkplY6mhDsfn2jf76fCxTUxQclLps2AZAla+u
rq7VAStr+HUy4j8Q5WDywqb5M8msNouN3z1PfI5lsbPnmSVuitfy/XWTgZeRYj1z8gSpGIhaxnDa
qEU71rCIQz9f610bhusy0vRnjQ3IBOrI18pHhIKOCq0eyGqHrFIGymz0PchWEKF+uUYNiRor6UgH
Zk9OmNaZkYI3wutT0qcS9Lbpvum1YjBJqVa9F2lEz5KdZsoyLy/N4gIfMwIa8i5kCqkxrmzXklLV
PmYjV2YbJzAHkqgYT/a823KMAxaugN1hJUfRQkqqOaw3GBR0XlanewgHxxurb5CLiK7SbW8AXJFu
ovnf6zKJamcTiqGMrzQ1Lynr9BU6Truq2NGxT3RucXT7PlI0eLxoXhSDftxodEg2JGyiLxkkYnQC
fak8YEtHqR+mUAPIvDaUBtF8Kd3aim0WHrqCwRNBXsfrRidSFQmVHdSraTJC1ZUzoa9rySpga8Yh
a4AS5vpKG2qbvlXoa9D/FZBxmh012yFLsxbakSQdgdCDlqTHZ7/qxVAqZ04KKsR1mqBRF0PnI98M
UyWiMdPK0jHSFbta9xgqxmVvpvarI8cUPdeWM9j7QBo5X8ca8SNL5CjLqI6b9EmLNWrMAtDkuMqj
AX1PQsFgoriDg4/2US7NYm7lXBUq8QamOdrnVV7n53RGrQtiHcxng3ekcFO8TJdOF4Ja7EMHjUqU
4LxC/2ZOnadJY/0hHGA1euAjHfb8A0bBRamH/XUCK4hsDbOfyO0ILRs8r1IJZdGVavrC/El9t1e6
6iHS8yZza6CxSHckO2cvIOsvEt2FU6DTP1rwwgIGCMsQFXFpBUTlAiBOH3QnT5UZ7CkRGSHZ5YcE
6MmRyr//EgRlfc66e2ITGw2BcFWr7c76sczv0PcxwAZlEJxFmgYG3SKf4qJGiz8ttByXGOoAqbsa
aES99nUZldS4+wGweCUJfWa2hndTNfixl8nkNC0IG8UBrCsiPaFMg5o/VHZzIGYhQuBm1t2F2mop
dkVt7E9aADPL1TtIBkJFCOyBSa1voAI4W9jyeALV1AIYjzvLYF6QJRJnxgzflRR18sUYZq2xmGJR
InENcnREYD+AmSQ86GeqJKIJTrQlYcZKKdzoWK1h9yWK9mopeifvCyeDtUtD7VEttUpZ85jZZ33V
AYlumqbHYGal8qPp5BawGVRLJV6lUr90/I730icn5APNSfOpmUY6Kw7WnFkGosRnuV+ONzxSCKID
MCMekkkAceEYl4jiGChPuMi5TDEFgMuaMUShisRtYNM8zhowGk9H3yBGGYOf1tyPnZ3RqRsbw4t4
Yi6zHK04SjGRveVaiHhPxFrCc0s2C6SWUS6Zt/JKNTd6FWd7Q9En4dp6nBqbROXlpmVcVgkbXJhJ
qGUsGgOj6OvMpVRNVyNCVRxCJBiT1lUBrD/CECJ+gspYdz7gkxm81LarN1mWkAGbmopqdJSU4QCO
MDUOUVI19SIN2aqtrMiakhXwCUdf9ga9gWVl+oa+QDILkx5XozFclHGZJ4uoLUb6QllZ+Z5a1Ia9
82u8Y5B1KtGBwBiQ8+kToIqDAjDjlp1TC98E5tFVWOsyZbZak0PXjzoN1Sf8gnSJs05Mx9nadj7B
MlFBiiiptlDz+gz5S1wuDQVlOVUL+r9zcdmgcuK3VbyRx7ECY0AVQdvoqH+5YXIDfCQw9bJ2oV4A
JKfN6Vx1kK3p/kcSRZdczmVzbVI3YxgUpgTHJlOGbq06AaIcIgH83iVeBNsoYWZhsxzsNkFAD9pm
WtRWKdPhpBUnI6Yvs3JFA9fql0kktxWlGBt3fmJYRHGEaX9pijKigOUbqrYnGyns6VCOA1r+Lkzt
Ta7TfvIgGxrng9oLoIjWoBnLUIYD6U55hKBCKfjyq8woVGkPysUQEOIJ5oUExYgaK6K8YYEZ6Es7
7LoTJm7JXAZJnNpLHA+oLAsbwgfRh9QjFslc1HPZDSuVa8qxqR4M/DFIJwMjpYgph1q6LItYba5N
Cuq9x8Sp3RkDMJUNPZLBwazpc8FAblXDKlRlAbuTJna/4P0yCpc3h+AFTIx+B/4o0qQl2ihNXiBZ
JEtHcZr4yLAaOxS7EPboo4rnEsPmlWKVEVr+zjeukHoRDiJ8NWfRiB3VA87omCSWhYbBIdRUxAfb
7voPZZ1YiOazmDSCjPmcvfSUsxe1IqHXu1RxQp29eTa3qDg3+Gi5pd6xS0/PxkQ175sGg8dBCqW6
YCSTQChiVtMOlVYjgNQjq0lWAgn048dV1f+VW9ZfvrT31DwtP7rBLto3MV6+1W3a1J8NV/NPz4so
b66L/7Nf+vaBftnpXo/l23/9x0vR5s38DX7DO/gad/DxG338ut86QAqyuGlfOfLHXStGMgdwwewq
cxxWzgT+BJ9/brKrZQfBSteUP/7Rvryv37oI3z6/T1fz27/zrVN4+9WmN0N+39UB/vY1UOSf6SDw
R+ZQX568of3MCpg/xBh9/PPpo754Pv7oCfj2if24k4co8X0nr/8833eA2dzXL0/dUn8GyEz2rE75
Yf7zqdryb3Tq6tf1n79/362fZYNcUgJcPz768xbry2swP/uOQnno3+62/6b29bfPXVN+puyiaZY6
W1TnP+/P3QIBih0QAui/3Y2fCzjf+cLzvjuWac5uxy9vuOX8rJmfDLmfHvpPb9e/0UPPLfnekzd/
5onHyGnrn85xjst+dxEMst4pbVAV/fRg8HMu91+6CH/hl36dQN0wSl8/Tp3RW/17M+wf/cLnsfW3
P/9lwpjN26oGi+fXAuzHX53n0k+f/mnymP/7f7ybWj+e5Bc//O8vw39+8Z/vfrf+zS//cvJfftaX
/+vdqf7uOXz+n5voTTyJl3D8+FfGX87qBLjov/7Dhej7+vSl51zjzf3Xl/zNYuHXN+VbR12Lt7c8
fcpfPx9qvoTzlPC9Bz6+DdFL8fk4H1318+v7vYe9emLh9dM514kgBr72T8eoat94ij8f+uMjMM9Z
3/tJN4iy315/umqemrf68+E+Hl3nvfjeo7scQDylP/0zexPRy7vbCkjZZt75w0/gy/ylW+s+iej5
+e3p3aVRZFlzKLL86fF/7wH+dSz47Qv4fmHz93/+y+nO19fS1f8HX99/pgF3+t2N/gGP0T/zoEjf
HfQHjAk4ner+a374jzjuWx69exjn/sUfPuZ/8SlftIIklujzgeYHSPsBh3XDp3dD4swg/96vevlW
ts9p9PJT8eGnJnz7yWW39W6E1H/AuOu9ZcWLYJv38tOff94PeAJdJidRvB9/9R/wsLhFVoji3cBr
fGvU+ouPy6/j7od52M1/vUaf7+78/Bg0ZL73XrtP5dtPt2/i9e3zsT4emTXc9x7Zi6Pnom3ePfHz
PuV7j7skU675fJj5y5o/4Msuq/apKRj30jlfKH97N1TNSJHv/taoyMT7w1o/4FVdNuSVlO+Ha+sH
vJ3XvPbrp+z5/ZHtH7BcWT89v38J5/3C917dNRi8d7fM/gG37LcPAouS7/+u7v/6n83bT6//bdsV
kXj31tG0/f7D79/y8d2lUNQfcNRD9Pz1qgBR7fd/28NbjV353eSizKWD730g+L5fXQVIVN991CMb
m+CpfnkSn481jz/K/+buapbbRo7wq+CW3aq4bECkKF1SRVLUjyXKWoHWVnwbklhyTBBg8CMtlUpV
LnmInHPyIW+Qm94kT5JvAI6NHkAkRXRMl2qrtpb21sygp6d/v+7mUCN9sQyThLJDk+Eh94UvHiQ5
rhqjUpe+WNZYlOEV96FIR4Yvpga71D8suuomMiVKGtFirpVFQMUkOuAyLI3RDJC/cBr1WhmvKZhV
XXpcS5j4eplsVQ6Vka1qEKLV1NtUpgm2cg9zMYzpnJgQk+rlslMfMzDy7dOXNDB7NGMuUG0i38Iz
oWEQR8Wx6t6d6y1HUw9TQQkzoxU0w9Kw1qZWOzM49WqKzphWqH/ufouuF3gT4euFsnVthhfoqgiL
sK68MCAPxbEZhKcbziHniDZ1bAamc9MxjXY4HJp/EFIvDa1+Nblr3NvTv0JrEM6fvmRRrJvo6d/B
SC4orQ8YaD3AM4wNWh8wPJiBCB5NAe1wRCQ/TkoPvMHA0IgTzNAC3joVMTGLnAaDLEWEVho2vaMa
Q9aVSj3EYRIZEJMAYwvrL/yp5IM4hwzM9knOh2L4QLn4kIEQbiZDy++7xSA1OjKyBjDmiBBFA9H6
VG4Plx65u5bjILEKYPkRil9tBwjvjSpgf3FYtBED1FmnJorJjTXJkf3kRjpiGiExoG8st730r92F
NEYPRNS65TCbz8SjQFohkgt9wuy8CoJQV15cRFT/2Rxa9SKOhEceB0ZHspz1L3qVjACqBqAuAd6H
kWECYGpF/WUv0wchE71OdloO+XDlDUVAozY2hwr9MDfYgEME/wLYE/VuFGKo7oW5Ih1Lqx0JU32+
Y1DLLprpUivTYXhkq8SgOrPVm0vE2g2nwWFQeL96cWJ1RDDTJFZMh6pW/XN3ofZnD4BavUy26iHD
w7sOLTDdH2LLzCU3OeTaGZJcgeWmw7GMIThH5CmiyzqHWIahPLQuYnX+uEge+x3UYAvz6WvzenuY
Wv00Jhy5Wp2BLf9623N7t3e9k79Zinm8CAQz+b/lNLPe6Ki6chQOpLE5xLY/+wMQXMxB2sb+ACIw
gCAq2R7UTglHyIVv+H9+BKBHOVKgMuIG960+ecusVzuA7B4hJ0h5LystohL8heuanmVFUPxlK/bS
KKResJqrVXp8L1v0OoxUBKYCapFhheqRNoVEKkUzAOEoWfYvO3Pu8VSc+QAmQsmkednaH9RLoJoR
syVQNOigpVXjoIVCV5TU1WO5G5gLGA5h7ILZE80GEFoN1LWqArdmaZf0G94ZYnirSCZ4RhiMiNHl
Rw2UljooMrVRyIUhbObn7LBRR/gqr16GBLXQcwLy9BigWYw/b6CQlmO7PpI4izBBbIE8Wwjx5nHz
yGlisgjqBIFjLT2PHb6tLybTyBtqKinDoAWQqPoHc5yPURVtO+84NvoKS7KuPaAgopLCPWoAoXQA
Kh5gCDzGbGDivD5VhdWTM8n+tNRXQNU2iqpwLyVFVPwE9Z0ALBb/qIcnnmi8JNlL/43+w3Vwv3aU
DgkzrbvRLZ8flItExX0Wx+yIaIggrL6vzLzUPyoub+sdJqn0Kc7JXvfCtlxXnVaMKcjEZoj4qyw/
QhJiLoglyeF8dMUSdnaVnao6EniKSZa7E7prcAdHSvMknCOCSS0PjlijXrcaw3PIwB7AxpqQWw43
4CwVYyBWU2rmlHV6QVhsyc/nCFKQeCP6SNRnivfgY+P+bA4Xty8iFds2M7EcKK9+GCSxSmARR9Fe
q5W3pPENKsKS0Lo1wM0Oh5ubg5vRQSiJM2l67WGonb7ATJa+Y3jk+S5X6YiaFZhnpbfaXYAMMGZX
jsU4O/4gHMIE1Itm53cYnuUAmZycPl3wZRhXCUOHA5yTE+pOBiPI1eyLFGozlwpwOOnNcOBgMC09
kfHUupPRRFYKefjvmp67X9JHd+0OJV/z5YIIBeTCAGE5qhlJff0UiZGgLNViEHGuoFaRo+qD6h7W
VZUKPbiHSOHRLILDgd/IuRMmTDJ9+uJ786U+sXpoaE+if+7OJ9kH9AV2oAFDJLA4sKH5B+RawPrp
FKmLkfezPrX6iAOY/yVP12TGKht5jeXMWKeQBya01b1rfozGqH6I+JOPrATVDRtvAV8x8TC85fny
pXYwDqGQi/fLoG/aKvpCz2ozPN2O509kOi8eliM71QljEDbTJOde9OhNwntAEsguDPoRh8dkQKqd
SsEo8xltvsBO6k9QUUSOe8Bw3BMvmIuI5Dk4EhIXEchAy9o4MH69GE2KKREQpK6tK7qP3mhqLMtA
21NZqu1rMViQpyIKvSqza20kaksDO1cEmqRKDxwxvOgzOUSU1shgHjPc3Bn8gSD2iPY9ZjB1zrwI
jj5dloMOqPcceUXqcoAy0fYcRg4RDcC26F12t0DO0SxPRIQI6FZRf92LUUk4oA0iw7qJ8OlpOZyq
915kMJjtMBi97xFHAjye2nY2h4d2JZJ7gxs4IHxXMpmmpmlil5NDL9dtrh/ei5l5ZAYaX0nIdZjP
yMca8CQO2OFV+rs3RzFYNNGsq8QlxjHrn7u/vD7GHIMmeqFs3SaDWENkRpilCAyCAnUTCT0sR4jx
mQSFzYE6RE7yQVBZwaGa0fTVsHrQiE3f4u7scIMMamrgzG2ONgG3gIIb9hQa79Q/sHrRKDcmPOGo
jp21vfpMaiLMRaMQHF6HuzAwjMh/MRz4XsChi8Z6JfWUHYeDxA/emCoPh8NJch8wDC9PC9IjM4jj
jzMFEyXmDzLEepvdn8cKEnYpg8k4pG5jGbrxcvV0p8q5wXcYAEgkhrM2M7qlva1i5aqIJKIMzeHV
uF5kwvo4inMB0vJUDX3fQDk2WbCeOVikL0be2PT0MBmPw567DNE9lFAbzaYw7YvBsH36hxL/Va5Z
q4GuTuhfDvz5ETB56O61cbv9hdZyjMsrDK1FE6V/aMxH9ROvq5U6oS8Nk5sD99yJxCOti+CofVKh
UiKDOSqTuxhIbNbVqx55dSnbGyFdG0Z6IaU9OfoYnSK3PJqqpghGhT2HbXkq/NmzcmDjs98cCjxL
l8ap0Q1dU2h3LeqinDhAOxG9UuZ0cISUbkQkzJkQtmq7Xpc5brwo1avkp2Uw2J4dYFET3HEHLf+I
XlmieGLArPTP5y5uf2og74RVVw0Uz6++8f8CrELQXT4SzuWASHRDZA8V1oDcGUtloW+5wr83RRtH
khb4lsRDgS85s+oyWfe1nYfBWEE99UrZi9ucIdwsz65B4ExCkJXXNmHb0ri+gZycE0LYm4PDRYbt
qUcP2N93SmkqRHjd9wZ6f7tp2mZxT60Tq+Hvzc2ss7+bQKziVd7EbxO0FEIRD3XdGFz7NmIGQyE/
04UZdHxbDSCggSQGJY/SrokPHGA8LcocjrB+H7YZEqpkWY4DT1Pz0hjSUR0076Ml0gcMZ0VPumE4
pnfGkYBwI2ldoSaPCHSOAA88IuoTcmQHoC4n1qX6l9u+LbIDBmLpn8/ZfJt15gXwHMDAUSLbHL4s
VjZXZZAP78WCiga0965PhctlNFk+muIMJf71l87jUJeh0d0O88zqr50XF1WszcAYlyhvn03LJGF4
11fCwOpzdPpEpE+EpSfCETpAZBXdWQ1e5jDeke0ay3sKQLU5EO9YWCzNN82B9bv2FrRJkd1iyPop
vx6Z/Kpwp33Esj7GjBlaD5No67+/G0TA5GJRAhGzRFGQhBALiA19TOUmORzlMoOpkGZ2EZPg9D67
65KB+CzLlEavFI6lJRqG6XUyUnBYGAqDrsxCkzscDon08XHoVZCDI61/J70EHimhB4eo+wAYZnhv
XSToxryw3lo9NH0Nk3T1MovbYRAfRxHDasPLNBDxFA183lr6P2XVpq0GBx7AXaCixF9WyRvUf3LY
Pn05HiO51RNxUiRa3orn+QAKQiJbVcquqOZOJaYPIqH41vr6n3nng+KmiAWgvJQhbpNpFYELiqT/
37//M56JpUAZxRJdP3GCczSuRYFRFVFRRX14wJEcGEg0k36Dpqi0E6iaGHrAUSKFLnwzMdPsHr89
kSJcwl+S1i9oTk4LFjCrFKNXGCzak3A2DkHAgZjBjZQ0zIQhJyhFZri8S5HKSBJ4LoL97w4x81Yz
y+6C/0a88eWbEZCvb+KYRtLzPRiA5y48bX3SPGKYnZ5BbV2JRTI1zJr82BsV1x4DS1lrglcY41OV
AGYfBg7AD/yw30J/VqFVDgE4wCyNY8wNsjFiGr0kNjLV/u69qsHDK+SCvMcHWt+IeUjCNBzw3g4w
2WZ1O4M34KrUdVhZ78cRSOiGqkjyp0sPKapg8nOVouUoXsziFarrECq6VFK7ah8OBGk3DPVjhNmT
ZxqUXG9uFLqbg1qn8rMsrsnhpJ4CJad6hOlRQhlySY6icvRs7VSeLS28Fa4AMNBlKTrHkdBarZ8F
kNRlK7TR1/SKCo7S5lkcSXbkE4nDUu5Mk37rGbMlmc49ICJXHJp9Q390AmSyr/+McBYK/TRT7G7q
XMKKGgLHp1fKTBGOBr/daQQ3FK0mKjQUhgTr/XY/+bX3YHWFXwGH48AIXkujEzsHQvBOBEhCU4OS
o6T3WsC/1RTNbpDjzSoCf/IQeqPlaoDr6a12v7wbmYxQil2pXNAXiWEDsUDvF/UJFXM9eHwE3+xP
z8DUUFIxbPfq2CEHWCGvbj73fPQQ+aPVjtFDIEY//EzYoEuCChxZ8H+7aTAldgraVdW/lEE4A86H
cKrDYUoMENGmp+XIRgxSQNSNwzJw5q+4Xpk3ijhNEwSKNF3Vw0X3LP1z98dVMjIdDo+7q0LDqsmI
frT6oJmVg5r4Vgv9sTCiE35so8lRNLKCr7vZqENMVAzCyPqQItIFe7HSjGup6AIGnTeP4P6gY9zm
SU57dHwqes7VdXyKX6PYZx085/sgd6qapr2+r6xq6/d9vzL3IbrFCbb6AOu6H5x5IVq6EAnEkaC6
TWMjW+dwhDMHT//BsISlVxQ8aNqofz4nMIuv4vvi1qr6L+prye5q9UjXQNNq9uOr+vbCaGNyGE2b
rf6+4OFWNX4kC7+Or6zoOvmDfeWGy15pg5EPJ/NP/wMAAP//</cx:binary>
              </cx:geoCache>
            </cx:geography>
          </cx:layoutPr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spPr>
    <a:noFill/>
    <a:ln>
      <a:solidFill>
        <a:schemeClr val="accent5">
          <a:lumMod val="40000"/>
          <a:lumOff val="60000"/>
        </a:schemeClr>
      </a:solidFill>
    </a:ln>
  </cx:spPr>
  <cx:clrMapOvr bg1="lt1" tx1="dk1" bg2="lt2" tx2="dk2" accent1="accent1" accent2="accent2" accent3="accent3" accent4="accent4" accent5="accent5" accent6="accent6" hlink="hlink" folHlink="folHlink"/>
</cx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599789</xdr:colOff>
      <xdr:row>14</xdr:row>
      <xdr:rowOff>185738</xdr:rowOff>
    </xdr:from>
    <xdr:to>
      <xdr:col>3</xdr:col>
      <xdr:colOff>155221</xdr:colOff>
      <xdr:row>18</xdr:row>
      <xdr:rowOff>58738</xdr:rowOff>
    </xdr:to>
    <xdr:sp macro="" textlink="">
      <xdr:nvSpPr>
        <xdr:cNvPr id="53" name="Rounded Rectangle 1">
          <a:extLst>
            <a:ext uri="{FF2B5EF4-FFF2-40B4-BE49-F238E27FC236}">
              <a16:creationId xmlns:a16="http://schemas.microsoft.com/office/drawing/2014/main" id="{6206634F-A904-A48C-D580-CE31628D1874}"/>
            </a:ext>
          </a:extLst>
        </xdr:cNvPr>
        <xdr:cNvSpPr/>
      </xdr:nvSpPr>
      <xdr:spPr>
        <a:xfrm>
          <a:off x="3952589" y="6078538"/>
          <a:ext cx="393632" cy="685800"/>
        </a:xfrm>
        <a:custGeom>
          <a:avLst/>
          <a:gdLst/>
          <a:ahLst/>
          <a:cxnLst/>
          <a:rect l="0" t="0" r="0" b="0"/>
          <a:pathLst>
            <a:path w="393632" h="685800">
              <a:moveTo>
                <a:pt x="0" y="685800"/>
              </a:moveTo>
              <a:lnTo>
                <a:pt x="167199" y="685800"/>
              </a:lnTo>
              <a:cubicBezTo>
                <a:pt x="187526" y="685800"/>
                <a:pt x="206322" y="675003"/>
                <a:pt x="216565" y="657445"/>
              </a:cubicBezTo>
              <a:lnTo>
                <a:pt x="383252" y="371695"/>
              </a:lnTo>
              <a:cubicBezTo>
                <a:pt x="393632" y="353901"/>
                <a:pt x="393632" y="331897"/>
                <a:pt x="383252" y="314104"/>
              </a:cubicBezTo>
              <a:lnTo>
                <a:pt x="216565" y="28354"/>
              </a:lnTo>
              <a:cubicBezTo>
                <a:pt x="206322" y="10796"/>
                <a:pt x="187526" y="0"/>
                <a:pt x="167199" y="0"/>
              </a:cubicBezTo>
              <a:lnTo>
                <a:pt x="0" y="0"/>
              </a:lnTo>
            </a:path>
          </a:pathLst>
        </a:custGeom>
        <a:noFill/>
        <a:ln w="14287">
          <a:solidFill>
            <a:srgbClr val="E0CB15"/>
          </a:solidFill>
        </a:ln>
      </xdr:spPr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pPr algn="ctr"/>
          <a:endParaRPr/>
        </a:p>
      </xdr:txBody>
    </xdr:sp>
    <xdr:clientData/>
  </xdr:twoCellAnchor>
  <xdr:twoCellAnchor>
    <xdr:from>
      <xdr:col>3</xdr:col>
      <xdr:colOff>389287</xdr:colOff>
      <xdr:row>12</xdr:row>
      <xdr:rowOff>134938</xdr:rowOff>
    </xdr:from>
    <xdr:to>
      <xdr:col>7</xdr:col>
      <xdr:colOff>130187</xdr:colOff>
      <xdr:row>26</xdr:row>
      <xdr:rowOff>33338</xdr:rowOff>
    </xdr:to>
    <xdr:sp macro="" textlink="">
      <xdr:nvSpPr>
        <xdr:cNvPr id="54" name="Rounded Rectangle 2">
          <a:extLst>
            <a:ext uri="{FF2B5EF4-FFF2-40B4-BE49-F238E27FC236}">
              <a16:creationId xmlns:a16="http://schemas.microsoft.com/office/drawing/2014/main" id="{75AA3D5A-BFF5-0F33-6AC3-F25A45398F76}"/>
            </a:ext>
          </a:extLst>
        </xdr:cNvPr>
        <xdr:cNvSpPr/>
      </xdr:nvSpPr>
      <xdr:spPr>
        <a:xfrm>
          <a:off x="4580287" y="5621338"/>
          <a:ext cx="3093700" cy="2743200"/>
        </a:xfrm>
        <a:custGeom>
          <a:avLst/>
          <a:gdLst/>
          <a:ahLst/>
          <a:cxnLst/>
          <a:rect l="0" t="0" r="0" b="0"/>
          <a:pathLst>
            <a:path w="3093700" h="2743200">
              <a:moveTo>
                <a:pt x="40328" y="1257957"/>
              </a:moveTo>
              <a:cubicBezTo>
                <a:pt x="0" y="1328356"/>
                <a:pt x="0" y="1414843"/>
                <a:pt x="40328" y="1485242"/>
              </a:cubicBezTo>
              <a:lnTo>
                <a:pt x="695172" y="2628242"/>
              </a:lnTo>
              <a:cubicBezTo>
                <a:pt x="735911" y="2699337"/>
                <a:pt x="811587" y="2743200"/>
                <a:pt x="893530" y="2743200"/>
              </a:cubicBezTo>
              <a:lnTo>
                <a:pt x="2200170" y="2743200"/>
              </a:lnTo>
              <a:cubicBezTo>
                <a:pt x="2282113" y="2743200"/>
                <a:pt x="2357789" y="2699337"/>
                <a:pt x="2398528" y="2628242"/>
              </a:cubicBezTo>
              <a:lnTo>
                <a:pt x="3053372" y="1485242"/>
              </a:lnTo>
              <a:cubicBezTo>
                <a:pt x="3093700" y="1414843"/>
                <a:pt x="3093700" y="1328356"/>
                <a:pt x="3053372" y="1257957"/>
              </a:cubicBezTo>
              <a:lnTo>
                <a:pt x="2398528" y="114957"/>
              </a:lnTo>
              <a:cubicBezTo>
                <a:pt x="2357789" y="43862"/>
                <a:pt x="2282113" y="0"/>
                <a:pt x="2200170" y="0"/>
              </a:cubicBezTo>
              <a:lnTo>
                <a:pt x="893530" y="0"/>
              </a:lnTo>
              <a:cubicBezTo>
                <a:pt x="811587" y="0"/>
                <a:pt x="735911" y="43862"/>
                <a:pt x="695172" y="114957"/>
              </a:cubicBezTo>
              <a:lnTo>
                <a:pt x="40328" y="1257957"/>
              </a:lnTo>
              <a:moveTo>
                <a:pt x="564203" y="1600857"/>
              </a:moveTo>
              <a:lnTo>
                <a:pt x="957110" y="915057"/>
              </a:lnTo>
              <a:cubicBezTo>
                <a:pt x="997848" y="843962"/>
                <a:pt x="1073524" y="800100"/>
                <a:pt x="1155468" y="800100"/>
              </a:cubicBezTo>
              <a:lnTo>
                <a:pt x="1938232" y="800100"/>
              </a:lnTo>
              <a:cubicBezTo>
                <a:pt x="2020176" y="800100"/>
                <a:pt x="2095852" y="843962"/>
                <a:pt x="2136590" y="915057"/>
              </a:cubicBezTo>
              <a:lnTo>
                <a:pt x="2529497" y="1600857"/>
              </a:lnTo>
              <a:cubicBezTo>
                <a:pt x="2569825" y="1671256"/>
                <a:pt x="2569825" y="1757743"/>
                <a:pt x="2529497" y="1828142"/>
              </a:cubicBezTo>
              <a:lnTo>
                <a:pt x="2136590" y="2513942"/>
              </a:lnTo>
              <a:cubicBezTo>
                <a:pt x="2095852" y="2585037"/>
                <a:pt x="2020176" y="2628900"/>
                <a:pt x="1938232" y="2628900"/>
              </a:cubicBezTo>
              <a:lnTo>
                <a:pt x="1155468" y="2628900"/>
              </a:lnTo>
              <a:cubicBezTo>
                <a:pt x="1073524" y="2628900"/>
                <a:pt x="997848" y="2585037"/>
                <a:pt x="957110" y="2513942"/>
              </a:cubicBezTo>
              <a:lnTo>
                <a:pt x="564203" y="1828142"/>
              </a:lnTo>
              <a:cubicBezTo>
                <a:pt x="523875" y="1757743"/>
                <a:pt x="523875" y="1671256"/>
                <a:pt x="564203" y="1600857"/>
              </a:cubicBezTo>
            </a:path>
          </a:pathLst>
        </a:custGeom>
        <a:solidFill>
          <a:srgbClr val="E0CB15"/>
        </a:solidFill>
        <a:ln>
          <a:noFill/>
        </a:ln>
      </xdr:spPr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pPr algn="ctr"/>
          <a:endParaRPr/>
        </a:p>
      </xdr:txBody>
    </xdr:sp>
    <xdr:clientData/>
  </xdr:twoCellAnchor>
  <xdr:twoCellAnchor>
    <xdr:from>
      <xdr:col>3</xdr:col>
      <xdr:colOff>389291</xdr:colOff>
      <xdr:row>12</xdr:row>
      <xdr:rowOff>134938</xdr:rowOff>
    </xdr:from>
    <xdr:to>
      <xdr:col>7</xdr:col>
      <xdr:colOff>130187</xdr:colOff>
      <xdr:row>26</xdr:row>
      <xdr:rowOff>33338</xdr:rowOff>
    </xdr:to>
    <xdr:sp macro="" textlink="">
      <xdr:nvSpPr>
        <xdr:cNvPr id="55" name="Rounded Rectangle 3">
          <a:extLst>
            <a:ext uri="{FF2B5EF4-FFF2-40B4-BE49-F238E27FC236}">
              <a16:creationId xmlns:a16="http://schemas.microsoft.com/office/drawing/2014/main" id="{39A3B4E1-8F36-032B-D196-DE68606D0B06}"/>
            </a:ext>
          </a:extLst>
        </xdr:cNvPr>
        <xdr:cNvSpPr/>
      </xdr:nvSpPr>
      <xdr:spPr>
        <a:xfrm>
          <a:off x="4580291" y="5621338"/>
          <a:ext cx="3093696" cy="2743200"/>
        </a:xfrm>
        <a:custGeom>
          <a:avLst/>
          <a:gdLst/>
          <a:ahLst/>
          <a:cxnLst/>
          <a:rect l="0" t="0" r="0" b="0"/>
          <a:pathLst>
            <a:path w="3093696" h="2743200">
              <a:moveTo>
                <a:pt x="40328" y="1257960"/>
              </a:moveTo>
              <a:cubicBezTo>
                <a:pt x="0" y="1328352"/>
                <a:pt x="0" y="1414847"/>
                <a:pt x="40328" y="1485239"/>
              </a:cubicBezTo>
              <a:lnTo>
                <a:pt x="695172" y="2628239"/>
              </a:lnTo>
              <a:cubicBezTo>
                <a:pt x="735908" y="2699341"/>
                <a:pt x="811583" y="2743200"/>
                <a:pt x="893525" y="2743200"/>
              </a:cubicBezTo>
              <a:lnTo>
                <a:pt x="2200170" y="2743200"/>
              </a:lnTo>
              <a:cubicBezTo>
                <a:pt x="2282112" y="2743200"/>
                <a:pt x="2357788" y="2699341"/>
                <a:pt x="2398522" y="2628239"/>
              </a:cubicBezTo>
              <a:lnTo>
                <a:pt x="3053366" y="1485239"/>
              </a:lnTo>
              <a:cubicBezTo>
                <a:pt x="3093696" y="1414847"/>
                <a:pt x="3093696" y="1328352"/>
                <a:pt x="3053366" y="1257960"/>
              </a:cubicBezTo>
              <a:lnTo>
                <a:pt x="2398522" y="114960"/>
              </a:lnTo>
              <a:cubicBezTo>
                <a:pt x="2357788" y="43859"/>
                <a:pt x="2282112" y="0"/>
                <a:pt x="2200170" y="0"/>
              </a:cubicBezTo>
              <a:lnTo>
                <a:pt x="893525" y="0"/>
              </a:lnTo>
              <a:cubicBezTo>
                <a:pt x="811582" y="0"/>
                <a:pt x="735907" y="43859"/>
                <a:pt x="695172" y="114960"/>
              </a:cubicBezTo>
              <a:close/>
              <a:moveTo>
                <a:pt x="564203" y="1600860"/>
              </a:moveTo>
              <a:lnTo>
                <a:pt x="957110" y="915060"/>
              </a:lnTo>
              <a:cubicBezTo>
                <a:pt x="997844" y="843959"/>
                <a:pt x="1073519" y="800100"/>
                <a:pt x="1155463" y="800100"/>
              </a:cubicBezTo>
              <a:lnTo>
                <a:pt x="1938232" y="800100"/>
              </a:lnTo>
              <a:cubicBezTo>
                <a:pt x="2020175" y="800100"/>
                <a:pt x="2095850" y="843959"/>
                <a:pt x="2136585" y="915060"/>
              </a:cubicBezTo>
              <a:lnTo>
                <a:pt x="2529491" y="1600860"/>
              </a:lnTo>
              <a:cubicBezTo>
                <a:pt x="2569821" y="1671252"/>
                <a:pt x="2569821" y="1757747"/>
                <a:pt x="2529491" y="1828139"/>
              </a:cubicBezTo>
              <a:lnTo>
                <a:pt x="2136585" y="2513939"/>
              </a:lnTo>
              <a:cubicBezTo>
                <a:pt x="2095850" y="2585041"/>
                <a:pt x="2020175" y="2628900"/>
                <a:pt x="1938232" y="2628900"/>
              </a:cubicBezTo>
              <a:lnTo>
                <a:pt x="1155463" y="2628900"/>
              </a:lnTo>
              <a:cubicBezTo>
                <a:pt x="1073520" y="2628900"/>
                <a:pt x="997845" y="2585041"/>
                <a:pt x="957110" y="2513939"/>
              </a:cubicBezTo>
              <a:lnTo>
                <a:pt x="564203" y="1828139"/>
              </a:lnTo>
              <a:cubicBezTo>
                <a:pt x="523874" y="1757747"/>
                <a:pt x="523874" y="1671252"/>
                <a:pt x="564203" y="1600860"/>
              </a:cubicBezTo>
              <a:close/>
            </a:path>
          </a:pathLst>
        </a:custGeom>
        <a:noFill/>
        <a:ln w="14287">
          <a:solidFill>
            <a:srgbClr val="FFFFFF"/>
          </a:solidFill>
        </a:ln>
      </xdr:spPr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pPr algn="ctr"/>
          <a:endParaRPr/>
        </a:p>
      </xdr:txBody>
    </xdr:sp>
    <xdr:clientData/>
  </xdr:twoCellAnchor>
  <xdr:twoCellAnchor>
    <xdr:from>
      <xdr:col>3</xdr:col>
      <xdr:colOff>136239</xdr:colOff>
      <xdr:row>16</xdr:row>
      <xdr:rowOff>96838</xdr:rowOff>
    </xdr:from>
    <xdr:to>
      <xdr:col>3</xdr:col>
      <xdr:colOff>726789</xdr:colOff>
      <xdr:row>16</xdr:row>
      <xdr:rowOff>153988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8CB1EF65-AFEB-C4FF-626B-6BA3DEC5864D}"/>
            </a:ext>
          </a:extLst>
        </xdr:cNvPr>
        <xdr:cNvGrpSpPr/>
      </xdr:nvGrpSpPr>
      <xdr:grpSpPr>
        <a:xfrm>
          <a:off x="2636552" y="3144838"/>
          <a:ext cx="590550" cy="57150"/>
          <a:chOff x="2057102" y="2200275"/>
          <a:chExt cx="590550" cy="57150"/>
        </a:xfrm>
      </xdr:grpSpPr>
      <xdr:sp macro="" textlink="">
        <xdr:nvSpPr>
          <xdr:cNvPr id="73" name="Rounded Rectangle 4">
            <a:extLst>
              <a:ext uri="{FF2B5EF4-FFF2-40B4-BE49-F238E27FC236}">
                <a16:creationId xmlns:a16="http://schemas.microsoft.com/office/drawing/2014/main" id="{0BD179DF-D9FA-E978-551F-366E8BBDBF45}"/>
              </a:ext>
            </a:extLst>
          </xdr:cNvPr>
          <xdr:cNvSpPr/>
        </xdr:nvSpPr>
        <xdr:spPr>
          <a:xfrm>
            <a:off x="2085677" y="2228850"/>
            <a:ext cx="533400" cy="9525"/>
          </a:xfrm>
          <a:custGeom>
            <a:avLst/>
            <a:gdLst/>
            <a:ahLst/>
            <a:cxnLst/>
            <a:rect l="0" t="0" r="0" b="0"/>
            <a:pathLst>
              <a:path w="533400" h="9525">
                <a:moveTo>
                  <a:pt x="0" y="0"/>
                </a:moveTo>
                <a:lnTo>
                  <a:pt x="533400" y="0"/>
                </a:lnTo>
              </a:path>
            </a:pathLst>
          </a:custGeom>
          <a:noFill/>
          <a:ln w="14287">
            <a:solidFill>
              <a:srgbClr val="E0CB15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74" name="Rounded Rectangle 5">
            <a:extLst>
              <a:ext uri="{FF2B5EF4-FFF2-40B4-BE49-F238E27FC236}">
                <a16:creationId xmlns:a16="http://schemas.microsoft.com/office/drawing/2014/main" id="{2FEEB181-67BB-29EE-BDEC-FC6D3046827C}"/>
              </a:ext>
            </a:extLst>
          </xdr:cNvPr>
          <xdr:cNvSpPr/>
        </xdr:nvSpPr>
        <xdr:spPr>
          <a:xfrm>
            <a:off x="2057102" y="2200275"/>
            <a:ext cx="57150" cy="57150"/>
          </a:xfrm>
          <a:custGeom>
            <a:avLst/>
            <a:gdLst/>
            <a:ahLst/>
            <a:cxnLst/>
            <a:rect l="0" t="0" r="0" b="0"/>
            <a:pathLst>
              <a:path w="57150" h="57150">
                <a:moveTo>
                  <a:pt x="0" y="28575"/>
                </a:moveTo>
                <a:cubicBezTo>
                  <a:pt x="0" y="44356"/>
                  <a:pt x="12793" y="57150"/>
                  <a:pt x="28575" y="57150"/>
                </a:cubicBezTo>
                <a:cubicBezTo>
                  <a:pt x="44356" y="57150"/>
                  <a:pt x="57150" y="44356"/>
                  <a:pt x="57150" y="28575"/>
                </a:cubicBezTo>
                <a:cubicBezTo>
                  <a:pt x="57150" y="12793"/>
                  <a:pt x="44356" y="0"/>
                  <a:pt x="28575" y="0"/>
                </a:cubicBezTo>
                <a:cubicBezTo>
                  <a:pt x="12793" y="0"/>
                  <a:pt x="0" y="12793"/>
                  <a:pt x="0" y="28575"/>
                </a:cubicBezTo>
                <a:close/>
              </a:path>
            </a:pathLst>
          </a:custGeom>
          <a:solidFill>
            <a:srgbClr val="E0CB15"/>
          </a:solidFill>
          <a:ln w="14287">
            <a:solidFill>
              <a:srgbClr val="E0CB15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75" name="Rounded Rectangle 6">
            <a:extLst>
              <a:ext uri="{FF2B5EF4-FFF2-40B4-BE49-F238E27FC236}">
                <a16:creationId xmlns:a16="http://schemas.microsoft.com/office/drawing/2014/main" id="{1CE88C44-969C-A2BB-49D1-F5FEFCF1739E}"/>
              </a:ext>
            </a:extLst>
          </xdr:cNvPr>
          <xdr:cNvSpPr/>
        </xdr:nvSpPr>
        <xdr:spPr>
          <a:xfrm>
            <a:off x="2590502" y="2200275"/>
            <a:ext cx="57150" cy="57150"/>
          </a:xfrm>
          <a:custGeom>
            <a:avLst/>
            <a:gdLst/>
            <a:ahLst/>
            <a:cxnLst/>
            <a:rect l="0" t="0" r="0" b="0"/>
            <a:pathLst>
              <a:path w="57150" h="57150">
                <a:moveTo>
                  <a:pt x="0" y="28575"/>
                </a:moveTo>
                <a:cubicBezTo>
                  <a:pt x="0" y="44356"/>
                  <a:pt x="12793" y="57150"/>
                  <a:pt x="28575" y="57150"/>
                </a:cubicBezTo>
                <a:cubicBezTo>
                  <a:pt x="44356" y="57150"/>
                  <a:pt x="57150" y="44356"/>
                  <a:pt x="57150" y="28575"/>
                </a:cubicBezTo>
                <a:cubicBezTo>
                  <a:pt x="57150" y="12793"/>
                  <a:pt x="44356" y="0"/>
                  <a:pt x="28575" y="0"/>
                </a:cubicBezTo>
                <a:cubicBezTo>
                  <a:pt x="12793" y="0"/>
                  <a:pt x="0" y="12793"/>
                  <a:pt x="0" y="28575"/>
                </a:cubicBezTo>
                <a:close/>
              </a:path>
            </a:pathLst>
          </a:custGeom>
          <a:solidFill>
            <a:srgbClr val="E0CB15"/>
          </a:solidFill>
          <a:ln w="14287">
            <a:solidFill>
              <a:srgbClr val="E0CB15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</xdr:grpSp>
    <xdr:clientData/>
  </xdr:twoCellAnchor>
  <xdr:twoCellAnchor>
    <xdr:from>
      <xdr:col>2</xdr:col>
      <xdr:colOff>599789</xdr:colOff>
      <xdr:row>20</xdr:row>
      <xdr:rowOff>109538</xdr:rowOff>
    </xdr:from>
    <xdr:to>
      <xdr:col>3</xdr:col>
      <xdr:colOff>155221</xdr:colOff>
      <xdr:row>23</xdr:row>
      <xdr:rowOff>185738</xdr:rowOff>
    </xdr:to>
    <xdr:sp macro="" textlink="">
      <xdr:nvSpPr>
        <xdr:cNvPr id="57" name="Rounded Rectangle 8">
          <a:extLst>
            <a:ext uri="{FF2B5EF4-FFF2-40B4-BE49-F238E27FC236}">
              <a16:creationId xmlns:a16="http://schemas.microsoft.com/office/drawing/2014/main" id="{6CCC6CAA-15BA-C025-CD1E-B344E97E60DB}"/>
            </a:ext>
          </a:extLst>
        </xdr:cNvPr>
        <xdr:cNvSpPr/>
      </xdr:nvSpPr>
      <xdr:spPr>
        <a:xfrm>
          <a:off x="3952589" y="7221538"/>
          <a:ext cx="393632" cy="685800"/>
        </a:xfrm>
        <a:custGeom>
          <a:avLst/>
          <a:gdLst/>
          <a:ahLst/>
          <a:cxnLst/>
          <a:rect l="0" t="0" r="0" b="0"/>
          <a:pathLst>
            <a:path w="393632" h="685800">
              <a:moveTo>
                <a:pt x="0" y="685800"/>
              </a:moveTo>
              <a:lnTo>
                <a:pt x="167199" y="685800"/>
              </a:lnTo>
              <a:cubicBezTo>
                <a:pt x="187526" y="685800"/>
                <a:pt x="206322" y="675003"/>
                <a:pt x="216565" y="657445"/>
              </a:cubicBezTo>
              <a:lnTo>
                <a:pt x="383252" y="371695"/>
              </a:lnTo>
              <a:cubicBezTo>
                <a:pt x="393632" y="353901"/>
                <a:pt x="393632" y="331897"/>
                <a:pt x="383252" y="314104"/>
              </a:cubicBezTo>
              <a:lnTo>
                <a:pt x="216565" y="28354"/>
              </a:lnTo>
              <a:cubicBezTo>
                <a:pt x="206322" y="10796"/>
                <a:pt x="187526" y="0"/>
                <a:pt x="167199" y="0"/>
              </a:cubicBezTo>
              <a:lnTo>
                <a:pt x="0" y="0"/>
              </a:lnTo>
            </a:path>
          </a:pathLst>
        </a:custGeom>
        <a:noFill/>
        <a:ln w="14287">
          <a:solidFill>
            <a:srgbClr val="DE8431"/>
          </a:solidFill>
        </a:ln>
      </xdr:spPr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pPr algn="ctr"/>
          <a:endParaRPr/>
        </a:p>
      </xdr:txBody>
    </xdr:sp>
    <xdr:clientData/>
  </xdr:twoCellAnchor>
  <xdr:twoCellAnchor>
    <xdr:from>
      <xdr:col>4</xdr:col>
      <xdr:colOff>74961</xdr:colOff>
      <xdr:row>16</xdr:row>
      <xdr:rowOff>122275</xdr:rowOff>
    </xdr:from>
    <xdr:to>
      <xdr:col>6</xdr:col>
      <xdr:colOff>444511</xdr:colOff>
      <xdr:row>25</xdr:row>
      <xdr:rowOff>122275</xdr:rowOff>
    </xdr:to>
    <xdr:sp macro="" textlink="">
      <xdr:nvSpPr>
        <xdr:cNvPr id="58" name="Rounded Rectangle 9">
          <a:extLst>
            <a:ext uri="{FF2B5EF4-FFF2-40B4-BE49-F238E27FC236}">
              <a16:creationId xmlns:a16="http://schemas.microsoft.com/office/drawing/2014/main" id="{B26FC80B-7C1C-6305-0251-57C2400DD2BF}"/>
            </a:ext>
          </a:extLst>
        </xdr:cNvPr>
        <xdr:cNvSpPr/>
      </xdr:nvSpPr>
      <xdr:spPr>
        <a:xfrm>
          <a:off x="5104161" y="6421475"/>
          <a:ext cx="2045950" cy="1828800"/>
        </a:xfrm>
        <a:custGeom>
          <a:avLst/>
          <a:gdLst/>
          <a:ahLst/>
          <a:cxnLst/>
          <a:rect l="0" t="0" r="0" b="0"/>
          <a:pathLst>
            <a:path w="2045950" h="1828800">
              <a:moveTo>
                <a:pt x="40328" y="1028042"/>
              </a:moveTo>
              <a:cubicBezTo>
                <a:pt x="0" y="957643"/>
                <a:pt x="0" y="871156"/>
                <a:pt x="40328" y="800757"/>
              </a:cubicBezTo>
              <a:lnTo>
                <a:pt x="433235" y="114957"/>
              </a:lnTo>
              <a:cubicBezTo>
                <a:pt x="473973" y="43862"/>
                <a:pt x="549649" y="0"/>
                <a:pt x="631593" y="0"/>
              </a:cubicBezTo>
              <a:lnTo>
                <a:pt x="1414357" y="0"/>
              </a:lnTo>
              <a:cubicBezTo>
                <a:pt x="1496301" y="0"/>
                <a:pt x="1571977" y="43862"/>
                <a:pt x="1612715" y="114957"/>
              </a:cubicBezTo>
              <a:lnTo>
                <a:pt x="2005622" y="800757"/>
              </a:lnTo>
              <a:cubicBezTo>
                <a:pt x="2045950" y="871156"/>
                <a:pt x="2045950" y="957643"/>
                <a:pt x="2005622" y="1028042"/>
              </a:cubicBezTo>
              <a:lnTo>
                <a:pt x="1612715" y="1713842"/>
              </a:lnTo>
              <a:cubicBezTo>
                <a:pt x="1571977" y="1784937"/>
                <a:pt x="1496301" y="1828800"/>
                <a:pt x="1414357" y="1828800"/>
              </a:cubicBezTo>
              <a:lnTo>
                <a:pt x="631593" y="1828800"/>
              </a:lnTo>
              <a:cubicBezTo>
                <a:pt x="549649" y="1828800"/>
                <a:pt x="473973" y="1784937"/>
                <a:pt x="433235" y="1713842"/>
              </a:cubicBezTo>
              <a:lnTo>
                <a:pt x="40328" y="1028042"/>
              </a:lnTo>
            </a:path>
          </a:pathLst>
        </a:custGeom>
        <a:solidFill>
          <a:srgbClr val="DE8431"/>
        </a:solidFill>
        <a:ln>
          <a:noFill/>
        </a:ln>
      </xdr:spPr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pPr algn="ctr"/>
          <a:endParaRPr/>
        </a:p>
      </xdr:txBody>
    </xdr:sp>
    <xdr:clientData/>
  </xdr:twoCellAnchor>
  <xdr:twoCellAnchor>
    <xdr:from>
      <xdr:col>4</xdr:col>
      <xdr:colOff>74966</xdr:colOff>
      <xdr:row>16</xdr:row>
      <xdr:rowOff>122275</xdr:rowOff>
    </xdr:from>
    <xdr:to>
      <xdr:col>6</xdr:col>
      <xdr:colOff>444512</xdr:colOff>
      <xdr:row>25</xdr:row>
      <xdr:rowOff>122275</xdr:rowOff>
    </xdr:to>
    <xdr:sp macro="" textlink="">
      <xdr:nvSpPr>
        <xdr:cNvPr id="59" name="Rounded Rectangle 10">
          <a:extLst>
            <a:ext uri="{FF2B5EF4-FFF2-40B4-BE49-F238E27FC236}">
              <a16:creationId xmlns:a16="http://schemas.microsoft.com/office/drawing/2014/main" id="{FFE1A4D8-92DB-0126-9367-C4B280E46135}"/>
            </a:ext>
          </a:extLst>
        </xdr:cNvPr>
        <xdr:cNvSpPr/>
      </xdr:nvSpPr>
      <xdr:spPr>
        <a:xfrm>
          <a:off x="5104166" y="6421475"/>
          <a:ext cx="2045946" cy="1828800"/>
        </a:xfrm>
        <a:custGeom>
          <a:avLst/>
          <a:gdLst/>
          <a:ahLst/>
          <a:cxnLst/>
          <a:rect l="0" t="0" r="0" b="0"/>
          <a:pathLst>
            <a:path w="2045946" h="1828800">
              <a:moveTo>
                <a:pt x="40328" y="1028039"/>
              </a:moveTo>
              <a:cubicBezTo>
                <a:pt x="0" y="957647"/>
                <a:pt x="0" y="871152"/>
                <a:pt x="40328" y="800760"/>
              </a:cubicBezTo>
              <a:lnTo>
                <a:pt x="433235" y="114960"/>
              </a:lnTo>
              <a:cubicBezTo>
                <a:pt x="473970" y="43858"/>
                <a:pt x="549645" y="0"/>
                <a:pt x="631588" y="0"/>
              </a:cubicBezTo>
              <a:lnTo>
                <a:pt x="1414357" y="0"/>
              </a:lnTo>
              <a:cubicBezTo>
                <a:pt x="1496300" y="0"/>
                <a:pt x="1571975" y="43859"/>
                <a:pt x="1612711" y="114960"/>
              </a:cubicBezTo>
              <a:lnTo>
                <a:pt x="2005617" y="800760"/>
              </a:lnTo>
              <a:cubicBezTo>
                <a:pt x="2045946" y="871152"/>
                <a:pt x="2045946" y="957647"/>
                <a:pt x="2005617" y="1028039"/>
              </a:cubicBezTo>
              <a:lnTo>
                <a:pt x="1612710" y="1713839"/>
              </a:lnTo>
              <a:cubicBezTo>
                <a:pt x="1571975" y="1784941"/>
                <a:pt x="1496300" y="1828800"/>
                <a:pt x="1414357" y="1828800"/>
              </a:cubicBezTo>
              <a:lnTo>
                <a:pt x="631588" y="1828800"/>
              </a:lnTo>
              <a:cubicBezTo>
                <a:pt x="549645" y="1828800"/>
                <a:pt x="473970" y="1784940"/>
                <a:pt x="433235" y="1713839"/>
              </a:cubicBezTo>
              <a:lnTo>
                <a:pt x="40328" y="1028039"/>
              </a:lnTo>
              <a:close/>
            </a:path>
          </a:pathLst>
        </a:custGeom>
        <a:noFill/>
        <a:ln w="14287">
          <a:solidFill>
            <a:srgbClr val="FFFFFF"/>
          </a:solidFill>
        </a:ln>
      </xdr:spPr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pPr algn="ctr"/>
          <a:endParaRPr/>
        </a:p>
      </xdr:txBody>
    </xdr:sp>
    <xdr:clientData/>
  </xdr:twoCellAnchor>
  <xdr:twoCellAnchor>
    <xdr:from>
      <xdr:col>3</xdr:col>
      <xdr:colOff>136239</xdr:colOff>
      <xdr:row>22</xdr:row>
      <xdr:rowOff>20638</xdr:rowOff>
    </xdr:from>
    <xdr:to>
      <xdr:col>4</xdr:col>
      <xdr:colOff>212439</xdr:colOff>
      <xdr:row>22</xdr:row>
      <xdr:rowOff>77788</xdr:rowOff>
    </xdr:to>
    <xdr:grpSp>
      <xdr:nvGrpSpPr>
        <xdr:cNvPr id="60" name="Group 59">
          <a:extLst>
            <a:ext uri="{FF2B5EF4-FFF2-40B4-BE49-F238E27FC236}">
              <a16:creationId xmlns:a16="http://schemas.microsoft.com/office/drawing/2014/main" id="{BA227919-1E33-2209-C06B-1AE564E74CE4}"/>
            </a:ext>
          </a:extLst>
        </xdr:cNvPr>
        <xdr:cNvGrpSpPr/>
      </xdr:nvGrpSpPr>
      <xdr:grpSpPr>
        <a:xfrm>
          <a:off x="2636552" y="4211638"/>
          <a:ext cx="909637" cy="57150"/>
          <a:chOff x="2057102" y="3343275"/>
          <a:chExt cx="914400" cy="57150"/>
        </a:xfrm>
      </xdr:grpSpPr>
      <xdr:sp macro="" textlink="">
        <xdr:nvSpPr>
          <xdr:cNvPr id="70" name="Rounded Rectangle 11">
            <a:extLst>
              <a:ext uri="{FF2B5EF4-FFF2-40B4-BE49-F238E27FC236}">
                <a16:creationId xmlns:a16="http://schemas.microsoft.com/office/drawing/2014/main" id="{4EC748A8-46E4-9BF9-43C0-0B361956F8E3}"/>
              </a:ext>
            </a:extLst>
          </xdr:cNvPr>
          <xdr:cNvSpPr/>
        </xdr:nvSpPr>
        <xdr:spPr>
          <a:xfrm>
            <a:off x="2085677" y="3371850"/>
            <a:ext cx="857250" cy="9525"/>
          </a:xfrm>
          <a:custGeom>
            <a:avLst/>
            <a:gdLst/>
            <a:ahLst/>
            <a:cxnLst/>
            <a:rect l="0" t="0" r="0" b="0"/>
            <a:pathLst>
              <a:path w="857250" h="9525">
                <a:moveTo>
                  <a:pt x="0" y="0"/>
                </a:moveTo>
                <a:lnTo>
                  <a:pt x="857250" y="0"/>
                </a:lnTo>
              </a:path>
            </a:pathLst>
          </a:custGeom>
          <a:noFill/>
          <a:ln w="14287">
            <a:solidFill>
              <a:srgbClr val="DE8431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71" name="Rounded Rectangle 12">
            <a:extLst>
              <a:ext uri="{FF2B5EF4-FFF2-40B4-BE49-F238E27FC236}">
                <a16:creationId xmlns:a16="http://schemas.microsoft.com/office/drawing/2014/main" id="{1342C31C-FBAD-A1C1-7269-02D1A0743378}"/>
              </a:ext>
            </a:extLst>
          </xdr:cNvPr>
          <xdr:cNvSpPr/>
        </xdr:nvSpPr>
        <xdr:spPr>
          <a:xfrm>
            <a:off x="2057102" y="3343275"/>
            <a:ext cx="57150" cy="57150"/>
          </a:xfrm>
          <a:custGeom>
            <a:avLst/>
            <a:gdLst/>
            <a:ahLst/>
            <a:cxnLst/>
            <a:rect l="0" t="0" r="0" b="0"/>
            <a:pathLst>
              <a:path w="57150" h="57150">
                <a:moveTo>
                  <a:pt x="0" y="28575"/>
                </a:moveTo>
                <a:cubicBezTo>
                  <a:pt x="0" y="44356"/>
                  <a:pt x="12793" y="57150"/>
                  <a:pt x="28575" y="57150"/>
                </a:cubicBezTo>
                <a:cubicBezTo>
                  <a:pt x="44356" y="57150"/>
                  <a:pt x="57150" y="44356"/>
                  <a:pt x="57150" y="28575"/>
                </a:cubicBezTo>
                <a:cubicBezTo>
                  <a:pt x="57150" y="12793"/>
                  <a:pt x="44356" y="0"/>
                  <a:pt x="28575" y="0"/>
                </a:cubicBezTo>
                <a:cubicBezTo>
                  <a:pt x="12793" y="0"/>
                  <a:pt x="0" y="12793"/>
                  <a:pt x="0" y="28575"/>
                </a:cubicBezTo>
                <a:close/>
              </a:path>
            </a:pathLst>
          </a:custGeom>
          <a:solidFill>
            <a:srgbClr val="DE8431"/>
          </a:solidFill>
          <a:ln w="14287">
            <a:solidFill>
              <a:srgbClr val="DE8431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72" name="Rounded Rectangle 13">
            <a:extLst>
              <a:ext uri="{FF2B5EF4-FFF2-40B4-BE49-F238E27FC236}">
                <a16:creationId xmlns:a16="http://schemas.microsoft.com/office/drawing/2014/main" id="{7DE56065-7D77-C715-A7FC-EA01E344801E}"/>
              </a:ext>
            </a:extLst>
          </xdr:cNvPr>
          <xdr:cNvSpPr/>
        </xdr:nvSpPr>
        <xdr:spPr>
          <a:xfrm>
            <a:off x="2914352" y="3343275"/>
            <a:ext cx="57150" cy="57150"/>
          </a:xfrm>
          <a:custGeom>
            <a:avLst/>
            <a:gdLst/>
            <a:ahLst/>
            <a:cxnLst/>
            <a:rect l="0" t="0" r="0" b="0"/>
            <a:pathLst>
              <a:path w="57150" h="57150">
                <a:moveTo>
                  <a:pt x="0" y="28575"/>
                </a:moveTo>
                <a:cubicBezTo>
                  <a:pt x="0" y="44356"/>
                  <a:pt x="12793" y="57150"/>
                  <a:pt x="28575" y="57150"/>
                </a:cubicBezTo>
                <a:cubicBezTo>
                  <a:pt x="44356" y="57150"/>
                  <a:pt x="57150" y="44356"/>
                  <a:pt x="57150" y="28575"/>
                </a:cubicBezTo>
                <a:cubicBezTo>
                  <a:pt x="57150" y="12793"/>
                  <a:pt x="44356" y="0"/>
                  <a:pt x="28575" y="0"/>
                </a:cubicBezTo>
                <a:cubicBezTo>
                  <a:pt x="12793" y="0"/>
                  <a:pt x="0" y="12793"/>
                  <a:pt x="0" y="28575"/>
                </a:cubicBezTo>
                <a:close/>
              </a:path>
            </a:pathLst>
          </a:custGeom>
          <a:solidFill>
            <a:srgbClr val="DE8431"/>
          </a:solidFill>
          <a:ln w="14287">
            <a:solidFill>
              <a:srgbClr val="DE8431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</xdr:grpSp>
    <xdr:clientData/>
  </xdr:twoCellAnchor>
  <xdr:twoCellAnchor>
    <xdr:from>
      <xdr:col>3</xdr:col>
      <xdr:colOff>731899</xdr:colOff>
      <xdr:row>8</xdr:row>
      <xdr:rowOff>117475</xdr:rowOff>
    </xdr:from>
    <xdr:to>
      <xdr:col>6</xdr:col>
      <xdr:colOff>677333</xdr:colOff>
      <xdr:row>9</xdr:row>
      <xdr:rowOff>194514</xdr:rowOff>
    </xdr:to>
    <xdr:sp macro="" textlink="">
      <xdr:nvSpPr>
        <xdr:cNvPr id="61" name="TextBox 15">
          <a:extLst>
            <a:ext uri="{FF2B5EF4-FFF2-40B4-BE49-F238E27FC236}">
              <a16:creationId xmlns:a16="http://schemas.microsoft.com/office/drawing/2014/main" id="{C01C333B-2F54-3CB7-59B1-669F05CF9A05}"/>
            </a:ext>
          </a:extLst>
        </xdr:cNvPr>
        <xdr:cNvSpPr txBox="1"/>
      </xdr:nvSpPr>
      <xdr:spPr>
        <a:xfrm>
          <a:off x="3246499" y="2352675"/>
          <a:ext cx="2460034" cy="280239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pPr algn="ctr"/>
          <a:r>
            <a:rPr sz="1800" b="1">
              <a:solidFill>
                <a:srgbClr val="484848"/>
              </a:solidFill>
              <a:latin typeface="Roboto"/>
            </a:rPr>
            <a:t>Actual vs. Profit</a:t>
          </a:r>
          <a:r>
            <a:rPr lang="en-GB" sz="1800" b="1">
              <a:solidFill>
                <a:srgbClr val="484848"/>
              </a:solidFill>
              <a:latin typeface="Roboto"/>
            </a:rPr>
            <a:t> (M)</a:t>
          </a:r>
          <a:endParaRPr sz="1800" b="1">
            <a:solidFill>
              <a:srgbClr val="484848"/>
            </a:solidFill>
            <a:latin typeface="Roboto"/>
          </a:endParaRPr>
        </a:p>
      </xdr:txBody>
    </xdr:sp>
    <xdr:clientData/>
  </xdr:twoCellAnchor>
  <xdr:twoCellAnchor>
    <xdr:from>
      <xdr:col>4</xdr:col>
      <xdr:colOff>815022</xdr:colOff>
      <xdr:row>14</xdr:row>
      <xdr:rowOff>33412</xdr:rowOff>
    </xdr:from>
    <xdr:to>
      <xdr:col>5</xdr:col>
      <xdr:colOff>650875</xdr:colOff>
      <xdr:row>15</xdr:row>
      <xdr:rowOff>57934</xdr:rowOff>
    </xdr:to>
    <xdr:sp macro="" textlink="">
      <xdr:nvSpPr>
        <xdr:cNvPr id="62" name="TextBox 16">
          <a:extLst>
            <a:ext uri="{FF2B5EF4-FFF2-40B4-BE49-F238E27FC236}">
              <a16:creationId xmlns:a16="http://schemas.microsoft.com/office/drawing/2014/main" id="{4836862C-16B2-5AC2-8FDF-9A3C5AF29D83}"/>
            </a:ext>
          </a:extLst>
        </xdr:cNvPr>
        <xdr:cNvSpPr txBox="1"/>
      </xdr:nvSpPr>
      <xdr:spPr>
        <a:xfrm>
          <a:off x="3291522" y="2922662"/>
          <a:ext cx="661353" cy="230897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pPr algn="ctr"/>
          <a:r>
            <a:rPr sz="1500" b="0">
              <a:solidFill>
                <a:srgbClr val="FFFFFF"/>
              </a:solidFill>
              <a:latin typeface="Roboto"/>
            </a:rPr>
            <a:t>$1,000</a:t>
          </a:r>
        </a:p>
      </xdr:txBody>
    </xdr:sp>
    <xdr:clientData/>
  </xdr:twoCellAnchor>
  <xdr:twoCellAnchor>
    <xdr:from>
      <xdr:col>2</xdr:col>
      <xdr:colOff>390256</xdr:colOff>
      <xdr:row>15</xdr:row>
      <xdr:rowOff>115738</xdr:rowOff>
    </xdr:from>
    <xdr:to>
      <xdr:col>2</xdr:col>
      <xdr:colOff>809314</xdr:colOff>
      <xdr:row>17</xdr:row>
      <xdr:rowOff>128396</xdr:rowOff>
    </xdr:to>
    <xdr:sp macro="" textlink="">
      <xdr:nvSpPr>
        <xdr:cNvPr id="63" name="Rounded Rectangle 17">
          <a:extLst>
            <a:ext uri="{FF2B5EF4-FFF2-40B4-BE49-F238E27FC236}">
              <a16:creationId xmlns:a16="http://schemas.microsoft.com/office/drawing/2014/main" id="{446D9AF3-94C7-D05E-67B5-7116623CB647}"/>
            </a:ext>
          </a:extLst>
        </xdr:cNvPr>
        <xdr:cNvSpPr/>
      </xdr:nvSpPr>
      <xdr:spPr>
        <a:xfrm>
          <a:off x="3743056" y="6211738"/>
          <a:ext cx="419058" cy="419058"/>
        </a:xfrm>
        <a:custGeom>
          <a:avLst/>
          <a:gdLst/>
          <a:ahLst/>
          <a:cxnLst/>
          <a:rect l="0" t="0" r="0" b="0"/>
          <a:pathLst>
            <a:path w="419058" h="419058">
              <a:moveTo>
                <a:pt x="209529" y="0"/>
              </a:moveTo>
              <a:lnTo>
                <a:pt x="209529" y="85716"/>
              </a:lnTo>
              <a:moveTo>
                <a:pt x="0" y="209529"/>
              </a:moveTo>
              <a:lnTo>
                <a:pt x="85716" y="209529"/>
              </a:lnTo>
              <a:moveTo>
                <a:pt x="209529" y="419058"/>
              </a:moveTo>
              <a:lnTo>
                <a:pt x="209529" y="333341"/>
              </a:lnTo>
              <a:moveTo>
                <a:pt x="419058" y="209529"/>
              </a:moveTo>
              <a:lnTo>
                <a:pt x="333341" y="209529"/>
              </a:lnTo>
              <a:moveTo>
                <a:pt x="57144" y="209529"/>
              </a:moveTo>
              <a:cubicBezTo>
                <a:pt x="57144" y="293688"/>
                <a:pt x="125369" y="361913"/>
                <a:pt x="209529" y="361913"/>
              </a:cubicBezTo>
              <a:cubicBezTo>
                <a:pt x="293688" y="361913"/>
                <a:pt x="361913" y="293688"/>
                <a:pt x="361913" y="209529"/>
              </a:cubicBezTo>
              <a:cubicBezTo>
                <a:pt x="361913" y="125369"/>
                <a:pt x="293688" y="57144"/>
                <a:pt x="209529" y="57144"/>
              </a:cubicBezTo>
              <a:cubicBezTo>
                <a:pt x="125369" y="57144"/>
                <a:pt x="57144" y="125369"/>
                <a:pt x="57144" y="209529"/>
              </a:cubicBezTo>
              <a:close/>
              <a:moveTo>
                <a:pt x="209529" y="133336"/>
              </a:moveTo>
              <a:lnTo>
                <a:pt x="209529" y="152384"/>
              </a:lnTo>
              <a:moveTo>
                <a:pt x="238101" y="152346"/>
              </a:moveTo>
              <a:lnTo>
                <a:pt x="199376" y="152346"/>
              </a:lnTo>
              <a:cubicBezTo>
                <a:pt x="187135" y="152355"/>
                <a:pt x="176619" y="161040"/>
                <a:pt x="174296" y="173058"/>
              </a:cubicBezTo>
              <a:cubicBezTo>
                <a:pt x="171973" y="185076"/>
                <a:pt x="178496" y="197054"/>
                <a:pt x="189852" y="201624"/>
              </a:cubicBezTo>
              <a:lnTo>
                <a:pt x="229167" y="217338"/>
              </a:lnTo>
              <a:cubicBezTo>
                <a:pt x="240550" y="221892"/>
                <a:pt x="247097" y="233885"/>
                <a:pt x="244771" y="245921"/>
              </a:cubicBezTo>
              <a:cubicBezTo>
                <a:pt x="242446" y="257958"/>
                <a:pt x="231902" y="266649"/>
                <a:pt x="219643" y="266635"/>
              </a:cubicBezTo>
              <a:lnTo>
                <a:pt x="180956" y="266635"/>
              </a:lnTo>
              <a:moveTo>
                <a:pt x="209529" y="266673"/>
              </a:moveTo>
              <a:lnTo>
                <a:pt x="209529" y="285721"/>
              </a:lnTo>
            </a:path>
          </a:pathLst>
        </a:custGeom>
        <a:noFill/>
        <a:ln w="14287">
          <a:solidFill>
            <a:srgbClr val="484848"/>
          </a:solidFill>
        </a:ln>
      </xdr:spPr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pPr algn="ctr"/>
          <a:endParaRPr/>
        </a:p>
      </xdr:txBody>
    </xdr:sp>
    <xdr:clientData/>
  </xdr:twoCellAnchor>
  <xdr:twoCellAnchor>
    <xdr:from>
      <xdr:col>1</xdr:col>
      <xdr:colOff>571</xdr:colOff>
      <xdr:row>16</xdr:row>
      <xdr:rowOff>28764</xdr:rowOff>
    </xdr:from>
    <xdr:to>
      <xdr:col>2</xdr:col>
      <xdr:colOff>237800</xdr:colOff>
      <xdr:row>17</xdr:row>
      <xdr:rowOff>54164</xdr:rowOff>
    </xdr:to>
    <xdr:sp macro="" textlink="">
      <xdr:nvSpPr>
        <xdr:cNvPr id="64" name="TextBox 18">
          <a:extLst>
            <a:ext uri="{FF2B5EF4-FFF2-40B4-BE49-F238E27FC236}">
              <a16:creationId xmlns:a16="http://schemas.microsoft.com/office/drawing/2014/main" id="{15C1FD54-1E75-66AB-0DA4-CA19A2C3B2E6}"/>
            </a:ext>
          </a:extLst>
        </xdr:cNvPr>
        <xdr:cNvSpPr txBox="1"/>
      </xdr:nvSpPr>
      <xdr:spPr>
        <a:xfrm>
          <a:off x="2515171" y="6327964"/>
          <a:ext cx="1075429" cy="22860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pPr algn="r"/>
          <a:r>
            <a:rPr sz="1500" b="1">
              <a:solidFill>
                <a:srgbClr val="E0CB15"/>
              </a:solidFill>
              <a:latin typeface="Roboto"/>
            </a:rPr>
            <a:t>Target Profit</a:t>
          </a:r>
        </a:p>
      </xdr:txBody>
    </xdr:sp>
    <xdr:clientData/>
  </xdr:twoCellAnchor>
  <xdr:twoCellAnchor>
    <xdr:from>
      <xdr:col>1</xdr:col>
      <xdr:colOff>53086</xdr:colOff>
      <xdr:row>18</xdr:row>
      <xdr:rowOff>128777</xdr:rowOff>
    </xdr:from>
    <xdr:to>
      <xdr:col>2</xdr:col>
      <xdr:colOff>241052</xdr:colOff>
      <xdr:row>19</xdr:row>
      <xdr:rowOff>93852</xdr:rowOff>
    </xdr:to>
    <xdr:sp macro="" textlink="">
      <xdr:nvSpPr>
        <xdr:cNvPr id="65" name="TextBox 19">
          <a:extLst>
            <a:ext uri="{FF2B5EF4-FFF2-40B4-BE49-F238E27FC236}">
              <a16:creationId xmlns:a16="http://schemas.microsoft.com/office/drawing/2014/main" id="{8FADCC71-78AD-3D98-7513-E45D04E126B6}"/>
            </a:ext>
          </a:extLst>
        </xdr:cNvPr>
        <xdr:cNvSpPr txBox="1"/>
      </xdr:nvSpPr>
      <xdr:spPr>
        <a:xfrm>
          <a:off x="2567686" y="6834377"/>
          <a:ext cx="1026166" cy="1682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pPr algn="r"/>
          <a:r>
            <a:rPr sz="1100" b="0">
              <a:solidFill>
                <a:srgbClr val="484848"/>
              </a:solidFill>
              <a:latin typeface="Roboto"/>
            </a:rPr>
            <a:t>Initial profit goal</a:t>
          </a:r>
        </a:p>
      </xdr:txBody>
    </xdr:sp>
    <xdr:clientData/>
  </xdr:twoCellAnchor>
  <xdr:twoCellAnchor>
    <xdr:from>
      <xdr:col>2</xdr:col>
      <xdr:colOff>459400</xdr:colOff>
      <xdr:row>21</xdr:row>
      <xdr:rowOff>29938</xdr:rowOff>
    </xdr:from>
    <xdr:to>
      <xdr:col>2</xdr:col>
      <xdr:colOff>740168</xdr:colOff>
      <xdr:row>23</xdr:row>
      <xdr:rowOff>62958</xdr:rowOff>
    </xdr:to>
    <xdr:sp macro="" textlink="">
      <xdr:nvSpPr>
        <xdr:cNvPr id="66" name="Rounded Rectangle 20">
          <a:extLst>
            <a:ext uri="{FF2B5EF4-FFF2-40B4-BE49-F238E27FC236}">
              <a16:creationId xmlns:a16="http://schemas.microsoft.com/office/drawing/2014/main" id="{61E4FF45-399E-49B6-7E91-49DEE43AF8EE}"/>
            </a:ext>
          </a:extLst>
        </xdr:cNvPr>
        <xdr:cNvSpPr/>
      </xdr:nvSpPr>
      <xdr:spPr>
        <a:xfrm>
          <a:off x="3812200" y="7345138"/>
          <a:ext cx="280768" cy="439420"/>
        </a:xfrm>
        <a:custGeom>
          <a:avLst/>
          <a:gdLst/>
          <a:ahLst/>
          <a:cxnLst/>
          <a:rect l="0" t="0" r="0" b="0"/>
          <a:pathLst>
            <a:path w="280768" h="439420">
              <a:moveTo>
                <a:pt x="193147" y="76192"/>
              </a:moveTo>
              <a:lnTo>
                <a:pt x="229529" y="14286"/>
              </a:lnTo>
              <a:cubicBezTo>
                <a:pt x="231155" y="11319"/>
                <a:pt x="231155" y="7728"/>
                <a:pt x="229529" y="4762"/>
              </a:cubicBezTo>
              <a:cubicBezTo>
                <a:pt x="227784" y="1887"/>
                <a:pt x="224700" y="93"/>
                <a:pt x="221338" y="0"/>
              </a:cubicBezTo>
              <a:lnTo>
                <a:pt x="102288" y="0"/>
              </a:lnTo>
              <a:cubicBezTo>
                <a:pt x="98858" y="29"/>
                <a:pt x="95687" y="1830"/>
                <a:pt x="93907" y="4762"/>
              </a:cubicBezTo>
              <a:cubicBezTo>
                <a:pt x="92089" y="7745"/>
                <a:pt x="92089" y="11493"/>
                <a:pt x="93907" y="14476"/>
              </a:cubicBezTo>
              <a:lnTo>
                <a:pt x="130860" y="76192"/>
              </a:lnTo>
              <a:moveTo>
                <a:pt x="201719" y="190480"/>
              </a:moveTo>
              <a:cubicBezTo>
                <a:pt x="217910" y="203624"/>
                <a:pt x="280768" y="246291"/>
                <a:pt x="280768" y="323817"/>
              </a:cubicBezTo>
              <a:cubicBezTo>
                <a:pt x="280768" y="386485"/>
                <a:pt x="221148" y="438106"/>
                <a:pt x="155813" y="438106"/>
              </a:cubicBezTo>
              <a:cubicBezTo>
                <a:pt x="90790" y="439420"/>
                <a:pt x="36516" y="388776"/>
                <a:pt x="33334" y="323817"/>
              </a:cubicBezTo>
              <a:cubicBezTo>
                <a:pt x="33334" y="243053"/>
                <a:pt x="97526" y="200766"/>
                <a:pt x="112574" y="190480"/>
              </a:cubicBezTo>
              <a:moveTo>
                <a:pt x="0" y="57144"/>
              </a:moveTo>
              <a:lnTo>
                <a:pt x="38096" y="57144"/>
              </a:lnTo>
              <a:cubicBezTo>
                <a:pt x="40670" y="56973"/>
                <a:pt x="43193" y="57922"/>
                <a:pt x="45017" y="59746"/>
              </a:cubicBezTo>
              <a:cubicBezTo>
                <a:pt x="46841" y="61571"/>
                <a:pt x="47790" y="64093"/>
                <a:pt x="47620" y="66668"/>
              </a:cubicBezTo>
              <a:lnTo>
                <a:pt x="47620" y="180956"/>
              </a:lnTo>
              <a:cubicBezTo>
                <a:pt x="47790" y="183531"/>
                <a:pt x="46841" y="186054"/>
                <a:pt x="45017" y="187878"/>
              </a:cubicBezTo>
              <a:cubicBezTo>
                <a:pt x="43193" y="189702"/>
                <a:pt x="40670" y="190651"/>
                <a:pt x="38096" y="190480"/>
              </a:cubicBezTo>
              <a:lnTo>
                <a:pt x="0" y="190480"/>
              </a:lnTo>
              <a:moveTo>
                <a:pt x="107240" y="36381"/>
              </a:moveTo>
              <a:lnTo>
                <a:pt x="85716" y="66668"/>
              </a:lnTo>
              <a:cubicBezTo>
                <a:pt x="81041" y="72446"/>
                <a:pt x="74095" y="75919"/>
                <a:pt x="66668" y="76192"/>
              </a:cubicBezTo>
              <a:lnTo>
                <a:pt x="47620" y="76192"/>
              </a:lnTo>
              <a:moveTo>
                <a:pt x="47620" y="161908"/>
              </a:moveTo>
              <a:cubicBezTo>
                <a:pt x="85716" y="180956"/>
                <a:pt x="101335" y="190480"/>
                <a:pt x="123812" y="190480"/>
              </a:cubicBezTo>
              <a:lnTo>
                <a:pt x="200005" y="190480"/>
              </a:lnTo>
              <a:cubicBezTo>
                <a:pt x="219053" y="190480"/>
                <a:pt x="222481" y="189528"/>
                <a:pt x="228577" y="171432"/>
              </a:cubicBezTo>
              <a:cubicBezTo>
                <a:pt x="238101" y="142860"/>
                <a:pt x="247625" y="95240"/>
                <a:pt x="247625" y="95240"/>
              </a:cubicBezTo>
              <a:cubicBezTo>
                <a:pt x="247625" y="85716"/>
                <a:pt x="238101" y="76192"/>
                <a:pt x="219053" y="76192"/>
              </a:cubicBezTo>
              <a:lnTo>
                <a:pt x="130860" y="76192"/>
              </a:lnTo>
              <a:moveTo>
                <a:pt x="156956" y="342865"/>
              </a:moveTo>
              <a:lnTo>
                <a:pt x="156956" y="361913"/>
              </a:lnTo>
              <a:moveTo>
                <a:pt x="156956" y="247625"/>
              </a:moveTo>
              <a:lnTo>
                <a:pt x="156956" y="266673"/>
              </a:lnTo>
              <a:moveTo>
                <a:pt x="118860" y="342865"/>
              </a:moveTo>
              <a:lnTo>
                <a:pt x="176004" y="342865"/>
              </a:lnTo>
              <a:cubicBezTo>
                <a:pt x="186524" y="342865"/>
                <a:pt x="195052" y="334337"/>
                <a:pt x="195052" y="323817"/>
              </a:cubicBezTo>
              <a:cubicBezTo>
                <a:pt x="195052" y="313297"/>
                <a:pt x="186524" y="304769"/>
                <a:pt x="176004" y="304769"/>
              </a:cubicBezTo>
              <a:lnTo>
                <a:pt x="137908" y="304769"/>
              </a:lnTo>
              <a:cubicBezTo>
                <a:pt x="127388" y="304769"/>
                <a:pt x="118860" y="296241"/>
                <a:pt x="118860" y="285721"/>
              </a:cubicBezTo>
              <a:cubicBezTo>
                <a:pt x="118860" y="275201"/>
                <a:pt x="127388" y="266673"/>
                <a:pt x="137908" y="266673"/>
              </a:cubicBezTo>
              <a:lnTo>
                <a:pt x="195052" y="266673"/>
              </a:lnTo>
            </a:path>
          </a:pathLst>
        </a:custGeom>
        <a:noFill/>
        <a:ln w="14287">
          <a:solidFill>
            <a:srgbClr val="484848"/>
          </a:solidFill>
        </a:ln>
      </xdr:spPr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pPr algn="ctr"/>
          <a:endParaRPr/>
        </a:p>
      </xdr:txBody>
    </xdr:sp>
    <xdr:clientData/>
  </xdr:twoCellAnchor>
  <xdr:twoCellAnchor>
    <xdr:from>
      <xdr:col>5</xdr:col>
      <xdr:colOff>42767</xdr:colOff>
      <xdr:row>20</xdr:row>
      <xdr:rowOff>128625</xdr:rowOff>
    </xdr:from>
    <xdr:to>
      <xdr:col>5</xdr:col>
      <xdr:colOff>471096</xdr:colOff>
      <xdr:row>21</xdr:row>
      <xdr:rowOff>154025</xdr:rowOff>
    </xdr:to>
    <xdr:sp macro="" textlink="">
      <xdr:nvSpPr>
        <xdr:cNvPr id="67" name="TextBox 21">
          <a:extLst>
            <a:ext uri="{FF2B5EF4-FFF2-40B4-BE49-F238E27FC236}">
              <a16:creationId xmlns:a16="http://schemas.microsoft.com/office/drawing/2014/main" id="{63F5F504-30EF-9F4D-048F-6B8E1186D5E2}"/>
            </a:ext>
          </a:extLst>
        </xdr:cNvPr>
        <xdr:cNvSpPr txBox="1"/>
      </xdr:nvSpPr>
      <xdr:spPr>
        <a:xfrm>
          <a:off x="5910167" y="7240625"/>
          <a:ext cx="428329" cy="22860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pPr algn="ctr"/>
          <a:r>
            <a:rPr sz="1500" b="0">
              <a:solidFill>
                <a:srgbClr val="FFFFFF"/>
              </a:solidFill>
              <a:latin typeface="Roboto"/>
            </a:rPr>
            <a:t>$890</a:t>
          </a:r>
        </a:p>
      </xdr:txBody>
    </xdr:sp>
    <xdr:clientData/>
  </xdr:twoCellAnchor>
  <xdr:twoCellAnchor>
    <xdr:from>
      <xdr:col>1</xdr:col>
      <xdr:colOff>0</xdr:colOff>
      <xdr:row>21</xdr:row>
      <xdr:rowOff>155764</xdr:rowOff>
    </xdr:from>
    <xdr:to>
      <xdr:col>2</xdr:col>
      <xdr:colOff>237829</xdr:colOff>
      <xdr:row>22</xdr:row>
      <xdr:rowOff>181164</xdr:rowOff>
    </xdr:to>
    <xdr:sp macro="" textlink="">
      <xdr:nvSpPr>
        <xdr:cNvPr id="68" name="TextBox 22">
          <a:extLst>
            <a:ext uri="{FF2B5EF4-FFF2-40B4-BE49-F238E27FC236}">
              <a16:creationId xmlns:a16="http://schemas.microsoft.com/office/drawing/2014/main" id="{F304D762-8758-701D-8E30-14D18CC3BB4D}"/>
            </a:ext>
          </a:extLst>
        </xdr:cNvPr>
        <xdr:cNvSpPr txBox="1"/>
      </xdr:nvSpPr>
      <xdr:spPr>
        <a:xfrm>
          <a:off x="2514600" y="7470964"/>
          <a:ext cx="1076029" cy="22860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pPr algn="r"/>
          <a:r>
            <a:rPr sz="1500" b="1">
              <a:solidFill>
                <a:srgbClr val="DE8431"/>
              </a:solidFill>
              <a:latin typeface="Roboto"/>
            </a:rPr>
            <a:t>Actual Profit</a:t>
          </a:r>
        </a:p>
      </xdr:txBody>
    </xdr:sp>
    <xdr:clientData/>
  </xdr:twoCellAnchor>
  <xdr:twoCellAnchor>
    <xdr:from>
      <xdr:col>1</xdr:col>
      <xdr:colOff>130492</xdr:colOff>
      <xdr:row>24</xdr:row>
      <xdr:rowOff>27177</xdr:rowOff>
    </xdr:from>
    <xdr:to>
      <xdr:col>2</xdr:col>
      <xdr:colOff>240975</xdr:colOff>
      <xdr:row>24</xdr:row>
      <xdr:rowOff>195452</xdr:rowOff>
    </xdr:to>
    <xdr:sp macro="" textlink="">
      <xdr:nvSpPr>
        <xdr:cNvPr id="69" name="TextBox 23">
          <a:extLst>
            <a:ext uri="{FF2B5EF4-FFF2-40B4-BE49-F238E27FC236}">
              <a16:creationId xmlns:a16="http://schemas.microsoft.com/office/drawing/2014/main" id="{B6943755-447C-C529-91AF-AA3C75535993}"/>
            </a:ext>
          </a:extLst>
        </xdr:cNvPr>
        <xdr:cNvSpPr txBox="1"/>
      </xdr:nvSpPr>
      <xdr:spPr>
        <a:xfrm>
          <a:off x="2645092" y="7951977"/>
          <a:ext cx="948683" cy="1682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pPr algn="r"/>
          <a:r>
            <a:rPr sz="1100" b="0">
              <a:solidFill>
                <a:srgbClr val="484848"/>
              </a:solidFill>
              <a:latin typeface="Roboto"/>
            </a:rPr>
            <a:t>Profit achieved</a:t>
          </a:r>
        </a:p>
      </xdr:txBody>
    </xdr:sp>
    <xdr:clientData/>
  </xdr:twoCellAnchor>
  <xdr:twoCellAnchor>
    <xdr:from>
      <xdr:col>1</xdr:col>
      <xdr:colOff>127000</xdr:colOff>
      <xdr:row>31</xdr:row>
      <xdr:rowOff>98425</xdr:rowOff>
    </xdr:from>
    <xdr:to>
      <xdr:col>7</xdr:col>
      <xdr:colOff>377825</xdr:colOff>
      <xdr:row>60</xdr:row>
      <xdr:rowOff>50800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77" name="Chart 76">
              <a:extLst>
                <a:ext uri="{FF2B5EF4-FFF2-40B4-BE49-F238E27FC236}">
                  <a16:creationId xmlns:a16="http://schemas.microsoft.com/office/drawing/2014/main" id="{A5087337-287A-4BCA-8EBC-4BBAEFC20F8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5675" y="6299200"/>
              <a:ext cx="5222875" cy="5753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257175</xdr:colOff>
      <xdr:row>31</xdr:row>
      <xdr:rowOff>168275</xdr:rowOff>
    </xdr:from>
    <xdr:to>
      <xdr:col>15</xdr:col>
      <xdr:colOff>812800</xdr:colOff>
      <xdr:row>59</xdr:row>
      <xdr:rowOff>-1</xdr:rowOff>
    </xdr:to>
    <xdr:graphicFrame macro="">
      <xdr:nvGraphicFramePr>
        <xdr:cNvPr id="78" name="Chart 77">
          <a:extLst>
            <a:ext uri="{FF2B5EF4-FFF2-40B4-BE49-F238E27FC236}">
              <a16:creationId xmlns:a16="http://schemas.microsoft.com/office/drawing/2014/main" id="{5C6CEF64-84E3-480A-97D1-4A0624BA79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159258</xdr:colOff>
      <xdr:row>14</xdr:row>
      <xdr:rowOff>185738</xdr:rowOff>
    </xdr:from>
    <xdr:to>
      <xdr:col>10</xdr:col>
      <xdr:colOff>552890</xdr:colOff>
      <xdr:row>18</xdr:row>
      <xdr:rowOff>58738</xdr:rowOff>
    </xdr:to>
    <xdr:sp macro="" textlink="">
      <xdr:nvSpPr>
        <xdr:cNvPr id="125" name="Rounded Rectangle 1">
          <a:extLst>
            <a:ext uri="{FF2B5EF4-FFF2-40B4-BE49-F238E27FC236}">
              <a16:creationId xmlns:a16="http://schemas.microsoft.com/office/drawing/2014/main" id="{9520F383-C711-D8FC-3375-C217FD510181}"/>
            </a:ext>
          </a:extLst>
        </xdr:cNvPr>
        <xdr:cNvSpPr/>
      </xdr:nvSpPr>
      <xdr:spPr>
        <a:xfrm>
          <a:off x="8541258" y="4452938"/>
          <a:ext cx="393632" cy="685800"/>
        </a:xfrm>
        <a:custGeom>
          <a:avLst/>
          <a:gdLst/>
          <a:ahLst/>
          <a:cxnLst/>
          <a:rect l="0" t="0" r="0" b="0"/>
          <a:pathLst>
            <a:path w="393632" h="685800">
              <a:moveTo>
                <a:pt x="0" y="685800"/>
              </a:moveTo>
              <a:lnTo>
                <a:pt x="167199" y="685800"/>
              </a:lnTo>
              <a:cubicBezTo>
                <a:pt x="187526" y="685800"/>
                <a:pt x="206322" y="675003"/>
                <a:pt x="216565" y="657445"/>
              </a:cubicBezTo>
              <a:lnTo>
                <a:pt x="383252" y="371695"/>
              </a:lnTo>
              <a:cubicBezTo>
                <a:pt x="393632" y="353901"/>
                <a:pt x="393632" y="331897"/>
                <a:pt x="383252" y="314104"/>
              </a:cubicBezTo>
              <a:lnTo>
                <a:pt x="216565" y="28354"/>
              </a:lnTo>
              <a:cubicBezTo>
                <a:pt x="206322" y="10796"/>
                <a:pt x="187526" y="0"/>
                <a:pt x="167199" y="0"/>
              </a:cubicBezTo>
              <a:lnTo>
                <a:pt x="0" y="0"/>
              </a:lnTo>
            </a:path>
          </a:pathLst>
        </a:custGeom>
        <a:noFill/>
        <a:ln w="14287">
          <a:solidFill>
            <a:schemeClr val="accent4">
              <a:lumMod val="50000"/>
            </a:schemeClr>
          </a:solidFill>
        </a:ln>
      </xdr:spPr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pPr algn="ctr"/>
          <a:endParaRPr/>
        </a:p>
      </xdr:txBody>
    </xdr:sp>
    <xdr:clientData/>
  </xdr:twoCellAnchor>
  <xdr:twoCellAnchor>
    <xdr:from>
      <xdr:col>10</xdr:col>
      <xdr:colOff>790130</xdr:colOff>
      <xdr:row>12</xdr:row>
      <xdr:rowOff>134938</xdr:rowOff>
    </xdr:from>
    <xdr:to>
      <xdr:col>14</xdr:col>
      <xdr:colOff>531030</xdr:colOff>
      <xdr:row>26</xdr:row>
      <xdr:rowOff>33338</xdr:rowOff>
    </xdr:to>
    <xdr:sp macro="" textlink="">
      <xdr:nvSpPr>
        <xdr:cNvPr id="126" name="Rounded Rectangle 2">
          <a:extLst>
            <a:ext uri="{FF2B5EF4-FFF2-40B4-BE49-F238E27FC236}">
              <a16:creationId xmlns:a16="http://schemas.microsoft.com/office/drawing/2014/main" id="{2DCDF5BA-B349-E2FF-A8D5-E84A48703F24}"/>
            </a:ext>
          </a:extLst>
        </xdr:cNvPr>
        <xdr:cNvSpPr/>
      </xdr:nvSpPr>
      <xdr:spPr>
        <a:xfrm>
          <a:off x="8219630" y="2611438"/>
          <a:ext cx="3042900" cy="2787650"/>
        </a:xfrm>
        <a:custGeom>
          <a:avLst/>
          <a:gdLst/>
          <a:ahLst/>
          <a:cxnLst/>
          <a:rect l="0" t="0" r="0" b="0"/>
          <a:pathLst>
            <a:path w="3093700" h="2743200">
              <a:moveTo>
                <a:pt x="40328" y="1257957"/>
              </a:moveTo>
              <a:cubicBezTo>
                <a:pt x="0" y="1328356"/>
                <a:pt x="0" y="1414843"/>
                <a:pt x="40328" y="1485242"/>
              </a:cubicBezTo>
              <a:lnTo>
                <a:pt x="695172" y="2628242"/>
              </a:lnTo>
              <a:cubicBezTo>
                <a:pt x="735911" y="2699337"/>
                <a:pt x="811587" y="2743200"/>
                <a:pt x="893530" y="2743200"/>
              </a:cubicBezTo>
              <a:lnTo>
                <a:pt x="2200170" y="2743200"/>
              </a:lnTo>
              <a:cubicBezTo>
                <a:pt x="2282113" y="2743200"/>
                <a:pt x="2357789" y="2699337"/>
                <a:pt x="2398528" y="2628242"/>
              </a:cubicBezTo>
              <a:lnTo>
                <a:pt x="3053372" y="1485242"/>
              </a:lnTo>
              <a:cubicBezTo>
                <a:pt x="3093700" y="1414843"/>
                <a:pt x="3093700" y="1328356"/>
                <a:pt x="3053372" y="1257957"/>
              </a:cubicBezTo>
              <a:lnTo>
                <a:pt x="2398528" y="114957"/>
              </a:lnTo>
              <a:cubicBezTo>
                <a:pt x="2357789" y="43862"/>
                <a:pt x="2282113" y="0"/>
                <a:pt x="2200170" y="0"/>
              </a:cubicBezTo>
              <a:lnTo>
                <a:pt x="893530" y="0"/>
              </a:lnTo>
              <a:cubicBezTo>
                <a:pt x="811587" y="0"/>
                <a:pt x="735911" y="43862"/>
                <a:pt x="695172" y="114957"/>
              </a:cubicBezTo>
              <a:lnTo>
                <a:pt x="40328" y="1257957"/>
              </a:lnTo>
              <a:moveTo>
                <a:pt x="564203" y="1600857"/>
              </a:moveTo>
              <a:lnTo>
                <a:pt x="957110" y="915057"/>
              </a:lnTo>
              <a:cubicBezTo>
                <a:pt x="997848" y="843962"/>
                <a:pt x="1073524" y="800100"/>
                <a:pt x="1155468" y="800100"/>
              </a:cubicBezTo>
              <a:lnTo>
                <a:pt x="1938232" y="800100"/>
              </a:lnTo>
              <a:cubicBezTo>
                <a:pt x="2020176" y="800100"/>
                <a:pt x="2095852" y="843962"/>
                <a:pt x="2136590" y="915057"/>
              </a:cubicBezTo>
              <a:lnTo>
                <a:pt x="2529497" y="1600857"/>
              </a:lnTo>
              <a:cubicBezTo>
                <a:pt x="2569825" y="1671256"/>
                <a:pt x="2569825" y="1757743"/>
                <a:pt x="2529497" y="1828142"/>
              </a:cubicBezTo>
              <a:lnTo>
                <a:pt x="2136590" y="2513942"/>
              </a:lnTo>
              <a:cubicBezTo>
                <a:pt x="2095852" y="2585037"/>
                <a:pt x="2020176" y="2628900"/>
                <a:pt x="1938232" y="2628900"/>
              </a:cubicBezTo>
              <a:lnTo>
                <a:pt x="1155468" y="2628900"/>
              </a:lnTo>
              <a:cubicBezTo>
                <a:pt x="1073524" y="2628900"/>
                <a:pt x="997848" y="2585037"/>
                <a:pt x="957110" y="2513942"/>
              </a:cubicBezTo>
              <a:lnTo>
                <a:pt x="564203" y="1828142"/>
              </a:lnTo>
              <a:cubicBezTo>
                <a:pt x="523884" y="1757743"/>
                <a:pt x="523884" y="1671256"/>
                <a:pt x="564203" y="1600857"/>
              </a:cubicBezTo>
            </a:path>
          </a:pathLst>
        </a:custGeom>
        <a:solidFill>
          <a:schemeClr val="accent4">
            <a:lumMod val="50000"/>
          </a:schemeClr>
        </a:solidFill>
        <a:ln>
          <a:noFill/>
        </a:ln>
      </xdr:spPr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pPr algn="ctr"/>
          <a:endParaRPr/>
        </a:p>
      </xdr:txBody>
    </xdr:sp>
    <xdr:clientData/>
  </xdr:twoCellAnchor>
  <xdr:twoCellAnchor>
    <xdr:from>
      <xdr:col>10</xdr:col>
      <xdr:colOff>786960</xdr:colOff>
      <xdr:row>12</xdr:row>
      <xdr:rowOff>134938</xdr:rowOff>
    </xdr:from>
    <xdr:to>
      <xdr:col>14</xdr:col>
      <xdr:colOff>527856</xdr:colOff>
      <xdr:row>26</xdr:row>
      <xdr:rowOff>33338</xdr:rowOff>
    </xdr:to>
    <xdr:sp macro="" textlink="">
      <xdr:nvSpPr>
        <xdr:cNvPr id="127" name="Rounded Rectangle 3">
          <a:extLst>
            <a:ext uri="{FF2B5EF4-FFF2-40B4-BE49-F238E27FC236}">
              <a16:creationId xmlns:a16="http://schemas.microsoft.com/office/drawing/2014/main" id="{3466D156-2AA1-A11A-2936-59C613518BBA}"/>
            </a:ext>
          </a:extLst>
        </xdr:cNvPr>
        <xdr:cNvSpPr/>
      </xdr:nvSpPr>
      <xdr:spPr>
        <a:xfrm>
          <a:off x="9168960" y="3995738"/>
          <a:ext cx="3093696" cy="2743200"/>
        </a:xfrm>
        <a:custGeom>
          <a:avLst/>
          <a:gdLst/>
          <a:ahLst/>
          <a:cxnLst/>
          <a:rect l="0" t="0" r="0" b="0"/>
          <a:pathLst>
            <a:path w="3093696" h="2743200">
              <a:moveTo>
                <a:pt x="40328" y="1257960"/>
              </a:moveTo>
              <a:cubicBezTo>
                <a:pt x="0" y="1328352"/>
                <a:pt x="0" y="1414847"/>
                <a:pt x="40328" y="1485239"/>
              </a:cubicBezTo>
              <a:lnTo>
                <a:pt x="695172" y="2628239"/>
              </a:lnTo>
              <a:cubicBezTo>
                <a:pt x="735908" y="2699341"/>
                <a:pt x="811583" y="2743200"/>
                <a:pt x="893525" y="2743200"/>
              </a:cubicBezTo>
              <a:lnTo>
                <a:pt x="2200170" y="2743200"/>
              </a:lnTo>
              <a:cubicBezTo>
                <a:pt x="2282112" y="2743200"/>
                <a:pt x="2357788" y="2699341"/>
                <a:pt x="2398522" y="2628239"/>
              </a:cubicBezTo>
              <a:lnTo>
                <a:pt x="3053366" y="1485239"/>
              </a:lnTo>
              <a:cubicBezTo>
                <a:pt x="3093696" y="1414847"/>
                <a:pt x="3093696" y="1328352"/>
                <a:pt x="3053366" y="1257960"/>
              </a:cubicBezTo>
              <a:lnTo>
                <a:pt x="2398522" y="114960"/>
              </a:lnTo>
              <a:cubicBezTo>
                <a:pt x="2357788" y="43859"/>
                <a:pt x="2282112" y="0"/>
                <a:pt x="2200170" y="0"/>
              </a:cubicBezTo>
              <a:lnTo>
                <a:pt x="893525" y="0"/>
              </a:lnTo>
              <a:cubicBezTo>
                <a:pt x="811582" y="0"/>
                <a:pt x="735907" y="43859"/>
                <a:pt x="695172" y="114960"/>
              </a:cubicBezTo>
              <a:close/>
              <a:moveTo>
                <a:pt x="564203" y="1600860"/>
              </a:moveTo>
              <a:lnTo>
                <a:pt x="957110" y="915060"/>
              </a:lnTo>
              <a:cubicBezTo>
                <a:pt x="997844" y="843959"/>
                <a:pt x="1073519" y="800100"/>
                <a:pt x="1155463" y="800100"/>
              </a:cubicBezTo>
              <a:lnTo>
                <a:pt x="1938232" y="800100"/>
              </a:lnTo>
              <a:cubicBezTo>
                <a:pt x="2020175" y="800100"/>
                <a:pt x="2095850" y="843959"/>
                <a:pt x="2136585" y="915060"/>
              </a:cubicBezTo>
              <a:lnTo>
                <a:pt x="2529491" y="1600860"/>
              </a:lnTo>
              <a:cubicBezTo>
                <a:pt x="2569821" y="1671252"/>
                <a:pt x="2569821" y="1757747"/>
                <a:pt x="2529491" y="1828139"/>
              </a:cubicBezTo>
              <a:lnTo>
                <a:pt x="2136585" y="2513939"/>
              </a:lnTo>
              <a:cubicBezTo>
                <a:pt x="2095850" y="2585041"/>
                <a:pt x="2020175" y="2628900"/>
                <a:pt x="1938232" y="2628900"/>
              </a:cubicBezTo>
              <a:lnTo>
                <a:pt x="1155463" y="2628900"/>
              </a:lnTo>
              <a:cubicBezTo>
                <a:pt x="1073520" y="2628900"/>
                <a:pt x="997845" y="2585041"/>
                <a:pt x="957110" y="2513939"/>
              </a:cubicBezTo>
              <a:lnTo>
                <a:pt x="564203" y="1828139"/>
              </a:lnTo>
              <a:cubicBezTo>
                <a:pt x="523875" y="1757747"/>
                <a:pt x="523875" y="1671252"/>
                <a:pt x="564203" y="1600860"/>
              </a:cubicBezTo>
              <a:close/>
            </a:path>
          </a:pathLst>
        </a:custGeom>
        <a:noFill/>
        <a:ln w="14287">
          <a:solidFill>
            <a:srgbClr val="FFFFFF"/>
          </a:solidFill>
        </a:ln>
      </xdr:spPr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pPr algn="ctr"/>
          <a:endParaRPr/>
        </a:p>
      </xdr:txBody>
    </xdr:sp>
    <xdr:clientData/>
  </xdr:twoCellAnchor>
  <xdr:twoCellAnchor>
    <xdr:from>
      <xdr:col>10</xdr:col>
      <xdr:colOff>530733</xdr:colOff>
      <xdr:row>16</xdr:row>
      <xdr:rowOff>96838</xdr:rowOff>
    </xdr:from>
    <xdr:to>
      <xdr:col>11</xdr:col>
      <xdr:colOff>283083</xdr:colOff>
      <xdr:row>16</xdr:row>
      <xdr:rowOff>153988</xdr:rowOff>
    </xdr:to>
    <xdr:grpSp>
      <xdr:nvGrpSpPr>
        <xdr:cNvPr id="128" name="Group 127">
          <a:extLst>
            <a:ext uri="{FF2B5EF4-FFF2-40B4-BE49-F238E27FC236}">
              <a16:creationId xmlns:a16="http://schemas.microsoft.com/office/drawing/2014/main" id="{E5E7A2AA-3005-B865-2B0B-857681054A87}"/>
            </a:ext>
          </a:extLst>
        </xdr:cNvPr>
        <xdr:cNvGrpSpPr/>
      </xdr:nvGrpSpPr>
      <xdr:grpSpPr>
        <a:xfrm>
          <a:off x="8865108" y="3144838"/>
          <a:ext cx="585788" cy="57150"/>
          <a:chOff x="2454771" y="2200275"/>
          <a:chExt cx="590550" cy="57150"/>
        </a:xfrm>
      </xdr:grpSpPr>
      <xdr:sp macro="" textlink="">
        <xdr:nvSpPr>
          <xdr:cNvPr id="145" name="Rounded Rectangle 4">
            <a:extLst>
              <a:ext uri="{FF2B5EF4-FFF2-40B4-BE49-F238E27FC236}">
                <a16:creationId xmlns:a16="http://schemas.microsoft.com/office/drawing/2014/main" id="{EF6FA42D-D5E8-6594-9AF7-33534FE186F8}"/>
              </a:ext>
            </a:extLst>
          </xdr:cNvPr>
          <xdr:cNvSpPr/>
        </xdr:nvSpPr>
        <xdr:spPr>
          <a:xfrm>
            <a:off x="2483346" y="2228850"/>
            <a:ext cx="533400" cy="9525"/>
          </a:xfrm>
          <a:custGeom>
            <a:avLst/>
            <a:gdLst/>
            <a:ahLst/>
            <a:cxnLst/>
            <a:rect l="0" t="0" r="0" b="0"/>
            <a:pathLst>
              <a:path w="533400" h="9525">
                <a:moveTo>
                  <a:pt x="0" y="0"/>
                </a:moveTo>
                <a:lnTo>
                  <a:pt x="533400" y="0"/>
                </a:lnTo>
              </a:path>
            </a:pathLst>
          </a:custGeom>
          <a:noFill/>
          <a:ln w="14287">
            <a:solidFill>
              <a:schemeClr val="accent4">
                <a:lumMod val="50000"/>
              </a:schemeClr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>
              <a:solidFill>
                <a:schemeClr val="accent4">
                  <a:lumMod val="50000"/>
                </a:schemeClr>
              </a:solidFill>
            </a:endParaRPr>
          </a:p>
        </xdr:txBody>
      </xdr:sp>
      <xdr:sp macro="" textlink="">
        <xdr:nvSpPr>
          <xdr:cNvPr id="146" name="Rounded Rectangle 5">
            <a:extLst>
              <a:ext uri="{FF2B5EF4-FFF2-40B4-BE49-F238E27FC236}">
                <a16:creationId xmlns:a16="http://schemas.microsoft.com/office/drawing/2014/main" id="{BCDE9403-4502-A691-FB12-ACCC4CA7AD1D}"/>
              </a:ext>
            </a:extLst>
          </xdr:cNvPr>
          <xdr:cNvSpPr/>
        </xdr:nvSpPr>
        <xdr:spPr>
          <a:xfrm>
            <a:off x="2454771" y="2200275"/>
            <a:ext cx="57150" cy="57150"/>
          </a:xfrm>
          <a:custGeom>
            <a:avLst/>
            <a:gdLst/>
            <a:ahLst/>
            <a:cxnLst/>
            <a:rect l="0" t="0" r="0" b="0"/>
            <a:pathLst>
              <a:path w="57150" h="57150">
                <a:moveTo>
                  <a:pt x="0" y="28575"/>
                </a:moveTo>
                <a:cubicBezTo>
                  <a:pt x="0" y="44356"/>
                  <a:pt x="12793" y="57150"/>
                  <a:pt x="28575" y="57150"/>
                </a:cubicBezTo>
                <a:cubicBezTo>
                  <a:pt x="44356" y="57150"/>
                  <a:pt x="57150" y="44356"/>
                  <a:pt x="57150" y="28575"/>
                </a:cubicBezTo>
                <a:cubicBezTo>
                  <a:pt x="57150" y="12793"/>
                  <a:pt x="44356" y="0"/>
                  <a:pt x="28575" y="0"/>
                </a:cubicBezTo>
                <a:cubicBezTo>
                  <a:pt x="12793" y="0"/>
                  <a:pt x="0" y="12793"/>
                  <a:pt x="0" y="28575"/>
                </a:cubicBezTo>
                <a:close/>
              </a:path>
            </a:pathLst>
          </a:custGeom>
          <a:solidFill>
            <a:srgbClr val="E0CB15"/>
          </a:solidFill>
          <a:ln w="14287">
            <a:solidFill>
              <a:schemeClr val="accent4">
                <a:lumMod val="50000"/>
              </a:schemeClr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>
              <a:solidFill>
                <a:schemeClr val="accent4">
                  <a:lumMod val="50000"/>
                </a:schemeClr>
              </a:solidFill>
            </a:endParaRPr>
          </a:p>
        </xdr:txBody>
      </xdr:sp>
      <xdr:sp macro="" textlink="">
        <xdr:nvSpPr>
          <xdr:cNvPr id="147" name="Rounded Rectangle 6">
            <a:extLst>
              <a:ext uri="{FF2B5EF4-FFF2-40B4-BE49-F238E27FC236}">
                <a16:creationId xmlns:a16="http://schemas.microsoft.com/office/drawing/2014/main" id="{A5FBFB08-47ED-BBCA-0FA9-1532A36DE510}"/>
              </a:ext>
            </a:extLst>
          </xdr:cNvPr>
          <xdr:cNvSpPr/>
        </xdr:nvSpPr>
        <xdr:spPr>
          <a:xfrm>
            <a:off x="2988171" y="2200275"/>
            <a:ext cx="57150" cy="57150"/>
          </a:xfrm>
          <a:custGeom>
            <a:avLst/>
            <a:gdLst/>
            <a:ahLst/>
            <a:cxnLst/>
            <a:rect l="0" t="0" r="0" b="0"/>
            <a:pathLst>
              <a:path w="57150" h="57150">
                <a:moveTo>
                  <a:pt x="0" y="28575"/>
                </a:moveTo>
                <a:cubicBezTo>
                  <a:pt x="0" y="44356"/>
                  <a:pt x="12793" y="57150"/>
                  <a:pt x="28575" y="57150"/>
                </a:cubicBezTo>
                <a:cubicBezTo>
                  <a:pt x="44356" y="57150"/>
                  <a:pt x="57150" y="44356"/>
                  <a:pt x="57150" y="28575"/>
                </a:cubicBezTo>
                <a:cubicBezTo>
                  <a:pt x="57150" y="12793"/>
                  <a:pt x="44356" y="0"/>
                  <a:pt x="28575" y="0"/>
                </a:cubicBezTo>
                <a:cubicBezTo>
                  <a:pt x="12793" y="0"/>
                  <a:pt x="0" y="12793"/>
                  <a:pt x="0" y="28575"/>
                </a:cubicBezTo>
                <a:close/>
              </a:path>
            </a:pathLst>
          </a:custGeom>
          <a:solidFill>
            <a:srgbClr val="E0CB15"/>
          </a:solidFill>
          <a:ln w="14287">
            <a:solidFill>
              <a:schemeClr val="accent4">
                <a:lumMod val="50000"/>
              </a:schemeClr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>
              <a:solidFill>
                <a:schemeClr val="accent4">
                  <a:lumMod val="50000"/>
                </a:schemeClr>
              </a:solidFill>
            </a:endParaRPr>
          </a:p>
        </xdr:txBody>
      </xdr:sp>
    </xdr:grpSp>
    <xdr:clientData/>
  </xdr:twoCellAnchor>
  <xdr:twoCellAnchor>
    <xdr:from>
      <xdr:col>10</xdr:col>
      <xdr:colOff>159258</xdr:colOff>
      <xdr:row>20</xdr:row>
      <xdr:rowOff>109538</xdr:rowOff>
    </xdr:from>
    <xdr:to>
      <xdr:col>10</xdr:col>
      <xdr:colOff>552890</xdr:colOff>
      <xdr:row>23</xdr:row>
      <xdr:rowOff>185738</xdr:rowOff>
    </xdr:to>
    <xdr:sp macro="" textlink="">
      <xdr:nvSpPr>
        <xdr:cNvPr id="129" name="Rounded Rectangle 8">
          <a:extLst>
            <a:ext uri="{FF2B5EF4-FFF2-40B4-BE49-F238E27FC236}">
              <a16:creationId xmlns:a16="http://schemas.microsoft.com/office/drawing/2014/main" id="{CFA1B673-9A2C-C7DF-DA56-E8700D3652A4}"/>
            </a:ext>
          </a:extLst>
        </xdr:cNvPr>
        <xdr:cNvSpPr/>
      </xdr:nvSpPr>
      <xdr:spPr>
        <a:xfrm>
          <a:off x="8541258" y="5595938"/>
          <a:ext cx="393632" cy="685800"/>
        </a:xfrm>
        <a:custGeom>
          <a:avLst/>
          <a:gdLst/>
          <a:ahLst/>
          <a:cxnLst/>
          <a:rect l="0" t="0" r="0" b="0"/>
          <a:pathLst>
            <a:path w="393632" h="685800">
              <a:moveTo>
                <a:pt x="0" y="685800"/>
              </a:moveTo>
              <a:lnTo>
                <a:pt x="167199" y="685800"/>
              </a:lnTo>
              <a:cubicBezTo>
                <a:pt x="187526" y="685800"/>
                <a:pt x="206322" y="675003"/>
                <a:pt x="216565" y="657445"/>
              </a:cubicBezTo>
              <a:lnTo>
                <a:pt x="383252" y="371695"/>
              </a:lnTo>
              <a:cubicBezTo>
                <a:pt x="393632" y="353901"/>
                <a:pt x="393632" y="331897"/>
                <a:pt x="383252" y="314104"/>
              </a:cubicBezTo>
              <a:lnTo>
                <a:pt x="216565" y="28354"/>
              </a:lnTo>
              <a:cubicBezTo>
                <a:pt x="206322" y="10796"/>
                <a:pt x="187526" y="0"/>
                <a:pt x="167199" y="0"/>
              </a:cubicBezTo>
              <a:lnTo>
                <a:pt x="0" y="0"/>
              </a:lnTo>
            </a:path>
          </a:pathLst>
        </a:custGeom>
        <a:noFill/>
        <a:ln w="14287">
          <a:solidFill>
            <a:srgbClr val="DE8431"/>
          </a:solidFill>
        </a:ln>
      </xdr:spPr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pPr algn="ctr"/>
          <a:endParaRPr/>
        </a:p>
      </xdr:txBody>
    </xdr:sp>
    <xdr:clientData/>
  </xdr:twoCellAnchor>
  <xdr:twoCellAnchor>
    <xdr:from>
      <xdr:col>11</xdr:col>
      <xdr:colOff>472630</xdr:colOff>
      <xdr:row>16</xdr:row>
      <xdr:rowOff>122275</xdr:rowOff>
    </xdr:from>
    <xdr:to>
      <xdr:col>14</xdr:col>
      <xdr:colOff>3980</xdr:colOff>
      <xdr:row>25</xdr:row>
      <xdr:rowOff>122275</xdr:rowOff>
    </xdr:to>
    <xdr:sp macro="" textlink="">
      <xdr:nvSpPr>
        <xdr:cNvPr id="130" name="Rounded Rectangle 9">
          <a:extLst>
            <a:ext uri="{FF2B5EF4-FFF2-40B4-BE49-F238E27FC236}">
              <a16:creationId xmlns:a16="http://schemas.microsoft.com/office/drawing/2014/main" id="{DD78CF01-412F-BAA1-280D-B4DB7DED6F7C}"/>
            </a:ext>
          </a:extLst>
        </xdr:cNvPr>
        <xdr:cNvSpPr/>
      </xdr:nvSpPr>
      <xdr:spPr>
        <a:xfrm>
          <a:off x="9692830" y="4795875"/>
          <a:ext cx="2045950" cy="1828800"/>
        </a:xfrm>
        <a:custGeom>
          <a:avLst/>
          <a:gdLst/>
          <a:ahLst/>
          <a:cxnLst/>
          <a:rect l="0" t="0" r="0" b="0"/>
          <a:pathLst>
            <a:path w="2045950" h="1828800">
              <a:moveTo>
                <a:pt x="40328" y="1028042"/>
              </a:moveTo>
              <a:cubicBezTo>
                <a:pt x="0" y="957643"/>
                <a:pt x="0" y="871156"/>
                <a:pt x="40328" y="800757"/>
              </a:cubicBezTo>
              <a:lnTo>
                <a:pt x="433235" y="114957"/>
              </a:lnTo>
              <a:cubicBezTo>
                <a:pt x="473973" y="43862"/>
                <a:pt x="549649" y="0"/>
                <a:pt x="631593" y="0"/>
              </a:cubicBezTo>
              <a:lnTo>
                <a:pt x="1414357" y="0"/>
              </a:lnTo>
              <a:cubicBezTo>
                <a:pt x="1496301" y="0"/>
                <a:pt x="1571977" y="43862"/>
                <a:pt x="1612715" y="114957"/>
              </a:cubicBezTo>
              <a:lnTo>
                <a:pt x="2005622" y="800757"/>
              </a:lnTo>
              <a:cubicBezTo>
                <a:pt x="2045950" y="871156"/>
                <a:pt x="2045950" y="957643"/>
                <a:pt x="2005622" y="1028042"/>
              </a:cubicBezTo>
              <a:lnTo>
                <a:pt x="1612715" y="1713842"/>
              </a:lnTo>
              <a:cubicBezTo>
                <a:pt x="1571977" y="1784937"/>
                <a:pt x="1496301" y="1828800"/>
                <a:pt x="1414357" y="1828800"/>
              </a:cubicBezTo>
              <a:lnTo>
                <a:pt x="631593" y="1828800"/>
              </a:lnTo>
              <a:cubicBezTo>
                <a:pt x="549649" y="1828800"/>
                <a:pt x="473973" y="1784937"/>
                <a:pt x="433235" y="1713842"/>
              </a:cubicBezTo>
              <a:lnTo>
                <a:pt x="40328" y="1028042"/>
              </a:lnTo>
            </a:path>
          </a:pathLst>
        </a:custGeom>
        <a:solidFill>
          <a:schemeClr val="accent4">
            <a:lumMod val="75000"/>
          </a:schemeClr>
        </a:solidFill>
        <a:ln>
          <a:noFill/>
        </a:ln>
      </xdr:spPr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pPr algn="ctr"/>
          <a:endParaRPr/>
        </a:p>
      </xdr:txBody>
    </xdr:sp>
    <xdr:clientData/>
  </xdr:twoCellAnchor>
  <xdr:twoCellAnchor>
    <xdr:from>
      <xdr:col>11</xdr:col>
      <xdr:colOff>472635</xdr:colOff>
      <xdr:row>16</xdr:row>
      <xdr:rowOff>122275</xdr:rowOff>
    </xdr:from>
    <xdr:to>
      <xdr:col>14</xdr:col>
      <xdr:colOff>3981</xdr:colOff>
      <xdr:row>25</xdr:row>
      <xdr:rowOff>122275</xdr:rowOff>
    </xdr:to>
    <xdr:sp macro="" textlink="">
      <xdr:nvSpPr>
        <xdr:cNvPr id="131" name="Rounded Rectangle 10">
          <a:extLst>
            <a:ext uri="{FF2B5EF4-FFF2-40B4-BE49-F238E27FC236}">
              <a16:creationId xmlns:a16="http://schemas.microsoft.com/office/drawing/2014/main" id="{17AF8209-9BF3-73E8-7BC7-DF95ADC9015B}"/>
            </a:ext>
          </a:extLst>
        </xdr:cNvPr>
        <xdr:cNvSpPr/>
      </xdr:nvSpPr>
      <xdr:spPr>
        <a:xfrm>
          <a:off x="9692835" y="4795875"/>
          <a:ext cx="2045946" cy="1828800"/>
        </a:xfrm>
        <a:custGeom>
          <a:avLst/>
          <a:gdLst/>
          <a:ahLst/>
          <a:cxnLst/>
          <a:rect l="0" t="0" r="0" b="0"/>
          <a:pathLst>
            <a:path w="2045946" h="1828800">
              <a:moveTo>
                <a:pt x="40328" y="1028039"/>
              </a:moveTo>
              <a:cubicBezTo>
                <a:pt x="0" y="957647"/>
                <a:pt x="0" y="871152"/>
                <a:pt x="40328" y="800760"/>
              </a:cubicBezTo>
              <a:lnTo>
                <a:pt x="433235" y="114960"/>
              </a:lnTo>
              <a:cubicBezTo>
                <a:pt x="473970" y="43858"/>
                <a:pt x="549645" y="0"/>
                <a:pt x="631588" y="0"/>
              </a:cubicBezTo>
              <a:lnTo>
                <a:pt x="1414357" y="0"/>
              </a:lnTo>
              <a:cubicBezTo>
                <a:pt x="1496300" y="0"/>
                <a:pt x="1571975" y="43859"/>
                <a:pt x="1612711" y="114960"/>
              </a:cubicBezTo>
              <a:lnTo>
                <a:pt x="2005617" y="800760"/>
              </a:lnTo>
              <a:cubicBezTo>
                <a:pt x="2045946" y="871152"/>
                <a:pt x="2045946" y="957647"/>
                <a:pt x="2005617" y="1028039"/>
              </a:cubicBezTo>
              <a:lnTo>
                <a:pt x="1612710" y="1713839"/>
              </a:lnTo>
              <a:cubicBezTo>
                <a:pt x="1571975" y="1784941"/>
                <a:pt x="1496300" y="1828800"/>
                <a:pt x="1414357" y="1828800"/>
              </a:cubicBezTo>
              <a:lnTo>
                <a:pt x="631588" y="1828800"/>
              </a:lnTo>
              <a:cubicBezTo>
                <a:pt x="549645" y="1828800"/>
                <a:pt x="473970" y="1784940"/>
                <a:pt x="433235" y="1713839"/>
              </a:cubicBezTo>
              <a:lnTo>
                <a:pt x="40328" y="1028039"/>
              </a:lnTo>
              <a:close/>
            </a:path>
          </a:pathLst>
        </a:custGeom>
        <a:noFill/>
        <a:ln w="14287">
          <a:solidFill>
            <a:srgbClr val="FFFFFF"/>
          </a:solidFill>
        </a:ln>
      </xdr:spPr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pPr algn="ctr"/>
          <a:endParaRPr/>
        </a:p>
      </xdr:txBody>
    </xdr:sp>
    <xdr:clientData/>
  </xdr:twoCellAnchor>
  <xdr:twoCellAnchor>
    <xdr:from>
      <xdr:col>10</xdr:col>
      <xdr:colOff>530733</xdr:colOff>
      <xdr:row>22</xdr:row>
      <xdr:rowOff>20638</xdr:rowOff>
    </xdr:from>
    <xdr:to>
      <xdr:col>11</xdr:col>
      <xdr:colOff>606933</xdr:colOff>
      <xdr:row>22</xdr:row>
      <xdr:rowOff>77788</xdr:rowOff>
    </xdr:to>
    <xdr:grpSp>
      <xdr:nvGrpSpPr>
        <xdr:cNvPr id="132" name="Group 131">
          <a:extLst>
            <a:ext uri="{FF2B5EF4-FFF2-40B4-BE49-F238E27FC236}">
              <a16:creationId xmlns:a16="http://schemas.microsoft.com/office/drawing/2014/main" id="{26CE9D7A-A8C8-3850-DE4E-23F8C3EEE4A6}"/>
            </a:ext>
          </a:extLst>
        </xdr:cNvPr>
        <xdr:cNvGrpSpPr/>
      </xdr:nvGrpSpPr>
      <xdr:grpSpPr>
        <a:xfrm>
          <a:off x="8865108" y="4211638"/>
          <a:ext cx="909638" cy="57150"/>
          <a:chOff x="2454771" y="3343275"/>
          <a:chExt cx="914400" cy="57150"/>
        </a:xfrm>
      </xdr:grpSpPr>
      <xdr:sp macro="" textlink="">
        <xdr:nvSpPr>
          <xdr:cNvPr id="142" name="Rounded Rectangle 11">
            <a:extLst>
              <a:ext uri="{FF2B5EF4-FFF2-40B4-BE49-F238E27FC236}">
                <a16:creationId xmlns:a16="http://schemas.microsoft.com/office/drawing/2014/main" id="{AB15DD6D-D3ED-0ACB-803C-8BF1B4C7BC13}"/>
              </a:ext>
            </a:extLst>
          </xdr:cNvPr>
          <xdr:cNvSpPr/>
        </xdr:nvSpPr>
        <xdr:spPr>
          <a:xfrm>
            <a:off x="2483346" y="3371850"/>
            <a:ext cx="857250" cy="9525"/>
          </a:xfrm>
          <a:custGeom>
            <a:avLst/>
            <a:gdLst/>
            <a:ahLst/>
            <a:cxnLst/>
            <a:rect l="0" t="0" r="0" b="0"/>
            <a:pathLst>
              <a:path w="857250" h="9525">
                <a:moveTo>
                  <a:pt x="0" y="0"/>
                </a:moveTo>
                <a:lnTo>
                  <a:pt x="857250" y="0"/>
                </a:lnTo>
              </a:path>
            </a:pathLst>
          </a:custGeom>
          <a:noFill/>
          <a:ln w="14287">
            <a:solidFill>
              <a:schemeClr val="accent4">
                <a:lumMod val="75000"/>
              </a:schemeClr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143" name="Rounded Rectangle 12">
            <a:extLst>
              <a:ext uri="{FF2B5EF4-FFF2-40B4-BE49-F238E27FC236}">
                <a16:creationId xmlns:a16="http://schemas.microsoft.com/office/drawing/2014/main" id="{20D80094-8075-90FD-2963-FAD09DCCAB4F}"/>
              </a:ext>
            </a:extLst>
          </xdr:cNvPr>
          <xdr:cNvSpPr/>
        </xdr:nvSpPr>
        <xdr:spPr>
          <a:xfrm>
            <a:off x="2454771" y="3343275"/>
            <a:ext cx="57150" cy="57150"/>
          </a:xfrm>
          <a:custGeom>
            <a:avLst/>
            <a:gdLst/>
            <a:ahLst/>
            <a:cxnLst/>
            <a:rect l="0" t="0" r="0" b="0"/>
            <a:pathLst>
              <a:path w="57150" h="57150">
                <a:moveTo>
                  <a:pt x="0" y="28575"/>
                </a:moveTo>
                <a:cubicBezTo>
                  <a:pt x="0" y="44356"/>
                  <a:pt x="12793" y="57150"/>
                  <a:pt x="28575" y="57150"/>
                </a:cubicBezTo>
                <a:cubicBezTo>
                  <a:pt x="44356" y="57150"/>
                  <a:pt x="57150" y="44356"/>
                  <a:pt x="57150" y="28575"/>
                </a:cubicBezTo>
                <a:cubicBezTo>
                  <a:pt x="57150" y="12793"/>
                  <a:pt x="44356" y="0"/>
                  <a:pt x="28575" y="0"/>
                </a:cubicBezTo>
                <a:cubicBezTo>
                  <a:pt x="12793" y="0"/>
                  <a:pt x="0" y="12793"/>
                  <a:pt x="0" y="28575"/>
                </a:cubicBezTo>
                <a:close/>
              </a:path>
            </a:pathLst>
          </a:custGeom>
          <a:solidFill>
            <a:srgbClr val="DE8431"/>
          </a:solidFill>
          <a:ln w="14287">
            <a:solidFill>
              <a:schemeClr val="accent4">
                <a:lumMod val="75000"/>
              </a:schemeClr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144" name="Rounded Rectangle 13">
            <a:extLst>
              <a:ext uri="{FF2B5EF4-FFF2-40B4-BE49-F238E27FC236}">
                <a16:creationId xmlns:a16="http://schemas.microsoft.com/office/drawing/2014/main" id="{475809A6-8E93-1C3D-A5FD-C5D62E445C91}"/>
              </a:ext>
            </a:extLst>
          </xdr:cNvPr>
          <xdr:cNvSpPr/>
        </xdr:nvSpPr>
        <xdr:spPr>
          <a:xfrm>
            <a:off x="3312021" y="3343275"/>
            <a:ext cx="57150" cy="57150"/>
          </a:xfrm>
          <a:custGeom>
            <a:avLst/>
            <a:gdLst/>
            <a:ahLst/>
            <a:cxnLst/>
            <a:rect l="0" t="0" r="0" b="0"/>
            <a:pathLst>
              <a:path w="57150" h="57150">
                <a:moveTo>
                  <a:pt x="0" y="28575"/>
                </a:moveTo>
                <a:cubicBezTo>
                  <a:pt x="0" y="44356"/>
                  <a:pt x="12793" y="57150"/>
                  <a:pt x="28575" y="57150"/>
                </a:cubicBezTo>
                <a:cubicBezTo>
                  <a:pt x="44356" y="57150"/>
                  <a:pt x="57150" y="44356"/>
                  <a:pt x="57150" y="28575"/>
                </a:cubicBezTo>
                <a:cubicBezTo>
                  <a:pt x="57150" y="12793"/>
                  <a:pt x="44356" y="0"/>
                  <a:pt x="28575" y="0"/>
                </a:cubicBezTo>
                <a:cubicBezTo>
                  <a:pt x="12793" y="0"/>
                  <a:pt x="0" y="12793"/>
                  <a:pt x="0" y="28575"/>
                </a:cubicBezTo>
                <a:close/>
              </a:path>
            </a:pathLst>
          </a:custGeom>
          <a:solidFill>
            <a:srgbClr val="DE8431"/>
          </a:solidFill>
          <a:ln w="14287">
            <a:solidFill>
              <a:schemeClr val="accent4">
                <a:lumMod val="75000"/>
              </a:schemeClr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</xdr:grpSp>
    <xdr:clientData/>
  </xdr:twoCellAnchor>
  <xdr:twoCellAnchor>
    <xdr:from>
      <xdr:col>10</xdr:col>
      <xdr:colOff>419352</xdr:colOff>
      <xdr:row>8</xdr:row>
      <xdr:rowOff>57150</xdr:rowOff>
    </xdr:from>
    <xdr:to>
      <xdr:col>14</xdr:col>
      <xdr:colOff>705651</xdr:colOff>
      <xdr:row>9</xdr:row>
      <xdr:rowOff>139700</xdr:rowOff>
    </xdr:to>
    <xdr:sp macro="" textlink="">
      <xdr:nvSpPr>
        <xdr:cNvPr id="133" name="TextBox 15">
          <a:extLst>
            <a:ext uri="{FF2B5EF4-FFF2-40B4-BE49-F238E27FC236}">
              <a16:creationId xmlns:a16="http://schemas.microsoft.com/office/drawing/2014/main" id="{C15D006C-2629-6AB1-98D6-36FA8B1D96B5}"/>
            </a:ext>
          </a:extLst>
        </xdr:cNvPr>
        <xdr:cNvSpPr txBox="1"/>
      </xdr:nvSpPr>
      <xdr:spPr>
        <a:xfrm>
          <a:off x="7963152" y="2292350"/>
          <a:ext cx="3639099" cy="2857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pPr algn="ctr"/>
          <a:r>
            <a:rPr lang="en-GB" sz="1800" b="1">
              <a:solidFill>
                <a:srgbClr val="484848"/>
              </a:solidFill>
              <a:latin typeface="Roboto"/>
            </a:rPr>
            <a:t>Sales (M)</a:t>
          </a:r>
          <a:endParaRPr sz="1800" b="1">
            <a:solidFill>
              <a:srgbClr val="484848"/>
            </a:solidFill>
            <a:latin typeface="Roboto"/>
          </a:endParaRPr>
        </a:p>
      </xdr:txBody>
    </xdr:sp>
    <xdr:clientData/>
  </xdr:twoCellAnchor>
  <xdr:twoCellAnchor>
    <xdr:from>
      <xdr:col>12</xdr:col>
      <xdr:colOff>298291</xdr:colOff>
      <xdr:row>14</xdr:row>
      <xdr:rowOff>17537</xdr:rowOff>
    </xdr:from>
    <xdr:to>
      <xdr:col>13</xdr:col>
      <xdr:colOff>190500</xdr:colOff>
      <xdr:row>15</xdr:row>
      <xdr:rowOff>42059</xdr:rowOff>
    </xdr:to>
    <xdr:sp macro="" textlink="">
      <xdr:nvSpPr>
        <xdr:cNvPr id="134" name="TextBox 16">
          <a:extLst>
            <a:ext uri="{FF2B5EF4-FFF2-40B4-BE49-F238E27FC236}">
              <a16:creationId xmlns:a16="http://schemas.microsoft.com/office/drawing/2014/main" id="{3D31AD95-3331-1D14-FBAB-294DAD878137}"/>
            </a:ext>
          </a:extLst>
        </xdr:cNvPr>
        <xdr:cNvSpPr txBox="1"/>
      </xdr:nvSpPr>
      <xdr:spPr>
        <a:xfrm>
          <a:off x="9378791" y="2906787"/>
          <a:ext cx="717709" cy="230897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pPr algn="ctr"/>
          <a:r>
            <a:rPr sz="1500" b="0">
              <a:solidFill>
                <a:srgbClr val="FFFFFF"/>
              </a:solidFill>
              <a:latin typeface="Roboto"/>
            </a:rPr>
            <a:t>$3,000</a:t>
          </a:r>
        </a:p>
      </xdr:txBody>
    </xdr:sp>
    <xdr:clientData/>
  </xdr:twoCellAnchor>
  <xdr:twoCellAnchor>
    <xdr:from>
      <xdr:col>9</xdr:col>
      <xdr:colOff>760119</xdr:colOff>
      <xdr:row>15</xdr:row>
      <xdr:rowOff>106176</xdr:rowOff>
    </xdr:from>
    <xdr:to>
      <xdr:col>10</xdr:col>
      <xdr:colOff>378306</xdr:colOff>
      <xdr:row>17</xdr:row>
      <xdr:rowOff>159519</xdr:rowOff>
    </xdr:to>
    <xdr:sp macro="" textlink="">
      <xdr:nvSpPr>
        <xdr:cNvPr id="135" name="Rounded Rectangle 17">
          <a:extLst>
            <a:ext uri="{FF2B5EF4-FFF2-40B4-BE49-F238E27FC236}">
              <a16:creationId xmlns:a16="http://schemas.microsoft.com/office/drawing/2014/main" id="{46D223F0-468C-0C04-5326-842765E4D401}"/>
            </a:ext>
          </a:extLst>
        </xdr:cNvPr>
        <xdr:cNvSpPr/>
      </xdr:nvSpPr>
      <xdr:spPr>
        <a:xfrm>
          <a:off x="8303919" y="4576576"/>
          <a:ext cx="456387" cy="459743"/>
        </a:xfrm>
        <a:custGeom>
          <a:avLst/>
          <a:gdLst/>
          <a:ahLst/>
          <a:cxnLst/>
          <a:rect l="0" t="0" r="0" b="0"/>
          <a:pathLst>
            <a:path w="456387" h="459743">
              <a:moveTo>
                <a:pt x="240763" y="215624"/>
              </a:moveTo>
              <a:cubicBezTo>
                <a:pt x="211779" y="186623"/>
                <a:pt x="166342" y="182147"/>
                <a:pt x="132256" y="204933"/>
              </a:cubicBezTo>
              <a:cubicBezTo>
                <a:pt x="98170" y="227720"/>
                <a:pt x="84938" y="271418"/>
                <a:pt x="100657" y="309286"/>
              </a:cubicBezTo>
              <a:cubicBezTo>
                <a:pt x="116375" y="347154"/>
                <a:pt x="156664" y="368636"/>
                <a:pt x="196867" y="360586"/>
              </a:cubicBezTo>
              <a:cubicBezTo>
                <a:pt x="237069" y="352536"/>
                <a:pt x="265980" y="317198"/>
                <a:pt x="265906" y="276197"/>
              </a:cubicBezTo>
              <a:cubicBezTo>
                <a:pt x="265935" y="266395"/>
                <a:pt x="264259" y="256662"/>
                <a:pt x="260954" y="247434"/>
              </a:cubicBezTo>
              <a:moveTo>
                <a:pt x="320003" y="194481"/>
              </a:moveTo>
              <a:cubicBezTo>
                <a:pt x="363783" y="268044"/>
                <a:pt x="342896" y="362963"/>
                <a:pt x="272279" y="411353"/>
              </a:cubicBezTo>
              <a:cubicBezTo>
                <a:pt x="201663" y="459743"/>
                <a:pt x="105603" y="444961"/>
                <a:pt x="52801" y="377580"/>
              </a:cubicBezTo>
              <a:cubicBezTo>
                <a:pt x="0" y="310198"/>
                <a:pt x="8615" y="213391"/>
                <a:pt x="72486" y="156393"/>
              </a:cubicBezTo>
              <a:cubicBezTo>
                <a:pt x="136357" y="99395"/>
                <a:pt x="233517" y="101809"/>
                <a:pt x="294478" y="161908"/>
              </a:cubicBezTo>
              <a:moveTo>
                <a:pt x="18281" y="438106"/>
              </a:moveTo>
              <a:lnTo>
                <a:pt x="65711" y="390676"/>
              </a:lnTo>
              <a:moveTo>
                <a:pt x="294669" y="390676"/>
              </a:moveTo>
              <a:lnTo>
                <a:pt x="342099" y="438106"/>
              </a:lnTo>
              <a:moveTo>
                <a:pt x="321717" y="134670"/>
              </a:moveTo>
              <a:lnTo>
                <a:pt x="314860" y="60572"/>
              </a:lnTo>
              <a:lnTo>
                <a:pt x="375433" y="0"/>
              </a:lnTo>
              <a:lnTo>
                <a:pt x="395814" y="60572"/>
              </a:lnTo>
              <a:lnTo>
                <a:pt x="456387" y="80954"/>
              </a:lnTo>
              <a:lnTo>
                <a:pt x="395814" y="141527"/>
              </a:lnTo>
              <a:close/>
              <a:moveTo>
                <a:pt x="370671" y="85716"/>
              </a:moveTo>
              <a:lnTo>
                <a:pt x="180190" y="276197"/>
              </a:lnTo>
            </a:path>
          </a:pathLst>
        </a:custGeom>
        <a:noFill/>
        <a:ln w="14287">
          <a:solidFill>
            <a:srgbClr val="484848"/>
          </a:solidFill>
        </a:ln>
      </xdr:spPr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pPr algn="ctr"/>
          <a:endParaRPr/>
        </a:p>
      </xdr:txBody>
    </xdr:sp>
    <xdr:clientData/>
  </xdr:twoCellAnchor>
  <xdr:twoCellAnchor>
    <xdr:from>
      <xdr:col>8</xdr:col>
      <xdr:colOff>203771</xdr:colOff>
      <xdr:row>16</xdr:row>
      <xdr:rowOff>31939</xdr:rowOff>
    </xdr:from>
    <xdr:to>
      <xdr:col>9</xdr:col>
      <xdr:colOff>638644</xdr:colOff>
      <xdr:row>18</xdr:row>
      <xdr:rowOff>87332</xdr:rowOff>
    </xdr:to>
    <xdr:sp macro="" textlink="">
      <xdr:nvSpPr>
        <xdr:cNvPr id="136" name="TextBox 18">
          <a:extLst>
            <a:ext uri="{FF2B5EF4-FFF2-40B4-BE49-F238E27FC236}">
              <a16:creationId xmlns:a16="http://schemas.microsoft.com/office/drawing/2014/main" id="{3CE35E3C-AA12-ABAC-41CD-C845BAE87DA1}"/>
            </a:ext>
          </a:extLst>
        </xdr:cNvPr>
        <xdr:cNvSpPr txBox="1"/>
      </xdr:nvSpPr>
      <xdr:spPr>
        <a:xfrm>
          <a:off x="6909371" y="3892739"/>
          <a:ext cx="1273073" cy="461793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pPr algn="r"/>
          <a:r>
            <a:rPr sz="1500" b="1">
              <a:solidFill>
                <a:schemeClr val="accent4">
                  <a:lumMod val="50000"/>
                </a:schemeClr>
              </a:solidFill>
              <a:latin typeface="Roboto"/>
            </a:rPr>
            <a:t>Target Amount</a:t>
          </a:r>
        </a:p>
      </xdr:txBody>
    </xdr:sp>
    <xdr:clientData/>
  </xdr:twoCellAnchor>
  <xdr:twoCellAnchor>
    <xdr:from>
      <xdr:col>8</xdr:col>
      <xdr:colOff>296259</xdr:colOff>
      <xdr:row>18</xdr:row>
      <xdr:rowOff>170052</xdr:rowOff>
    </xdr:from>
    <xdr:to>
      <xdr:col>9</xdr:col>
      <xdr:colOff>689511</xdr:colOff>
      <xdr:row>19</xdr:row>
      <xdr:rowOff>135127</xdr:rowOff>
    </xdr:to>
    <xdr:sp macro="" textlink="">
      <xdr:nvSpPr>
        <xdr:cNvPr id="137" name="TextBox 19">
          <a:extLst>
            <a:ext uri="{FF2B5EF4-FFF2-40B4-BE49-F238E27FC236}">
              <a16:creationId xmlns:a16="http://schemas.microsoft.com/office/drawing/2014/main" id="{BE8676A6-67A6-96AA-11CA-1BD1235C89DD}"/>
            </a:ext>
          </a:extLst>
        </xdr:cNvPr>
        <xdr:cNvSpPr txBox="1"/>
      </xdr:nvSpPr>
      <xdr:spPr>
        <a:xfrm>
          <a:off x="7001859" y="4437252"/>
          <a:ext cx="1231452" cy="1682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pPr algn="r"/>
          <a:r>
            <a:rPr sz="1100" b="0">
              <a:solidFill>
                <a:srgbClr val="484848"/>
              </a:solidFill>
              <a:latin typeface="Roboto"/>
            </a:rPr>
            <a:t>Initial financial goal</a:t>
          </a:r>
        </a:p>
      </xdr:txBody>
    </xdr:sp>
    <xdr:clientData/>
  </xdr:twoCellAnchor>
  <xdr:twoCellAnchor>
    <xdr:from>
      <xdr:col>10</xdr:col>
      <xdr:colOff>18869</xdr:colOff>
      <xdr:row>21</xdr:row>
      <xdr:rowOff>29938</xdr:rowOff>
    </xdr:from>
    <xdr:to>
      <xdr:col>10</xdr:col>
      <xdr:colOff>299637</xdr:colOff>
      <xdr:row>23</xdr:row>
      <xdr:rowOff>62958</xdr:rowOff>
    </xdr:to>
    <xdr:sp macro="" textlink="">
      <xdr:nvSpPr>
        <xdr:cNvPr id="138" name="Rounded Rectangle 20">
          <a:extLst>
            <a:ext uri="{FF2B5EF4-FFF2-40B4-BE49-F238E27FC236}">
              <a16:creationId xmlns:a16="http://schemas.microsoft.com/office/drawing/2014/main" id="{B3C6E963-A2E6-90E5-2E24-5432E65E03FF}"/>
            </a:ext>
          </a:extLst>
        </xdr:cNvPr>
        <xdr:cNvSpPr/>
      </xdr:nvSpPr>
      <xdr:spPr>
        <a:xfrm>
          <a:off x="8400869" y="5719538"/>
          <a:ext cx="280768" cy="439420"/>
        </a:xfrm>
        <a:custGeom>
          <a:avLst/>
          <a:gdLst/>
          <a:ahLst/>
          <a:cxnLst/>
          <a:rect l="0" t="0" r="0" b="0"/>
          <a:pathLst>
            <a:path w="280768" h="439420">
              <a:moveTo>
                <a:pt x="193147" y="76192"/>
              </a:moveTo>
              <a:lnTo>
                <a:pt x="229529" y="14286"/>
              </a:lnTo>
              <a:cubicBezTo>
                <a:pt x="231155" y="11319"/>
                <a:pt x="231155" y="7728"/>
                <a:pt x="229529" y="4762"/>
              </a:cubicBezTo>
              <a:cubicBezTo>
                <a:pt x="227784" y="1887"/>
                <a:pt x="224700" y="93"/>
                <a:pt x="221338" y="0"/>
              </a:cubicBezTo>
              <a:lnTo>
                <a:pt x="102288" y="0"/>
              </a:lnTo>
              <a:cubicBezTo>
                <a:pt x="98858" y="29"/>
                <a:pt x="95687" y="1830"/>
                <a:pt x="93907" y="4762"/>
              </a:cubicBezTo>
              <a:cubicBezTo>
                <a:pt x="92089" y="7745"/>
                <a:pt x="92089" y="11493"/>
                <a:pt x="93907" y="14476"/>
              </a:cubicBezTo>
              <a:lnTo>
                <a:pt x="130860" y="76192"/>
              </a:lnTo>
              <a:moveTo>
                <a:pt x="201719" y="190480"/>
              </a:moveTo>
              <a:cubicBezTo>
                <a:pt x="217910" y="203624"/>
                <a:pt x="280768" y="246291"/>
                <a:pt x="280768" y="323817"/>
              </a:cubicBezTo>
              <a:cubicBezTo>
                <a:pt x="280768" y="386485"/>
                <a:pt x="221148" y="438106"/>
                <a:pt x="155813" y="438106"/>
              </a:cubicBezTo>
              <a:cubicBezTo>
                <a:pt x="90790" y="439420"/>
                <a:pt x="36516" y="388776"/>
                <a:pt x="33334" y="323817"/>
              </a:cubicBezTo>
              <a:cubicBezTo>
                <a:pt x="33334" y="243053"/>
                <a:pt x="97526" y="200766"/>
                <a:pt x="112574" y="190480"/>
              </a:cubicBezTo>
              <a:moveTo>
                <a:pt x="0" y="57144"/>
              </a:moveTo>
              <a:lnTo>
                <a:pt x="38096" y="57144"/>
              </a:lnTo>
              <a:cubicBezTo>
                <a:pt x="40670" y="56973"/>
                <a:pt x="43193" y="57922"/>
                <a:pt x="45017" y="59746"/>
              </a:cubicBezTo>
              <a:cubicBezTo>
                <a:pt x="46841" y="61571"/>
                <a:pt x="47790" y="64093"/>
                <a:pt x="47620" y="66668"/>
              </a:cubicBezTo>
              <a:lnTo>
                <a:pt x="47620" y="180956"/>
              </a:lnTo>
              <a:cubicBezTo>
                <a:pt x="47790" y="183531"/>
                <a:pt x="46841" y="186054"/>
                <a:pt x="45017" y="187878"/>
              </a:cubicBezTo>
              <a:cubicBezTo>
                <a:pt x="43193" y="189702"/>
                <a:pt x="40670" y="190651"/>
                <a:pt x="38096" y="190480"/>
              </a:cubicBezTo>
              <a:lnTo>
                <a:pt x="0" y="190480"/>
              </a:lnTo>
              <a:moveTo>
                <a:pt x="107240" y="36381"/>
              </a:moveTo>
              <a:lnTo>
                <a:pt x="85716" y="66668"/>
              </a:lnTo>
              <a:cubicBezTo>
                <a:pt x="81041" y="72446"/>
                <a:pt x="74095" y="75919"/>
                <a:pt x="66668" y="76192"/>
              </a:cubicBezTo>
              <a:lnTo>
                <a:pt x="47620" y="76192"/>
              </a:lnTo>
              <a:moveTo>
                <a:pt x="47620" y="161908"/>
              </a:moveTo>
              <a:cubicBezTo>
                <a:pt x="85716" y="180956"/>
                <a:pt x="101335" y="190480"/>
                <a:pt x="123812" y="190480"/>
              </a:cubicBezTo>
              <a:lnTo>
                <a:pt x="200005" y="190480"/>
              </a:lnTo>
              <a:cubicBezTo>
                <a:pt x="219053" y="190480"/>
                <a:pt x="222481" y="189528"/>
                <a:pt x="228577" y="171432"/>
              </a:cubicBezTo>
              <a:cubicBezTo>
                <a:pt x="238101" y="142860"/>
                <a:pt x="247625" y="95240"/>
                <a:pt x="247625" y="95240"/>
              </a:cubicBezTo>
              <a:cubicBezTo>
                <a:pt x="247625" y="85716"/>
                <a:pt x="238101" y="76192"/>
                <a:pt x="219053" y="76192"/>
              </a:cubicBezTo>
              <a:lnTo>
                <a:pt x="130860" y="76192"/>
              </a:lnTo>
              <a:moveTo>
                <a:pt x="156956" y="342865"/>
              </a:moveTo>
              <a:lnTo>
                <a:pt x="156956" y="361913"/>
              </a:lnTo>
              <a:moveTo>
                <a:pt x="156956" y="247625"/>
              </a:moveTo>
              <a:lnTo>
                <a:pt x="156956" y="266673"/>
              </a:lnTo>
              <a:moveTo>
                <a:pt x="118860" y="342865"/>
              </a:moveTo>
              <a:lnTo>
                <a:pt x="176004" y="342865"/>
              </a:lnTo>
              <a:cubicBezTo>
                <a:pt x="186524" y="342865"/>
                <a:pt x="195052" y="334337"/>
                <a:pt x="195052" y="323817"/>
              </a:cubicBezTo>
              <a:cubicBezTo>
                <a:pt x="195052" y="313297"/>
                <a:pt x="186524" y="304769"/>
                <a:pt x="176004" y="304769"/>
              </a:cubicBezTo>
              <a:lnTo>
                <a:pt x="137908" y="304769"/>
              </a:lnTo>
              <a:cubicBezTo>
                <a:pt x="127388" y="304769"/>
                <a:pt x="118860" y="296241"/>
                <a:pt x="118860" y="285721"/>
              </a:cubicBezTo>
              <a:cubicBezTo>
                <a:pt x="118860" y="275201"/>
                <a:pt x="127388" y="266673"/>
                <a:pt x="137908" y="266673"/>
              </a:cubicBezTo>
              <a:lnTo>
                <a:pt x="195052" y="266673"/>
              </a:lnTo>
            </a:path>
          </a:pathLst>
        </a:custGeom>
        <a:noFill/>
        <a:ln w="14287">
          <a:solidFill>
            <a:srgbClr val="484848"/>
          </a:solidFill>
        </a:ln>
      </xdr:spPr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pPr algn="ctr"/>
          <a:endParaRPr/>
        </a:p>
      </xdr:txBody>
    </xdr:sp>
    <xdr:clientData/>
  </xdr:twoCellAnchor>
  <xdr:twoCellAnchor>
    <xdr:from>
      <xdr:col>12</xdr:col>
      <xdr:colOff>298291</xdr:colOff>
      <xdr:row>20</xdr:row>
      <xdr:rowOff>144500</xdr:rowOff>
    </xdr:from>
    <xdr:to>
      <xdr:col>13</xdr:col>
      <xdr:colOff>241300</xdr:colOff>
      <xdr:row>21</xdr:row>
      <xdr:rowOff>169022</xdr:rowOff>
    </xdr:to>
    <xdr:sp macro="" textlink="">
      <xdr:nvSpPr>
        <xdr:cNvPr id="139" name="TextBox 21">
          <a:extLst>
            <a:ext uri="{FF2B5EF4-FFF2-40B4-BE49-F238E27FC236}">
              <a16:creationId xmlns:a16="http://schemas.microsoft.com/office/drawing/2014/main" id="{2547AB92-6EC3-8355-6082-E09BABAECB41}"/>
            </a:ext>
          </a:extLst>
        </xdr:cNvPr>
        <xdr:cNvSpPr txBox="1"/>
      </xdr:nvSpPr>
      <xdr:spPr>
        <a:xfrm>
          <a:off x="9378791" y="4272000"/>
          <a:ext cx="768509" cy="230897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pPr algn="ctr"/>
          <a:r>
            <a:rPr sz="1500" b="0">
              <a:solidFill>
                <a:srgbClr val="FFFFFF"/>
              </a:solidFill>
              <a:latin typeface="Roboto"/>
            </a:rPr>
            <a:t>$2,544</a:t>
          </a:r>
        </a:p>
      </xdr:txBody>
    </xdr:sp>
    <xdr:clientData/>
  </xdr:twoCellAnchor>
  <xdr:twoCellAnchor>
    <xdr:from>
      <xdr:col>8</xdr:col>
      <xdr:colOff>203200</xdr:colOff>
      <xdr:row>21</xdr:row>
      <xdr:rowOff>155765</xdr:rowOff>
    </xdr:from>
    <xdr:to>
      <xdr:col>9</xdr:col>
      <xdr:colOff>638673</xdr:colOff>
      <xdr:row>22</xdr:row>
      <xdr:rowOff>152401</xdr:rowOff>
    </xdr:to>
    <xdr:sp macro="" textlink="">
      <xdr:nvSpPr>
        <xdr:cNvPr id="140" name="TextBox 22">
          <a:extLst>
            <a:ext uri="{FF2B5EF4-FFF2-40B4-BE49-F238E27FC236}">
              <a16:creationId xmlns:a16="http://schemas.microsoft.com/office/drawing/2014/main" id="{401E10A3-9A46-2434-51BE-C527C4936032}"/>
            </a:ext>
          </a:extLst>
        </xdr:cNvPr>
        <xdr:cNvSpPr txBox="1"/>
      </xdr:nvSpPr>
      <xdr:spPr>
        <a:xfrm>
          <a:off x="6908800" y="5032565"/>
          <a:ext cx="1273673" cy="199836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pPr algn="r"/>
          <a:r>
            <a:rPr sz="1500" b="1">
              <a:solidFill>
                <a:schemeClr val="accent4">
                  <a:lumMod val="75000"/>
                </a:schemeClr>
              </a:solidFill>
              <a:latin typeface="Roboto"/>
            </a:rPr>
            <a:t>Actual Amount</a:t>
          </a:r>
        </a:p>
      </xdr:txBody>
    </xdr:sp>
    <xdr:clientData/>
  </xdr:twoCellAnchor>
  <xdr:twoCellAnchor>
    <xdr:from>
      <xdr:col>8</xdr:col>
      <xdr:colOff>101600</xdr:colOff>
      <xdr:row>24</xdr:row>
      <xdr:rowOff>14477</xdr:rowOff>
    </xdr:from>
    <xdr:to>
      <xdr:col>9</xdr:col>
      <xdr:colOff>740273</xdr:colOff>
      <xdr:row>24</xdr:row>
      <xdr:rowOff>182752</xdr:rowOff>
    </xdr:to>
    <xdr:sp macro="" textlink="">
      <xdr:nvSpPr>
        <xdr:cNvPr id="141" name="TextBox 23">
          <a:extLst>
            <a:ext uri="{FF2B5EF4-FFF2-40B4-BE49-F238E27FC236}">
              <a16:creationId xmlns:a16="http://schemas.microsoft.com/office/drawing/2014/main" id="{6FC94FF9-AEC9-9CA0-BCF7-325A21D07613}"/>
            </a:ext>
          </a:extLst>
        </xdr:cNvPr>
        <xdr:cNvSpPr txBox="1"/>
      </xdr:nvSpPr>
      <xdr:spPr>
        <a:xfrm>
          <a:off x="5969000" y="5500877"/>
          <a:ext cx="1476873" cy="1682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pPr algn="r"/>
          <a:r>
            <a:rPr sz="1100" b="0">
              <a:solidFill>
                <a:srgbClr val="484848"/>
              </a:solidFill>
              <a:latin typeface="Roboto"/>
            </a:rPr>
            <a:t>Current financial status</a:t>
          </a:r>
        </a:p>
      </xdr:txBody>
    </xdr:sp>
    <xdr:clientData/>
  </xdr:twoCellAnchor>
  <xdr:twoCellAnchor>
    <xdr:from>
      <xdr:col>15</xdr:col>
      <xdr:colOff>168274</xdr:colOff>
      <xdr:row>8</xdr:row>
      <xdr:rowOff>117475</xdr:rowOff>
    </xdr:from>
    <xdr:to>
      <xdr:col>22</xdr:col>
      <xdr:colOff>377803</xdr:colOff>
      <xdr:row>26</xdr:row>
      <xdr:rowOff>171447</xdr:rowOff>
    </xdr:to>
    <xdr:grpSp>
      <xdr:nvGrpSpPr>
        <xdr:cNvPr id="217" name="Group 216">
          <a:extLst>
            <a:ext uri="{FF2B5EF4-FFF2-40B4-BE49-F238E27FC236}">
              <a16:creationId xmlns:a16="http://schemas.microsoft.com/office/drawing/2014/main" id="{C173A413-E98F-B03B-9217-B9B6E0ED8B76}"/>
            </a:ext>
          </a:extLst>
        </xdr:cNvPr>
        <xdr:cNvGrpSpPr/>
      </xdr:nvGrpSpPr>
      <xdr:grpSpPr>
        <a:xfrm>
          <a:off x="12669837" y="1641475"/>
          <a:ext cx="6043591" cy="3482972"/>
          <a:chOff x="541388" y="929486"/>
          <a:chExt cx="7544619" cy="4802183"/>
        </a:xfrm>
      </xdr:grpSpPr>
      <xdr:sp macro="" textlink="">
        <xdr:nvSpPr>
          <xdr:cNvPr id="218" name="Rounded Rectangle 1">
            <a:extLst>
              <a:ext uri="{FF2B5EF4-FFF2-40B4-BE49-F238E27FC236}">
                <a16:creationId xmlns:a16="http://schemas.microsoft.com/office/drawing/2014/main" id="{DB34E93B-E172-6DD0-B605-D272824A6897}"/>
              </a:ext>
            </a:extLst>
          </xdr:cNvPr>
          <xdr:cNvSpPr/>
        </xdr:nvSpPr>
        <xdr:spPr>
          <a:xfrm>
            <a:off x="3015438" y="2417006"/>
            <a:ext cx="393632" cy="685800"/>
          </a:xfrm>
          <a:custGeom>
            <a:avLst/>
            <a:gdLst/>
            <a:ahLst/>
            <a:cxnLst/>
            <a:rect l="0" t="0" r="0" b="0"/>
            <a:pathLst>
              <a:path w="393632" h="685800">
                <a:moveTo>
                  <a:pt x="0" y="685800"/>
                </a:moveTo>
                <a:lnTo>
                  <a:pt x="167199" y="685800"/>
                </a:lnTo>
                <a:cubicBezTo>
                  <a:pt x="187526" y="685800"/>
                  <a:pt x="206322" y="675003"/>
                  <a:pt x="216565" y="657445"/>
                </a:cubicBezTo>
                <a:lnTo>
                  <a:pt x="383252" y="371695"/>
                </a:lnTo>
                <a:cubicBezTo>
                  <a:pt x="393632" y="353901"/>
                  <a:pt x="393632" y="331897"/>
                  <a:pt x="383252" y="314104"/>
                </a:cubicBezTo>
                <a:lnTo>
                  <a:pt x="216565" y="28354"/>
                </a:lnTo>
                <a:cubicBezTo>
                  <a:pt x="206322" y="10796"/>
                  <a:pt x="187526" y="0"/>
                  <a:pt x="167199" y="0"/>
                </a:cubicBezTo>
                <a:lnTo>
                  <a:pt x="0" y="0"/>
                </a:lnTo>
              </a:path>
            </a:pathLst>
          </a:custGeom>
          <a:noFill/>
          <a:ln w="14287">
            <a:solidFill>
              <a:srgbClr val="E0CB15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219" name="Rounded Rectangle 2">
            <a:extLst>
              <a:ext uri="{FF2B5EF4-FFF2-40B4-BE49-F238E27FC236}">
                <a16:creationId xmlns:a16="http://schemas.microsoft.com/office/drawing/2014/main" id="{1DCAF469-807D-D25F-F2B1-589F33D394AD}"/>
              </a:ext>
            </a:extLst>
          </xdr:cNvPr>
          <xdr:cNvSpPr/>
        </xdr:nvSpPr>
        <xdr:spPr>
          <a:xfrm>
            <a:off x="3795766" y="2074069"/>
            <a:ext cx="4160053" cy="3657600"/>
          </a:xfrm>
          <a:custGeom>
            <a:avLst/>
            <a:gdLst/>
            <a:ahLst/>
            <a:cxnLst/>
            <a:rect l="0" t="0" r="0" b="0"/>
            <a:pathLst>
              <a:path w="4160053" h="3657600">
                <a:moveTo>
                  <a:pt x="40624" y="1714776"/>
                </a:moveTo>
                <a:cubicBezTo>
                  <a:pt x="0" y="1785366"/>
                  <a:pt x="0" y="1872234"/>
                  <a:pt x="40624" y="1942823"/>
                </a:cubicBezTo>
                <a:lnTo>
                  <a:pt x="961567" y="3543023"/>
                </a:lnTo>
                <a:cubicBezTo>
                  <a:pt x="1002363" y="3613908"/>
                  <a:pt x="1077915" y="3657600"/>
                  <a:pt x="1159706" y="3657600"/>
                </a:cubicBezTo>
                <a:lnTo>
                  <a:pt x="3000346" y="3657600"/>
                </a:lnTo>
                <a:cubicBezTo>
                  <a:pt x="3082128" y="3657600"/>
                  <a:pt x="3157680" y="3613908"/>
                  <a:pt x="3198475" y="3543023"/>
                </a:cubicBezTo>
                <a:lnTo>
                  <a:pt x="4119419" y="1942823"/>
                </a:lnTo>
                <a:cubicBezTo>
                  <a:pt x="4160053" y="1872234"/>
                  <a:pt x="4160053" y="1785366"/>
                  <a:pt x="4119419" y="1714776"/>
                </a:cubicBezTo>
                <a:lnTo>
                  <a:pt x="3198475" y="114576"/>
                </a:lnTo>
                <a:cubicBezTo>
                  <a:pt x="3157680" y="43691"/>
                  <a:pt x="3082128" y="0"/>
                  <a:pt x="3000346" y="0"/>
                </a:cubicBezTo>
                <a:lnTo>
                  <a:pt x="1159706" y="0"/>
                </a:lnTo>
                <a:cubicBezTo>
                  <a:pt x="1077915" y="0"/>
                  <a:pt x="1002363" y="43691"/>
                  <a:pt x="961567" y="114576"/>
                </a:cubicBezTo>
                <a:lnTo>
                  <a:pt x="40624" y="1714776"/>
                </a:lnTo>
                <a:moveTo>
                  <a:pt x="573500" y="2058057"/>
                </a:moveTo>
                <a:lnTo>
                  <a:pt x="1228343" y="915057"/>
                </a:lnTo>
                <a:cubicBezTo>
                  <a:pt x="1269082" y="843962"/>
                  <a:pt x="1344758" y="800100"/>
                  <a:pt x="1426702" y="800100"/>
                </a:cubicBezTo>
                <a:lnTo>
                  <a:pt x="2733341" y="800100"/>
                </a:lnTo>
                <a:cubicBezTo>
                  <a:pt x="2815285" y="800100"/>
                  <a:pt x="2890961" y="843962"/>
                  <a:pt x="2931699" y="915057"/>
                </a:cubicBezTo>
                <a:lnTo>
                  <a:pt x="3586543" y="2058057"/>
                </a:lnTo>
                <a:cubicBezTo>
                  <a:pt x="3626872" y="2128456"/>
                  <a:pt x="3626872" y="2214943"/>
                  <a:pt x="3586543" y="2285342"/>
                </a:cubicBezTo>
                <a:lnTo>
                  <a:pt x="2931699" y="3428342"/>
                </a:lnTo>
                <a:cubicBezTo>
                  <a:pt x="2890961" y="3499437"/>
                  <a:pt x="2815285" y="3543300"/>
                  <a:pt x="2733341" y="3543300"/>
                </a:cubicBezTo>
                <a:lnTo>
                  <a:pt x="1426702" y="3543300"/>
                </a:lnTo>
                <a:cubicBezTo>
                  <a:pt x="1344758" y="3543300"/>
                  <a:pt x="1269082" y="3499437"/>
                  <a:pt x="1228343" y="3428342"/>
                </a:cubicBezTo>
                <a:lnTo>
                  <a:pt x="573500" y="2285342"/>
                </a:lnTo>
                <a:cubicBezTo>
                  <a:pt x="533171" y="2214943"/>
                  <a:pt x="533171" y="2128456"/>
                  <a:pt x="573500" y="2058057"/>
                </a:cubicBezTo>
              </a:path>
            </a:pathLst>
          </a:custGeom>
          <a:solidFill>
            <a:srgbClr val="E0CB15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220" name="Rounded Rectangle 3">
            <a:extLst>
              <a:ext uri="{FF2B5EF4-FFF2-40B4-BE49-F238E27FC236}">
                <a16:creationId xmlns:a16="http://schemas.microsoft.com/office/drawing/2014/main" id="{3AE8FEE9-502E-4D64-BF72-DDA65A5AEEE2}"/>
              </a:ext>
            </a:extLst>
          </xdr:cNvPr>
          <xdr:cNvSpPr/>
        </xdr:nvSpPr>
        <xdr:spPr>
          <a:xfrm>
            <a:off x="3795763" y="2074069"/>
            <a:ext cx="4160051" cy="3657600"/>
          </a:xfrm>
          <a:custGeom>
            <a:avLst/>
            <a:gdLst/>
            <a:ahLst/>
            <a:cxnLst/>
            <a:rect l="0" t="0" r="0" b="0"/>
            <a:pathLst>
              <a:path w="4160051" h="3657600">
                <a:moveTo>
                  <a:pt x="40626" y="1714772"/>
                </a:moveTo>
                <a:cubicBezTo>
                  <a:pt x="0" y="1785363"/>
                  <a:pt x="0" y="1872237"/>
                  <a:pt x="40626" y="1942828"/>
                </a:cubicBezTo>
                <a:lnTo>
                  <a:pt x="961574" y="3543027"/>
                </a:lnTo>
                <a:cubicBezTo>
                  <a:pt x="1002369" y="3613909"/>
                  <a:pt x="1077922" y="3657600"/>
                  <a:pt x="1159704" y="3657600"/>
                </a:cubicBezTo>
                <a:lnTo>
                  <a:pt x="3000346" y="3657600"/>
                </a:lnTo>
                <a:cubicBezTo>
                  <a:pt x="3082129" y="3657600"/>
                  <a:pt x="3157682" y="3613909"/>
                  <a:pt x="3198476" y="3543027"/>
                </a:cubicBezTo>
                <a:lnTo>
                  <a:pt x="4119425" y="1942828"/>
                </a:lnTo>
                <a:cubicBezTo>
                  <a:pt x="4160051" y="1872236"/>
                  <a:pt x="4160051" y="1785362"/>
                  <a:pt x="4119425" y="1714771"/>
                </a:cubicBezTo>
                <a:lnTo>
                  <a:pt x="3198476" y="114572"/>
                </a:lnTo>
                <a:cubicBezTo>
                  <a:pt x="3157682" y="43689"/>
                  <a:pt x="3082129" y="0"/>
                  <a:pt x="3000346" y="0"/>
                </a:cubicBezTo>
                <a:lnTo>
                  <a:pt x="1159704" y="0"/>
                </a:lnTo>
                <a:cubicBezTo>
                  <a:pt x="1077921" y="0"/>
                  <a:pt x="1002369" y="43690"/>
                  <a:pt x="961574" y="114572"/>
                </a:cubicBezTo>
                <a:close/>
                <a:moveTo>
                  <a:pt x="573506" y="2058060"/>
                </a:moveTo>
                <a:lnTo>
                  <a:pt x="1228350" y="915060"/>
                </a:lnTo>
                <a:cubicBezTo>
                  <a:pt x="1269085" y="843959"/>
                  <a:pt x="1344760" y="800100"/>
                  <a:pt x="1426704" y="800100"/>
                </a:cubicBezTo>
                <a:lnTo>
                  <a:pt x="2733348" y="800100"/>
                </a:lnTo>
                <a:cubicBezTo>
                  <a:pt x="2815290" y="800100"/>
                  <a:pt x="2890966" y="843959"/>
                  <a:pt x="2931700" y="915060"/>
                </a:cubicBezTo>
                <a:lnTo>
                  <a:pt x="3586544" y="2058060"/>
                </a:lnTo>
                <a:cubicBezTo>
                  <a:pt x="3626874" y="2128452"/>
                  <a:pt x="3626874" y="2214947"/>
                  <a:pt x="3586544" y="2285339"/>
                </a:cubicBezTo>
                <a:lnTo>
                  <a:pt x="2931700" y="3428339"/>
                </a:lnTo>
                <a:cubicBezTo>
                  <a:pt x="2890966" y="3499441"/>
                  <a:pt x="2815290" y="3543300"/>
                  <a:pt x="2733348" y="3543300"/>
                </a:cubicBezTo>
                <a:lnTo>
                  <a:pt x="1426704" y="3543300"/>
                </a:lnTo>
                <a:cubicBezTo>
                  <a:pt x="1344760" y="3543300"/>
                  <a:pt x="1269085" y="3499441"/>
                  <a:pt x="1228350" y="3428339"/>
                </a:cubicBezTo>
                <a:lnTo>
                  <a:pt x="573506" y="2285339"/>
                </a:lnTo>
                <a:cubicBezTo>
                  <a:pt x="533178" y="2214947"/>
                  <a:pt x="533178" y="2128452"/>
                  <a:pt x="573506" y="2058060"/>
                </a:cubicBezTo>
                <a:close/>
              </a:path>
            </a:pathLst>
          </a:custGeom>
          <a:noFill/>
          <a:ln w="14287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grpSp>
        <xdr:nvGrpSpPr>
          <xdr:cNvPr id="221" name="Group 220">
            <a:extLst>
              <a:ext uri="{FF2B5EF4-FFF2-40B4-BE49-F238E27FC236}">
                <a16:creationId xmlns:a16="http://schemas.microsoft.com/office/drawing/2014/main" id="{8E3C67BB-87B3-BB5B-78F2-BBF86071840F}"/>
              </a:ext>
            </a:extLst>
          </xdr:cNvPr>
          <xdr:cNvGrpSpPr/>
        </xdr:nvGrpSpPr>
        <xdr:grpSpPr>
          <a:xfrm>
            <a:off x="3386913" y="2731294"/>
            <a:ext cx="1066800" cy="57150"/>
            <a:chOff x="2446418" y="2085975"/>
            <a:chExt cx="1066800" cy="57150"/>
          </a:xfrm>
        </xdr:grpSpPr>
        <xdr:sp macro="" textlink="">
          <xdr:nvSpPr>
            <xdr:cNvPr id="249" name="Rounded Rectangle 4">
              <a:extLst>
                <a:ext uri="{FF2B5EF4-FFF2-40B4-BE49-F238E27FC236}">
                  <a16:creationId xmlns:a16="http://schemas.microsoft.com/office/drawing/2014/main" id="{9B64C47F-81C3-0E20-7452-A6DC26C92496}"/>
                </a:ext>
              </a:extLst>
            </xdr:cNvPr>
            <xdr:cNvSpPr/>
          </xdr:nvSpPr>
          <xdr:spPr>
            <a:xfrm>
              <a:off x="2474993" y="2114550"/>
              <a:ext cx="1009650" cy="9525"/>
            </a:xfrm>
            <a:custGeom>
              <a:avLst/>
              <a:gdLst/>
              <a:ahLst/>
              <a:cxnLst/>
              <a:rect l="0" t="0" r="0" b="0"/>
              <a:pathLst>
                <a:path w="1009650" h="9525">
                  <a:moveTo>
                    <a:pt x="0" y="0"/>
                  </a:moveTo>
                  <a:lnTo>
                    <a:pt x="1009650" y="0"/>
                  </a:lnTo>
                </a:path>
              </a:pathLst>
            </a:custGeom>
            <a:noFill/>
            <a:ln w="14287">
              <a:solidFill>
                <a:srgbClr val="E0CB15"/>
              </a:solidFill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9pPr>
            </a:lstStyle>
            <a:p>
              <a:pPr algn="ctr"/>
              <a:endParaRPr/>
            </a:p>
          </xdr:txBody>
        </xdr:sp>
        <xdr:sp macro="" textlink="">
          <xdr:nvSpPr>
            <xdr:cNvPr id="250" name="Rounded Rectangle 5">
              <a:extLst>
                <a:ext uri="{FF2B5EF4-FFF2-40B4-BE49-F238E27FC236}">
                  <a16:creationId xmlns:a16="http://schemas.microsoft.com/office/drawing/2014/main" id="{AB30349B-C875-0A9A-5DD8-04FA9C6EED33}"/>
                </a:ext>
              </a:extLst>
            </xdr:cNvPr>
            <xdr:cNvSpPr/>
          </xdr:nvSpPr>
          <xdr:spPr>
            <a:xfrm>
              <a:off x="2446418" y="2085975"/>
              <a:ext cx="57150" cy="57150"/>
            </a:xfrm>
            <a:custGeom>
              <a:avLst/>
              <a:gdLst/>
              <a:ahLst/>
              <a:cxnLst/>
              <a:rect l="0" t="0" r="0" b="0"/>
              <a:pathLst>
                <a:path w="57150" h="57150">
                  <a:moveTo>
                    <a:pt x="0" y="28575"/>
                  </a:moveTo>
                  <a:cubicBezTo>
                    <a:pt x="0" y="44356"/>
                    <a:pt x="12793" y="57150"/>
                    <a:pt x="28575" y="57150"/>
                  </a:cubicBezTo>
                  <a:cubicBezTo>
                    <a:pt x="44356" y="57150"/>
                    <a:pt x="57150" y="44356"/>
                    <a:pt x="57150" y="28575"/>
                  </a:cubicBezTo>
                  <a:cubicBezTo>
                    <a:pt x="57150" y="12793"/>
                    <a:pt x="44356" y="0"/>
                    <a:pt x="28575" y="0"/>
                  </a:cubicBezTo>
                  <a:cubicBezTo>
                    <a:pt x="12793" y="0"/>
                    <a:pt x="0" y="12793"/>
                    <a:pt x="0" y="28575"/>
                  </a:cubicBezTo>
                  <a:close/>
                </a:path>
              </a:pathLst>
            </a:custGeom>
            <a:solidFill>
              <a:srgbClr val="E0CB15"/>
            </a:solidFill>
            <a:ln w="14287">
              <a:solidFill>
                <a:srgbClr val="E0CB15"/>
              </a:solidFill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9pPr>
            </a:lstStyle>
            <a:p>
              <a:pPr algn="ctr"/>
              <a:endParaRPr/>
            </a:p>
          </xdr:txBody>
        </xdr:sp>
        <xdr:sp macro="" textlink="">
          <xdr:nvSpPr>
            <xdr:cNvPr id="251" name="Rounded Rectangle 6">
              <a:extLst>
                <a:ext uri="{FF2B5EF4-FFF2-40B4-BE49-F238E27FC236}">
                  <a16:creationId xmlns:a16="http://schemas.microsoft.com/office/drawing/2014/main" id="{02DEA0C1-2383-1A99-E9D3-5B614B0C64D3}"/>
                </a:ext>
              </a:extLst>
            </xdr:cNvPr>
            <xdr:cNvSpPr/>
          </xdr:nvSpPr>
          <xdr:spPr>
            <a:xfrm>
              <a:off x="3456068" y="2085975"/>
              <a:ext cx="57150" cy="57150"/>
            </a:xfrm>
            <a:custGeom>
              <a:avLst/>
              <a:gdLst/>
              <a:ahLst/>
              <a:cxnLst/>
              <a:rect l="0" t="0" r="0" b="0"/>
              <a:pathLst>
                <a:path w="57150" h="57150">
                  <a:moveTo>
                    <a:pt x="0" y="28575"/>
                  </a:moveTo>
                  <a:cubicBezTo>
                    <a:pt x="0" y="44356"/>
                    <a:pt x="12793" y="57150"/>
                    <a:pt x="28575" y="57150"/>
                  </a:cubicBezTo>
                  <a:cubicBezTo>
                    <a:pt x="44356" y="57150"/>
                    <a:pt x="57150" y="44356"/>
                    <a:pt x="57150" y="28575"/>
                  </a:cubicBezTo>
                  <a:cubicBezTo>
                    <a:pt x="57150" y="12793"/>
                    <a:pt x="44356" y="0"/>
                    <a:pt x="28575" y="0"/>
                  </a:cubicBezTo>
                  <a:cubicBezTo>
                    <a:pt x="12793" y="0"/>
                    <a:pt x="0" y="12793"/>
                    <a:pt x="0" y="28575"/>
                  </a:cubicBezTo>
                  <a:close/>
                </a:path>
              </a:pathLst>
            </a:custGeom>
            <a:solidFill>
              <a:srgbClr val="E0CB15"/>
            </a:solidFill>
            <a:ln w="14287">
              <a:solidFill>
                <a:srgbClr val="E0CB15"/>
              </a:solidFill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9pPr>
            </a:lstStyle>
            <a:p>
              <a:pPr algn="ctr"/>
              <a:endParaRPr/>
            </a:p>
          </xdr:txBody>
        </xdr:sp>
      </xdr:grpSp>
      <xdr:sp macro="" textlink="">
        <xdr:nvSpPr>
          <xdr:cNvPr id="222" name="Rounded Rectangle 8">
            <a:extLst>
              <a:ext uri="{FF2B5EF4-FFF2-40B4-BE49-F238E27FC236}">
                <a16:creationId xmlns:a16="http://schemas.microsoft.com/office/drawing/2014/main" id="{37C7C87A-5C00-B4FE-A9B9-F0CBA7961FFB}"/>
              </a:ext>
            </a:extLst>
          </xdr:cNvPr>
          <xdr:cNvSpPr/>
        </xdr:nvSpPr>
        <xdr:spPr>
          <a:xfrm>
            <a:off x="3015438" y="3560006"/>
            <a:ext cx="393632" cy="685800"/>
          </a:xfrm>
          <a:custGeom>
            <a:avLst/>
            <a:gdLst/>
            <a:ahLst/>
            <a:cxnLst/>
            <a:rect l="0" t="0" r="0" b="0"/>
            <a:pathLst>
              <a:path w="393632" h="685800">
                <a:moveTo>
                  <a:pt x="0" y="685800"/>
                </a:moveTo>
                <a:lnTo>
                  <a:pt x="167199" y="685800"/>
                </a:lnTo>
                <a:cubicBezTo>
                  <a:pt x="187526" y="685800"/>
                  <a:pt x="206322" y="675003"/>
                  <a:pt x="216565" y="657445"/>
                </a:cubicBezTo>
                <a:lnTo>
                  <a:pt x="383252" y="371695"/>
                </a:lnTo>
                <a:cubicBezTo>
                  <a:pt x="393632" y="353901"/>
                  <a:pt x="393632" y="331897"/>
                  <a:pt x="383252" y="314104"/>
                </a:cubicBezTo>
                <a:lnTo>
                  <a:pt x="216565" y="28354"/>
                </a:lnTo>
                <a:cubicBezTo>
                  <a:pt x="206322" y="10796"/>
                  <a:pt x="187526" y="0"/>
                  <a:pt x="167199" y="0"/>
                </a:cubicBezTo>
                <a:lnTo>
                  <a:pt x="0" y="0"/>
                </a:lnTo>
              </a:path>
            </a:pathLst>
          </a:custGeom>
          <a:noFill/>
          <a:ln w="14287">
            <a:solidFill>
              <a:srgbClr val="DE8431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223" name="Rounded Rectangle 9">
            <a:extLst>
              <a:ext uri="{FF2B5EF4-FFF2-40B4-BE49-F238E27FC236}">
                <a16:creationId xmlns:a16="http://schemas.microsoft.com/office/drawing/2014/main" id="{1D3A7C69-C4AC-5E60-B1D7-4AC45909C59B}"/>
              </a:ext>
            </a:extLst>
          </xdr:cNvPr>
          <xdr:cNvSpPr/>
        </xdr:nvSpPr>
        <xdr:spPr>
          <a:xfrm>
            <a:off x="4328935" y="2874169"/>
            <a:ext cx="3093700" cy="2743200"/>
          </a:xfrm>
          <a:custGeom>
            <a:avLst/>
            <a:gdLst/>
            <a:ahLst/>
            <a:cxnLst/>
            <a:rect l="0" t="0" r="0" b="0"/>
            <a:pathLst>
              <a:path w="3093700" h="2743200">
                <a:moveTo>
                  <a:pt x="40328" y="1257957"/>
                </a:moveTo>
                <a:cubicBezTo>
                  <a:pt x="0" y="1328356"/>
                  <a:pt x="0" y="1414843"/>
                  <a:pt x="40328" y="1485242"/>
                </a:cubicBezTo>
                <a:lnTo>
                  <a:pt x="695172" y="2628242"/>
                </a:lnTo>
                <a:cubicBezTo>
                  <a:pt x="735911" y="2699337"/>
                  <a:pt x="811587" y="2743200"/>
                  <a:pt x="893530" y="2743200"/>
                </a:cubicBezTo>
                <a:lnTo>
                  <a:pt x="2200170" y="2743200"/>
                </a:lnTo>
                <a:cubicBezTo>
                  <a:pt x="2282113" y="2743200"/>
                  <a:pt x="2357789" y="2699337"/>
                  <a:pt x="2398528" y="2628242"/>
                </a:cubicBezTo>
                <a:lnTo>
                  <a:pt x="3053372" y="1485242"/>
                </a:lnTo>
                <a:cubicBezTo>
                  <a:pt x="3093700" y="1414843"/>
                  <a:pt x="3093700" y="1328356"/>
                  <a:pt x="3053372" y="1257957"/>
                </a:cubicBezTo>
                <a:lnTo>
                  <a:pt x="2398528" y="114957"/>
                </a:lnTo>
                <a:cubicBezTo>
                  <a:pt x="2357789" y="43862"/>
                  <a:pt x="2282113" y="0"/>
                  <a:pt x="2200170" y="0"/>
                </a:cubicBezTo>
                <a:lnTo>
                  <a:pt x="893530" y="0"/>
                </a:lnTo>
                <a:cubicBezTo>
                  <a:pt x="811587" y="0"/>
                  <a:pt x="735911" y="43862"/>
                  <a:pt x="695172" y="114957"/>
                </a:cubicBezTo>
                <a:lnTo>
                  <a:pt x="40328" y="1257957"/>
                </a:lnTo>
                <a:moveTo>
                  <a:pt x="564203" y="1600857"/>
                </a:moveTo>
                <a:lnTo>
                  <a:pt x="957110" y="915057"/>
                </a:lnTo>
                <a:cubicBezTo>
                  <a:pt x="997848" y="843962"/>
                  <a:pt x="1073524" y="800100"/>
                  <a:pt x="1155468" y="800100"/>
                </a:cubicBezTo>
                <a:lnTo>
                  <a:pt x="1938232" y="800100"/>
                </a:lnTo>
                <a:cubicBezTo>
                  <a:pt x="2020176" y="800100"/>
                  <a:pt x="2095852" y="843962"/>
                  <a:pt x="2136590" y="915057"/>
                </a:cubicBezTo>
                <a:lnTo>
                  <a:pt x="2529497" y="1600857"/>
                </a:lnTo>
                <a:cubicBezTo>
                  <a:pt x="2569825" y="1671256"/>
                  <a:pt x="2569825" y="1757743"/>
                  <a:pt x="2529497" y="1828142"/>
                </a:cubicBezTo>
                <a:lnTo>
                  <a:pt x="2136590" y="2513942"/>
                </a:lnTo>
                <a:cubicBezTo>
                  <a:pt x="2095852" y="2585037"/>
                  <a:pt x="2020176" y="2628900"/>
                  <a:pt x="1938232" y="2628900"/>
                </a:cubicBezTo>
                <a:lnTo>
                  <a:pt x="1155468" y="2628900"/>
                </a:lnTo>
                <a:cubicBezTo>
                  <a:pt x="1073524" y="2628900"/>
                  <a:pt x="997848" y="2585037"/>
                  <a:pt x="957110" y="2513942"/>
                </a:cubicBezTo>
                <a:lnTo>
                  <a:pt x="564203" y="1828142"/>
                </a:lnTo>
                <a:cubicBezTo>
                  <a:pt x="523884" y="1757743"/>
                  <a:pt x="523884" y="1671256"/>
                  <a:pt x="564203" y="1600857"/>
                </a:cubicBezTo>
              </a:path>
            </a:pathLst>
          </a:custGeom>
          <a:solidFill>
            <a:srgbClr val="DE8431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224" name="Rounded Rectangle 10">
            <a:extLst>
              <a:ext uri="{FF2B5EF4-FFF2-40B4-BE49-F238E27FC236}">
                <a16:creationId xmlns:a16="http://schemas.microsoft.com/office/drawing/2014/main" id="{56C709D9-9E89-36DE-DE62-AF873689B2D7}"/>
              </a:ext>
            </a:extLst>
          </xdr:cNvPr>
          <xdr:cNvSpPr/>
        </xdr:nvSpPr>
        <xdr:spPr>
          <a:xfrm>
            <a:off x="4328940" y="2874169"/>
            <a:ext cx="3093696" cy="2743200"/>
          </a:xfrm>
          <a:custGeom>
            <a:avLst/>
            <a:gdLst/>
            <a:ahLst/>
            <a:cxnLst/>
            <a:rect l="0" t="0" r="0" b="0"/>
            <a:pathLst>
              <a:path w="3093696" h="2743200">
                <a:moveTo>
                  <a:pt x="40328" y="1257960"/>
                </a:moveTo>
                <a:cubicBezTo>
                  <a:pt x="0" y="1328352"/>
                  <a:pt x="0" y="1414847"/>
                  <a:pt x="40328" y="1485239"/>
                </a:cubicBezTo>
                <a:lnTo>
                  <a:pt x="695172" y="2628239"/>
                </a:lnTo>
                <a:cubicBezTo>
                  <a:pt x="735908" y="2699341"/>
                  <a:pt x="811583" y="2743200"/>
                  <a:pt x="893525" y="2743200"/>
                </a:cubicBezTo>
                <a:lnTo>
                  <a:pt x="2200170" y="2743200"/>
                </a:lnTo>
                <a:cubicBezTo>
                  <a:pt x="2282112" y="2743200"/>
                  <a:pt x="2357788" y="2699341"/>
                  <a:pt x="2398522" y="2628239"/>
                </a:cubicBezTo>
                <a:lnTo>
                  <a:pt x="3053366" y="1485239"/>
                </a:lnTo>
                <a:cubicBezTo>
                  <a:pt x="3093696" y="1414847"/>
                  <a:pt x="3093696" y="1328352"/>
                  <a:pt x="3053366" y="1257960"/>
                </a:cubicBezTo>
                <a:lnTo>
                  <a:pt x="2398522" y="114960"/>
                </a:lnTo>
                <a:cubicBezTo>
                  <a:pt x="2357788" y="43859"/>
                  <a:pt x="2282112" y="0"/>
                  <a:pt x="2200170" y="0"/>
                </a:cubicBezTo>
                <a:lnTo>
                  <a:pt x="893525" y="0"/>
                </a:lnTo>
                <a:cubicBezTo>
                  <a:pt x="811582" y="0"/>
                  <a:pt x="735907" y="43859"/>
                  <a:pt x="695172" y="114960"/>
                </a:cubicBezTo>
                <a:close/>
                <a:moveTo>
                  <a:pt x="564203" y="1600860"/>
                </a:moveTo>
                <a:lnTo>
                  <a:pt x="957110" y="915060"/>
                </a:lnTo>
                <a:cubicBezTo>
                  <a:pt x="997844" y="843959"/>
                  <a:pt x="1073519" y="800100"/>
                  <a:pt x="1155463" y="800100"/>
                </a:cubicBezTo>
                <a:lnTo>
                  <a:pt x="1938232" y="800100"/>
                </a:lnTo>
                <a:cubicBezTo>
                  <a:pt x="2020175" y="800100"/>
                  <a:pt x="2095850" y="843959"/>
                  <a:pt x="2136585" y="915060"/>
                </a:cubicBezTo>
                <a:lnTo>
                  <a:pt x="2529491" y="1600860"/>
                </a:lnTo>
                <a:cubicBezTo>
                  <a:pt x="2569821" y="1671252"/>
                  <a:pt x="2569821" y="1757747"/>
                  <a:pt x="2529491" y="1828139"/>
                </a:cubicBezTo>
                <a:lnTo>
                  <a:pt x="2136585" y="2513939"/>
                </a:lnTo>
                <a:cubicBezTo>
                  <a:pt x="2095850" y="2585041"/>
                  <a:pt x="2020175" y="2628900"/>
                  <a:pt x="1938232" y="2628900"/>
                </a:cubicBezTo>
                <a:lnTo>
                  <a:pt x="1155463" y="2628900"/>
                </a:lnTo>
                <a:cubicBezTo>
                  <a:pt x="1073520" y="2628900"/>
                  <a:pt x="997845" y="2585041"/>
                  <a:pt x="957110" y="2513939"/>
                </a:cubicBezTo>
                <a:lnTo>
                  <a:pt x="564203" y="1828139"/>
                </a:lnTo>
                <a:cubicBezTo>
                  <a:pt x="523875" y="1757747"/>
                  <a:pt x="523875" y="1671252"/>
                  <a:pt x="564203" y="1600860"/>
                </a:cubicBezTo>
                <a:close/>
              </a:path>
            </a:pathLst>
          </a:custGeom>
          <a:noFill/>
          <a:ln w="14287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grpSp>
        <xdr:nvGrpSpPr>
          <xdr:cNvPr id="225" name="Group 224">
            <a:extLst>
              <a:ext uri="{FF2B5EF4-FFF2-40B4-BE49-F238E27FC236}">
                <a16:creationId xmlns:a16="http://schemas.microsoft.com/office/drawing/2014/main" id="{028D7AA6-4AB0-0E14-54F9-D0B72243F7F7}"/>
              </a:ext>
            </a:extLst>
          </xdr:cNvPr>
          <xdr:cNvGrpSpPr/>
        </xdr:nvGrpSpPr>
        <xdr:grpSpPr>
          <a:xfrm>
            <a:off x="3386913" y="3874294"/>
            <a:ext cx="1143000" cy="57150"/>
            <a:chOff x="2446418" y="3228975"/>
            <a:chExt cx="1143000" cy="57150"/>
          </a:xfrm>
        </xdr:grpSpPr>
        <xdr:sp macro="" textlink="">
          <xdr:nvSpPr>
            <xdr:cNvPr id="246" name="Rounded Rectangle 11">
              <a:extLst>
                <a:ext uri="{FF2B5EF4-FFF2-40B4-BE49-F238E27FC236}">
                  <a16:creationId xmlns:a16="http://schemas.microsoft.com/office/drawing/2014/main" id="{74A4CCE4-0B71-6325-3085-BDEF309CF17E}"/>
                </a:ext>
              </a:extLst>
            </xdr:cNvPr>
            <xdr:cNvSpPr/>
          </xdr:nvSpPr>
          <xdr:spPr>
            <a:xfrm>
              <a:off x="2474993" y="3257550"/>
              <a:ext cx="1085850" cy="9525"/>
            </a:xfrm>
            <a:custGeom>
              <a:avLst/>
              <a:gdLst/>
              <a:ahLst/>
              <a:cxnLst/>
              <a:rect l="0" t="0" r="0" b="0"/>
              <a:pathLst>
                <a:path w="1085850" h="9525">
                  <a:moveTo>
                    <a:pt x="0" y="0"/>
                  </a:moveTo>
                  <a:lnTo>
                    <a:pt x="1085850" y="0"/>
                  </a:lnTo>
                </a:path>
              </a:pathLst>
            </a:custGeom>
            <a:noFill/>
            <a:ln w="14287">
              <a:solidFill>
                <a:srgbClr val="DE8431"/>
              </a:solidFill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9pPr>
            </a:lstStyle>
            <a:p>
              <a:pPr algn="ctr"/>
              <a:endParaRPr/>
            </a:p>
          </xdr:txBody>
        </xdr:sp>
        <xdr:sp macro="" textlink="">
          <xdr:nvSpPr>
            <xdr:cNvPr id="247" name="Rounded Rectangle 12">
              <a:extLst>
                <a:ext uri="{FF2B5EF4-FFF2-40B4-BE49-F238E27FC236}">
                  <a16:creationId xmlns:a16="http://schemas.microsoft.com/office/drawing/2014/main" id="{9C21FA7E-1472-6DF3-E83D-36604B370A85}"/>
                </a:ext>
              </a:extLst>
            </xdr:cNvPr>
            <xdr:cNvSpPr/>
          </xdr:nvSpPr>
          <xdr:spPr>
            <a:xfrm>
              <a:off x="2446418" y="3228975"/>
              <a:ext cx="57150" cy="57150"/>
            </a:xfrm>
            <a:custGeom>
              <a:avLst/>
              <a:gdLst/>
              <a:ahLst/>
              <a:cxnLst/>
              <a:rect l="0" t="0" r="0" b="0"/>
              <a:pathLst>
                <a:path w="57150" h="57150">
                  <a:moveTo>
                    <a:pt x="0" y="28575"/>
                  </a:moveTo>
                  <a:cubicBezTo>
                    <a:pt x="0" y="44356"/>
                    <a:pt x="12793" y="57150"/>
                    <a:pt x="28575" y="57150"/>
                  </a:cubicBezTo>
                  <a:cubicBezTo>
                    <a:pt x="44356" y="57150"/>
                    <a:pt x="57150" y="44356"/>
                    <a:pt x="57150" y="28575"/>
                  </a:cubicBezTo>
                  <a:cubicBezTo>
                    <a:pt x="57150" y="12793"/>
                    <a:pt x="44356" y="0"/>
                    <a:pt x="28575" y="0"/>
                  </a:cubicBezTo>
                  <a:cubicBezTo>
                    <a:pt x="12793" y="0"/>
                    <a:pt x="0" y="12793"/>
                    <a:pt x="0" y="28575"/>
                  </a:cubicBezTo>
                  <a:close/>
                </a:path>
              </a:pathLst>
            </a:custGeom>
            <a:solidFill>
              <a:srgbClr val="DE8431"/>
            </a:solidFill>
            <a:ln w="14287">
              <a:solidFill>
                <a:srgbClr val="DE8431"/>
              </a:solidFill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9pPr>
            </a:lstStyle>
            <a:p>
              <a:pPr algn="ctr"/>
              <a:endParaRPr/>
            </a:p>
          </xdr:txBody>
        </xdr:sp>
        <xdr:sp macro="" textlink="">
          <xdr:nvSpPr>
            <xdr:cNvPr id="248" name="Rounded Rectangle 13">
              <a:extLst>
                <a:ext uri="{FF2B5EF4-FFF2-40B4-BE49-F238E27FC236}">
                  <a16:creationId xmlns:a16="http://schemas.microsoft.com/office/drawing/2014/main" id="{CD513039-2C32-CB0D-C34D-D1B25572125D}"/>
                </a:ext>
              </a:extLst>
            </xdr:cNvPr>
            <xdr:cNvSpPr/>
          </xdr:nvSpPr>
          <xdr:spPr>
            <a:xfrm>
              <a:off x="3532268" y="3228975"/>
              <a:ext cx="57150" cy="57150"/>
            </a:xfrm>
            <a:custGeom>
              <a:avLst/>
              <a:gdLst/>
              <a:ahLst/>
              <a:cxnLst/>
              <a:rect l="0" t="0" r="0" b="0"/>
              <a:pathLst>
                <a:path w="57150" h="57150">
                  <a:moveTo>
                    <a:pt x="0" y="28575"/>
                  </a:moveTo>
                  <a:cubicBezTo>
                    <a:pt x="0" y="44356"/>
                    <a:pt x="12793" y="57150"/>
                    <a:pt x="28575" y="57150"/>
                  </a:cubicBezTo>
                  <a:cubicBezTo>
                    <a:pt x="44356" y="57150"/>
                    <a:pt x="57150" y="44356"/>
                    <a:pt x="57150" y="28575"/>
                  </a:cubicBezTo>
                  <a:cubicBezTo>
                    <a:pt x="57150" y="12793"/>
                    <a:pt x="44356" y="0"/>
                    <a:pt x="28575" y="0"/>
                  </a:cubicBezTo>
                  <a:cubicBezTo>
                    <a:pt x="12793" y="0"/>
                    <a:pt x="0" y="12793"/>
                    <a:pt x="0" y="28575"/>
                  </a:cubicBezTo>
                  <a:close/>
                </a:path>
              </a:pathLst>
            </a:custGeom>
            <a:solidFill>
              <a:srgbClr val="DE8431"/>
            </a:solidFill>
            <a:ln w="14287">
              <a:solidFill>
                <a:srgbClr val="DE8431"/>
              </a:solidFill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9pPr>
            </a:lstStyle>
            <a:p>
              <a:pPr algn="ctr"/>
              <a:endParaRPr/>
            </a:p>
          </xdr:txBody>
        </xdr:sp>
      </xdr:grpSp>
      <xdr:sp macro="" textlink="">
        <xdr:nvSpPr>
          <xdr:cNvPr id="226" name="Rounded Rectangle 15">
            <a:extLst>
              <a:ext uri="{FF2B5EF4-FFF2-40B4-BE49-F238E27FC236}">
                <a16:creationId xmlns:a16="http://schemas.microsoft.com/office/drawing/2014/main" id="{438EAB19-DD5D-7A9C-9BAD-7C66469E1FA6}"/>
              </a:ext>
            </a:extLst>
          </xdr:cNvPr>
          <xdr:cNvSpPr/>
        </xdr:nvSpPr>
        <xdr:spPr>
          <a:xfrm>
            <a:off x="3015438" y="4703006"/>
            <a:ext cx="393632" cy="685800"/>
          </a:xfrm>
          <a:custGeom>
            <a:avLst/>
            <a:gdLst/>
            <a:ahLst/>
            <a:cxnLst/>
            <a:rect l="0" t="0" r="0" b="0"/>
            <a:pathLst>
              <a:path w="393632" h="685800">
                <a:moveTo>
                  <a:pt x="0" y="685800"/>
                </a:moveTo>
                <a:lnTo>
                  <a:pt x="167199" y="685800"/>
                </a:lnTo>
                <a:cubicBezTo>
                  <a:pt x="187526" y="685800"/>
                  <a:pt x="206322" y="675003"/>
                  <a:pt x="216565" y="657445"/>
                </a:cubicBezTo>
                <a:lnTo>
                  <a:pt x="383252" y="371695"/>
                </a:lnTo>
                <a:cubicBezTo>
                  <a:pt x="393632" y="353901"/>
                  <a:pt x="393632" y="331897"/>
                  <a:pt x="383252" y="314104"/>
                </a:cubicBezTo>
                <a:lnTo>
                  <a:pt x="216565" y="28354"/>
                </a:lnTo>
                <a:cubicBezTo>
                  <a:pt x="206322" y="10796"/>
                  <a:pt x="187526" y="0"/>
                  <a:pt x="167199" y="0"/>
                </a:cubicBezTo>
                <a:lnTo>
                  <a:pt x="0" y="0"/>
                </a:lnTo>
              </a:path>
            </a:pathLst>
          </a:custGeom>
          <a:noFill/>
          <a:ln w="14287">
            <a:solidFill>
              <a:srgbClr val="E55753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227" name="Rounded Rectangle 16">
            <a:extLst>
              <a:ext uri="{FF2B5EF4-FFF2-40B4-BE49-F238E27FC236}">
                <a16:creationId xmlns:a16="http://schemas.microsoft.com/office/drawing/2014/main" id="{1FAD61B1-955C-3F31-8162-A64F631C0244}"/>
              </a:ext>
            </a:extLst>
          </xdr:cNvPr>
          <xdr:cNvSpPr/>
        </xdr:nvSpPr>
        <xdr:spPr>
          <a:xfrm>
            <a:off x="4852810" y="3674306"/>
            <a:ext cx="2045950" cy="1828800"/>
          </a:xfrm>
          <a:custGeom>
            <a:avLst/>
            <a:gdLst/>
            <a:ahLst/>
            <a:cxnLst/>
            <a:rect l="0" t="0" r="0" b="0"/>
            <a:pathLst>
              <a:path w="2045950" h="1828800">
                <a:moveTo>
                  <a:pt x="40328" y="1028042"/>
                </a:moveTo>
                <a:cubicBezTo>
                  <a:pt x="0" y="957643"/>
                  <a:pt x="0" y="871156"/>
                  <a:pt x="40328" y="800757"/>
                </a:cubicBezTo>
                <a:lnTo>
                  <a:pt x="433235" y="114957"/>
                </a:lnTo>
                <a:cubicBezTo>
                  <a:pt x="473973" y="43862"/>
                  <a:pt x="549649" y="0"/>
                  <a:pt x="631593" y="0"/>
                </a:cubicBezTo>
                <a:lnTo>
                  <a:pt x="1414357" y="0"/>
                </a:lnTo>
                <a:cubicBezTo>
                  <a:pt x="1496301" y="0"/>
                  <a:pt x="1571977" y="43862"/>
                  <a:pt x="1612715" y="114957"/>
                </a:cubicBezTo>
                <a:lnTo>
                  <a:pt x="2005622" y="800757"/>
                </a:lnTo>
                <a:cubicBezTo>
                  <a:pt x="2045950" y="871156"/>
                  <a:pt x="2045950" y="957643"/>
                  <a:pt x="2005622" y="1028042"/>
                </a:cubicBezTo>
                <a:lnTo>
                  <a:pt x="1612715" y="1713842"/>
                </a:lnTo>
                <a:cubicBezTo>
                  <a:pt x="1571977" y="1784937"/>
                  <a:pt x="1496301" y="1828800"/>
                  <a:pt x="1414357" y="1828800"/>
                </a:cubicBezTo>
                <a:lnTo>
                  <a:pt x="631593" y="1828800"/>
                </a:lnTo>
                <a:cubicBezTo>
                  <a:pt x="549649" y="1828800"/>
                  <a:pt x="473973" y="1784937"/>
                  <a:pt x="433235" y="1713842"/>
                </a:cubicBezTo>
                <a:lnTo>
                  <a:pt x="40328" y="1028042"/>
                </a:lnTo>
              </a:path>
            </a:pathLst>
          </a:custGeom>
          <a:solidFill>
            <a:srgbClr val="E55753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228" name="Rounded Rectangle 17">
            <a:extLst>
              <a:ext uri="{FF2B5EF4-FFF2-40B4-BE49-F238E27FC236}">
                <a16:creationId xmlns:a16="http://schemas.microsoft.com/office/drawing/2014/main" id="{5F30FF39-EC25-49C5-4420-972CFF688EBF}"/>
              </a:ext>
            </a:extLst>
          </xdr:cNvPr>
          <xdr:cNvSpPr/>
        </xdr:nvSpPr>
        <xdr:spPr>
          <a:xfrm>
            <a:off x="4852815" y="3674306"/>
            <a:ext cx="2045946" cy="1828800"/>
          </a:xfrm>
          <a:custGeom>
            <a:avLst/>
            <a:gdLst/>
            <a:ahLst/>
            <a:cxnLst/>
            <a:rect l="0" t="0" r="0" b="0"/>
            <a:pathLst>
              <a:path w="2045946" h="1828800">
                <a:moveTo>
                  <a:pt x="40328" y="1028039"/>
                </a:moveTo>
                <a:cubicBezTo>
                  <a:pt x="0" y="957647"/>
                  <a:pt x="0" y="871152"/>
                  <a:pt x="40328" y="800760"/>
                </a:cubicBezTo>
                <a:lnTo>
                  <a:pt x="433235" y="114960"/>
                </a:lnTo>
                <a:cubicBezTo>
                  <a:pt x="473970" y="43858"/>
                  <a:pt x="549645" y="0"/>
                  <a:pt x="631588" y="0"/>
                </a:cubicBezTo>
                <a:lnTo>
                  <a:pt x="1414357" y="0"/>
                </a:lnTo>
                <a:cubicBezTo>
                  <a:pt x="1496300" y="0"/>
                  <a:pt x="1571975" y="43859"/>
                  <a:pt x="1612711" y="114960"/>
                </a:cubicBezTo>
                <a:lnTo>
                  <a:pt x="2005617" y="800760"/>
                </a:lnTo>
                <a:cubicBezTo>
                  <a:pt x="2045946" y="871152"/>
                  <a:pt x="2045946" y="957647"/>
                  <a:pt x="2005617" y="1028039"/>
                </a:cubicBezTo>
                <a:lnTo>
                  <a:pt x="1612710" y="1713839"/>
                </a:lnTo>
                <a:cubicBezTo>
                  <a:pt x="1571975" y="1784941"/>
                  <a:pt x="1496300" y="1828800"/>
                  <a:pt x="1414357" y="1828800"/>
                </a:cubicBezTo>
                <a:lnTo>
                  <a:pt x="631588" y="1828800"/>
                </a:lnTo>
                <a:cubicBezTo>
                  <a:pt x="549645" y="1828800"/>
                  <a:pt x="473970" y="1784940"/>
                  <a:pt x="433235" y="1713839"/>
                </a:cubicBezTo>
                <a:lnTo>
                  <a:pt x="40328" y="1028039"/>
                </a:lnTo>
                <a:close/>
              </a:path>
            </a:pathLst>
          </a:custGeom>
          <a:noFill/>
          <a:ln w="14287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grpSp>
        <xdr:nvGrpSpPr>
          <xdr:cNvPr id="229" name="Group 228">
            <a:extLst>
              <a:ext uri="{FF2B5EF4-FFF2-40B4-BE49-F238E27FC236}">
                <a16:creationId xmlns:a16="http://schemas.microsoft.com/office/drawing/2014/main" id="{CB28CC1C-59F1-DD72-654D-2D816868ABAC}"/>
              </a:ext>
            </a:extLst>
          </xdr:cNvPr>
          <xdr:cNvGrpSpPr/>
        </xdr:nvGrpSpPr>
        <xdr:grpSpPr>
          <a:xfrm>
            <a:off x="3386913" y="5017294"/>
            <a:ext cx="1733550" cy="57150"/>
            <a:chOff x="2446418" y="4371975"/>
            <a:chExt cx="1733550" cy="57150"/>
          </a:xfrm>
        </xdr:grpSpPr>
        <xdr:sp macro="" textlink="">
          <xdr:nvSpPr>
            <xdr:cNvPr id="243" name="Rounded Rectangle 18">
              <a:extLst>
                <a:ext uri="{FF2B5EF4-FFF2-40B4-BE49-F238E27FC236}">
                  <a16:creationId xmlns:a16="http://schemas.microsoft.com/office/drawing/2014/main" id="{BAFDA0AC-836D-79B9-610C-DD4EE3757D38}"/>
                </a:ext>
              </a:extLst>
            </xdr:cNvPr>
            <xdr:cNvSpPr/>
          </xdr:nvSpPr>
          <xdr:spPr>
            <a:xfrm>
              <a:off x="2474993" y="4400550"/>
              <a:ext cx="1676400" cy="9525"/>
            </a:xfrm>
            <a:custGeom>
              <a:avLst/>
              <a:gdLst/>
              <a:ahLst/>
              <a:cxnLst/>
              <a:rect l="0" t="0" r="0" b="0"/>
              <a:pathLst>
                <a:path w="1676400" h="9525">
                  <a:moveTo>
                    <a:pt x="0" y="0"/>
                  </a:moveTo>
                  <a:lnTo>
                    <a:pt x="1676400" y="0"/>
                  </a:lnTo>
                </a:path>
              </a:pathLst>
            </a:custGeom>
            <a:noFill/>
            <a:ln w="14287">
              <a:solidFill>
                <a:srgbClr val="E55753"/>
              </a:solidFill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9pPr>
            </a:lstStyle>
            <a:p>
              <a:pPr algn="ctr"/>
              <a:endParaRPr/>
            </a:p>
          </xdr:txBody>
        </xdr:sp>
        <xdr:sp macro="" textlink="">
          <xdr:nvSpPr>
            <xdr:cNvPr id="244" name="Rounded Rectangle 19">
              <a:extLst>
                <a:ext uri="{FF2B5EF4-FFF2-40B4-BE49-F238E27FC236}">
                  <a16:creationId xmlns:a16="http://schemas.microsoft.com/office/drawing/2014/main" id="{05B51EAB-7025-BB64-70C7-39126FDED997}"/>
                </a:ext>
              </a:extLst>
            </xdr:cNvPr>
            <xdr:cNvSpPr/>
          </xdr:nvSpPr>
          <xdr:spPr>
            <a:xfrm>
              <a:off x="2446418" y="4371975"/>
              <a:ext cx="57150" cy="57150"/>
            </a:xfrm>
            <a:custGeom>
              <a:avLst/>
              <a:gdLst/>
              <a:ahLst/>
              <a:cxnLst/>
              <a:rect l="0" t="0" r="0" b="0"/>
              <a:pathLst>
                <a:path w="57150" h="57150">
                  <a:moveTo>
                    <a:pt x="0" y="28575"/>
                  </a:moveTo>
                  <a:cubicBezTo>
                    <a:pt x="0" y="44356"/>
                    <a:pt x="12793" y="57150"/>
                    <a:pt x="28575" y="57150"/>
                  </a:cubicBezTo>
                  <a:cubicBezTo>
                    <a:pt x="44356" y="57150"/>
                    <a:pt x="57150" y="44356"/>
                    <a:pt x="57150" y="28575"/>
                  </a:cubicBezTo>
                  <a:cubicBezTo>
                    <a:pt x="57150" y="12793"/>
                    <a:pt x="44356" y="0"/>
                    <a:pt x="28575" y="0"/>
                  </a:cubicBezTo>
                  <a:cubicBezTo>
                    <a:pt x="12793" y="0"/>
                    <a:pt x="0" y="12793"/>
                    <a:pt x="0" y="28575"/>
                  </a:cubicBezTo>
                  <a:close/>
                </a:path>
              </a:pathLst>
            </a:custGeom>
            <a:solidFill>
              <a:srgbClr val="E55753"/>
            </a:solidFill>
            <a:ln w="14287">
              <a:solidFill>
                <a:srgbClr val="E55753"/>
              </a:solidFill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9pPr>
            </a:lstStyle>
            <a:p>
              <a:pPr algn="ctr"/>
              <a:endParaRPr/>
            </a:p>
          </xdr:txBody>
        </xdr:sp>
        <xdr:sp macro="" textlink="">
          <xdr:nvSpPr>
            <xdr:cNvPr id="245" name="Rounded Rectangle 20">
              <a:extLst>
                <a:ext uri="{FF2B5EF4-FFF2-40B4-BE49-F238E27FC236}">
                  <a16:creationId xmlns:a16="http://schemas.microsoft.com/office/drawing/2014/main" id="{10391597-9BF7-E4A1-FE46-82B855A813AF}"/>
                </a:ext>
              </a:extLst>
            </xdr:cNvPr>
            <xdr:cNvSpPr/>
          </xdr:nvSpPr>
          <xdr:spPr>
            <a:xfrm>
              <a:off x="4122818" y="4371975"/>
              <a:ext cx="57150" cy="57150"/>
            </a:xfrm>
            <a:custGeom>
              <a:avLst/>
              <a:gdLst/>
              <a:ahLst/>
              <a:cxnLst/>
              <a:rect l="0" t="0" r="0" b="0"/>
              <a:pathLst>
                <a:path w="57150" h="57150">
                  <a:moveTo>
                    <a:pt x="0" y="28575"/>
                  </a:moveTo>
                  <a:cubicBezTo>
                    <a:pt x="0" y="44356"/>
                    <a:pt x="12793" y="57150"/>
                    <a:pt x="28575" y="57150"/>
                  </a:cubicBezTo>
                  <a:cubicBezTo>
                    <a:pt x="44356" y="57150"/>
                    <a:pt x="57150" y="44356"/>
                    <a:pt x="57150" y="28575"/>
                  </a:cubicBezTo>
                  <a:cubicBezTo>
                    <a:pt x="57150" y="12793"/>
                    <a:pt x="44356" y="0"/>
                    <a:pt x="28575" y="0"/>
                  </a:cubicBezTo>
                  <a:cubicBezTo>
                    <a:pt x="12793" y="0"/>
                    <a:pt x="0" y="12793"/>
                    <a:pt x="0" y="28575"/>
                  </a:cubicBezTo>
                  <a:close/>
                </a:path>
              </a:pathLst>
            </a:custGeom>
            <a:solidFill>
              <a:srgbClr val="E55753"/>
            </a:solidFill>
            <a:ln w="14287">
              <a:solidFill>
                <a:srgbClr val="E55753"/>
              </a:solidFill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9pPr>
            </a:lstStyle>
            <a:p>
              <a:pPr algn="ctr"/>
              <a:endParaRPr/>
            </a:p>
          </xdr:txBody>
        </xdr:sp>
      </xdr:grpSp>
      <xdr:sp macro="" textlink="">
        <xdr:nvSpPr>
          <xdr:cNvPr id="230" name="TextBox 22">
            <a:extLst>
              <a:ext uri="{FF2B5EF4-FFF2-40B4-BE49-F238E27FC236}">
                <a16:creationId xmlns:a16="http://schemas.microsoft.com/office/drawing/2014/main" id="{AB685AF2-A1B8-B7A0-EB27-8AF125C388E7}"/>
              </a:ext>
            </a:extLst>
          </xdr:cNvPr>
          <xdr:cNvSpPr txBox="1"/>
        </xdr:nvSpPr>
        <xdr:spPr>
          <a:xfrm>
            <a:off x="5527187" y="3158815"/>
            <a:ext cx="844890" cy="298234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r>
              <a:rPr sz="1500" b="0">
                <a:solidFill>
                  <a:srgbClr val="FFFFFF"/>
                </a:solidFill>
                <a:latin typeface="Roboto"/>
              </a:rPr>
              <a:t>87</a:t>
            </a:r>
            <a:r>
              <a:rPr lang="en-GB" sz="1500" b="0">
                <a:solidFill>
                  <a:srgbClr val="FFFFFF"/>
                </a:solidFill>
                <a:latin typeface="Roboto"/>
              </a:rPr>
              <a:t>%</a:t>
            </a:r>
            <a:endParaRPr sz="1500" b="0">
              <a:solidFill>
                <a:srgbClr val="FFFFFF"/>
              </a:solidFill>
              <a:latin typeface="Roboto"/>
            </a:endParaRPr>
          </a:p>
        </xdr:txBody>
      </xdr:sp>
      <xdr:sp macro="" textlink="">
        <xdr:nvSpPr>
          <xdr:cNvPr id="231" name="TextBox 23">
            <a:extLst>
              <a:ext uri="{FF2B5EF4-FFF2-40B4-BE49-F238E27FC236}">
                <a16:creationId xmlns:a16="http://schemas.microsoft.com/office/drawing/2014/main" id="{C0384AAE-05AF-FA95-F312-88EE6B83ABA7}"/>
              </a:ext>
            </a:extLst>
          </xdr:cNvPr>
          <xdr:cNvSpPr txBox="1"/>
        </xdr:nvSpPr>
        <xdr:spPr>
          <a:xfrm>
            <a:off x="541388" y="5470992"/>
            <a:ext cx="2157283" cy="218643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r"/>
            <a:r>
              <a:rPr sz="1100" b="0">
                <a:solidFill>
                  <a:srgbClr val="484848"/>
                </a:solidFill>
                <a:latin typeface="Roboto"/>
              </a:rPr>
              <a:t>Room for improvement</a:t>
            </a:r>
          </a:p>
        </xdr:txBody>
      </xdr:sp>
      <xdr:sp macro="" textlink="">
        <xdr:nvSpPr>
          <xdr:cNvPr id="232" name="TextBox 24">
            <a:extLst>
              <a:ext uri="{FF2B5EF4-FFF2-40B4-BE49-F238E27FC236}">
                <a16:creationId xmlns:a16="http://schemas.microsoft.com/office/drawing/2014/main" id="{C7CF616C-9731-8498-7E59-140000774E99}"/>
              </a:ext>
            </a:extLst>
          </xdr:cNvPr>
          <xdr:cNvSpPr txBox="1"/>
        </xdr:nvSpPr>
        <xdr:spPr>
          <a:xfrm>
            <a:off x="1562628" y="3267010"/>
            <a:ext cx="1136045" cy="218643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r"/>
            <a:r>
              <a:rPr sz="1100" b="0">
                <a:solidFill>
                  <a:srgbClr val="484848"/>
                </a:solidFill>
                <a:latin typeface="Roboto"/>
              </a:rPr>
              <a:t>Desired goal</a:t>
            </a:r>
          </a:p>
        </xdr:txBody>
      </xdr:sp>
      <xdr:sp macro="" textlink="">
        <xdr:nvSpPr>
          <xdr:cNvPr id="233" name="TextBox 25">
            <a:extLst>
              <a:ext uri="{FF2B5EF4-FFF2-40B4-BE49-F238E27FC236}">
                <a16:creationId xmlns:a16="http://schemas.microsoft.com/office/drawing/2014/main" id="{D4807B49-F2DE-62F6-66D3-C5EAC4000D10}"/>
              </a:ext>
            </a:extLst>
          </xdr:cNvPr>
          <xdr:cNvSpPr txBox="1"/>
        </xdr:nvSpPr>
        <xdr:spPr>
          <a:xfrm>
            <a:off x="1573752" y="2666414"/>
            <a:ext cx="1079744" cy="461665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r"/>
            <a:r>
              <a:rPr sz="1500" b="1">
                <a:solidFill>
                  <a:srgbClr val="E0CB15"/>
                </a:solidFill>
                <a:latin typeface="Roboto"/>
              </a:rPr>
              <a:t>Target Value</a:t>
            </a:r>
          </a:p>
        </xdr:txBody>
      </xdr:sp>
      <xdr:sp macro="" textlink="">
        <xdr:nvSpPr>
          <xdr:cNvPr id="234" name="TextBox 26">
            <a:extLst>
              <a:ext uri="{FF2B5EF4-FFF2-40B4-BE49-F238E27FC236}">
                <a16:creationId xmlns:a16="http://schemas.microsoft.com/office/drawing/2014/main" id="{DB2266E6-0912-00B0-094C-E684D20B127D}"/>
              </a:ext>
            </a:extLst>
          </xdr:cNvPr>
          <xdr:cNvSpPr txBox="1"/>
        </xdr:nvSpPr>
        <xdr:spPr>
          <a:xfrm>
            <a:off x="1573181" y="3809414"/>
            <a:ext cx="1080344" cy="461665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r"/>
            <a:r>
              <a:rPr sz="1500" b="1">
                <a:solidFill>
                  <a:srgbClr val="DE8431"/>
                </a:solidFill>
                <a:latin typeface="Roboto"/>
              </a:rPr>
              <a:t>Actual Value</a:t>
            </a:r>
          </a:p>
        </xdr:txBody>
      </xdr:sp>
      <xdr:sp macro="" textlink="">
        <xdr:nvSpPr>
          <xdr:cNvPr id="235" name="TextBox 27">
            <a:extLst>
              <a:ext uri="{FF2B5EF4-FFF2-40B4-BE49-F238E27FC236}">
                <a16:creationId xmlns:a16="http://schemas.microsoft.com/office/drawing/2014/main" id="{3C301640-5649-A44E-6604-605FC09C4EBD}"/>
              </a:ext>
            </a:extLst>
          </xdr:cNvPr>
          <xdr:cNvSpPr txBox="1"/>
        </xdr:nvSpPr>
        <xdr:spPr>
          <a:xfrm>
            <a:off x="5293638" y="2318219"/>
            <a:ext cx="1135051" cy="309880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r>
              <a:rPr sz="1500" b="0">
                <a:solidFill>
                  <a:srgbClr val="FFFFFF"/>
                </a:solidFill>
                <a:latin typeface="Roboto"/>
              </a:rPr>
              <a:t>100</a:t>
            </a:r>
            <a:r>
              <a:rPr lang="en-GB" sz="1500" b="0">
                <a:solidFill>
                  <a:srgbClr val="FFFFFF"/>
                </a:solidFill>
                <a:latin typeface="Roboto"/>
              </a:rPr>
              <a:t>%</a:t>
            </a:r>
            <a:endParaRPr sz="1500" b="0">
              <a:solidFill>
                <a:srgbClr val="FFFFFF"/>
              </a:solidFill>
              <a:latin typeface="Roboto"/>
            </a:endParaRPr>
          </a:p>
        </xdr:txBody>
      </xdr:sp>
      <xdr:sp macro="" textlink="">
        <xdr:nvSpPr>
          <xdr:cNvPr id="236" name="TextBox 28">
            <a:extLst>
              <a:ext uri="{FF2B5EF4-FFF2-40B4-BE49-F238E27FC236}">
                <a16:creationId xmlns:a16="http://schemas.microsoft.com/office/drawing/2014/main" id="{11D9B485-9C61-8D18-BA4A-5CC9922CC02C}"/>
              </a:ext>
            </a:extLst>
          </xdr:cNvPr>
          <xdr:cNvSpPr txBox="1"/>
        </xdr:nvSpPr>
        <xdr:spPr>
          <a:xfrm>
            <a:off x="911784" y="4344731"/>
            <a:ext cx="1811935" cy="218830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r"/>
            <a:r>
              <a:rPr sz="1100" b="0">
                <a:solidFill>
                  <a:srgbClr val="484848"/>
                </a:solidFill>
                <a:latin typeface="Roboto"/>
              </a:rPr>
              <a:t>Current achievement</a:t>
            </a:r>
          </a:p>
        </xdr:txBody>
      </xdr:sp>
      <xdr:sp macro="" textlink="">
        <xdr:nvSpPr>
          <xdr:cNvPr id="237" name="TextBox 29">
            <a:extLst>
              <a:ext uri="{FF2B5EF4-FFF2-40B4-BE49-F238E27FC236}">
                <a16:creationId xmlns:a16="http://schemas.microsoft.com/office/drawing/2014/main" id="{FFD271F2-BE3B-FD68-C4E5-584434D049C5}"/>
              </a:ext>
            </a:extLst>
          </xdr:cNvPr>
          <xdr:cNvSpPr txBox="1"/>
        </xdr:nvSpPr>
        <xdr:spPr>
          <a:xfrm>
            <a:off x="5487183" y="4493455"/>
            <a:ext cx="907991" cy="298234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r>
              <a:rPr sz="1500" b="0">
                <a:solidFill>
                  <a:srgbClr val="FFFFFF"/>
                </a:solidFill>
                <a:latin typeface="Roboto"/>
              </a:rPr>
              <a:t>13</a:t>
            </a:r>
            <a:r>
              <a:rPr lang="en-GB" sz="1500" b="0">
                <a:solidFill>
                  <a:srgbClr val="FFFFFF"/>
                </a:solidFill>
                <a:latin typeface="Roboto"/>
              </a:rPr>
              <a:t>%</a:t>
            </a:r>
            <a:endParaRPr sz="1500" b="0">
              <a:solidFill>
                <a:srgbClr val="FFFFFF"/>
              </a:solidFill>
              <a:latin typeface="Roboto"/>
            </a:endParaRPr>
          </a:p>
        </xdr:txBody>
      </xdr:sp>
      <xdr:sp macro="" textlink="">
        <xdr:nvSpPr>
          <xdr:cNvPr id="238" name="Rounded Rectangle 30">
            <a:extLst>
              <a:ext uri="{FF2B5EF4-FFF2-40B4-BE49-F238E27FC236}">
                <a16:creationId xmlns:a16="http://schemas.microsoft.com/office/drawing/2014/main" id="{98C6A92F-7834-6500-D49D-1C8CEFE3F893}"/>
              </a:ext>
            </a:extLst>
          </xdr:cNvPr>
          <xdr:cNvSpPr/>
        </xdr:nvSpPr>
        <xdr:spPr>
          <a:xfrm>
            <a:off x="2796456" y="4836131"/>
            <a:ext cx="438106" cy="419058"/>
          </a:xfrm>
          <a:custGeom>
            <a:avLst/>
            <a:gdLst/>
            <a:ahLst/>
            <a:cxnLst/>
            <a:rect l="0" t="0" r="0" b="0"/>
            <a:pathLst>
              <a:path w="438106" h="419058">
                <a:moveTo>
                  <a:pt x="438106" y="419058"/>
                </a:moveTo>
                <a:lnTo>
                  <a:pt x="0" y="419058"/>
                </a:lnTo>
                <a:moveTo>
                  <a:pt x="361837" y="419058"/>
                </a:moveTo>
                <a:lnTo>
                  <a:pt x="361837" y="371437"/>
                </a:lnTo>
                <a:cubicBezTo>
                  <a:pt x="361837" y="366177"/>
                  <a:pt x="366101" y="361913"/>
                  <a:pt x="371361" y="361913"/>
                </a:cubicBezTo>
                <a:lnTo>
                  <a:pt x="409457" y="361913"/>
                </a:lnTo>
                <a:cubicBezTo>
                  <a:pt x="414717" y="361913"/>
                  <a:pt x="418981" y="366177"/>
                  <a:pt x="418981" y="371437"/>
                </a:cubicBezTo>
                <a:lnTo>
                  <a:pt x="418981" y="419058"/>
                </a:lnTo>
                <a:moveTo>
                  <a:pt x="247549" y="419058"/>
                </a:moveTo>
                <a:lnTo>
                  <a:pt x="247549" y="295245"/>
                </a:lnTo>
                <a:cubicBezTo>
                  <a:pt x="247549" y="289985"/>
                  <a:pt x="251813" y="285721"/>
                  <a:pt x="257073" y="285721"/>
                </a:cubicBezTo>
                <a:lnTo>
                  <a:pt x="295169" y="285721"/>
                </a:lnTo>
                <a:cubicBezTo>
                  <a:pt x="300429" y="285721"/>
                  <a:pt x="304693" y="289985"/>
                  <a:pt x="304693" y="295245"/>
                </a:cubicBezTo>
                <a:lnTo>
                  <a:pt x="304693" y="419058"/>
                </a:lnTo>
                <a:moveTo>
                  <a:pt x="133260" y="419058"/>
                </a:moveTo>
                <a:lnTo>
                  <a:pt x="133260" y="219053"/>
                </a:lnTo>
                <a:cubicBezTo>
                  <a:pt x="133260" y="213793"/>
                  <a:pt x="137524" y="209529"/>
                  <a:pt x="142784" y="209529"/>
                </a:cubicBezTo>
                <a:lnTo>
                  <a:pt x="180880" y="209529"/>
                </a:lnTo>
                <a:cubicBezTo>
                  <a:pt x="186140" y="209529"/>
                  <a:pt x="190404" y="213793"/>
                  <a:pt x="190404" y="219053"/>
                </a:cubicBezTo>
                <a:lnTo>
                  <a:pt x="190404" y="419058"/>
                </a:lnTo>
                <a:moveTo>
                  <a:pt x="18971" y="419058"/>
                </a:moveTo>
                <a:lnTo>
                  <a:pt x="18971" y="142860"/>
                </a:lnTo>
                <a:cubicBezTo>
                  <a:pt x="18971" y="137600"/>
                  <a:pt x="23235" y="133336"/>
                  <a:pt x="28495" y="133336"/>
                </a:cubicBezTo>
                <a:lnTo>
                  <a:pt x="66592" y="133336"/>
                </a:lnTo>
                <a:cubicBezTo>
                  <a:pt x="71852" y="133336"/>
                  <a:pt x="76116" y="137600"/>
                  <a:pt x="76116" y="142860"/>
                </a:cubicBezTo>
                <a:lnTo>
                  <a:pt x="76116" y="419058"/>
                </a:lnTo>
                <a:moveTo>
                  <a:pt x="390486" y="228577"/>
                </a:moveTo>
                <a:lnTo>
                  <a:pt x="47620" y="0"/>
                </a:lnTo>
                <a:moveTo>
                  <a:pt x="380961" y="152384"/>
                </a:moveTo>
                <a:lnTo>
                  <a:pt x="390486" y="228577"/>
                </a:lnTo>
                <a:lnTo>
                  <a:pt x="314293" y="238101"/>
                </a:lnTo>
              </a:path>
            </a:pathLst>
          </a:custGeom>
          <a:noFill/>
          <a:ln w="14287">
            <a:solidFill>
              <a:srgbClr val="484848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239" name="Rounded Rectangle 31">
            <a:extLst>
              <a:ext uri="{FF2B5EF4-FFF2-40B4-BE49-F238E27FC236}">
                <a16:creationId xmlns:a16="http://schemas.microsoft.com/office/drawing/2014/main" id="{FEDD93DB-DB02-1B20-C38A-B46E5F440E22}"/>
              </a:ext>
            </a:extLst>
          </xdr:cNvPr>
          <xdr:cNvSpPr/>
        </xdr:nvSpPr>
        <xdr:spPr>
          <a:xfrm>
            <a:off x="2778099" y="2540681"/>
            <a:ext cx="456387" cy="459743"/>
          </a:xfrm>
          <a:custGeom>
            <a:avLst/>
            <a:gdLst/>
            <a:ahLst/>
            <a:cxnLst/>
            <a:rect l="0" t="0" r="0" b="0"/>
            <a:pathLst>
              <a:path w="456387" h="459743">
                <a:moveTo>
                  <a:pt x="240763" y="215624"/>
                </a:moveTo>
                <a:cubicBezTo>
                  <a:pt x="211779" y="186623"/>
                  <a:pt x="166342" y="182147"/>
                  <a:pt x="132256" y="204933"/>
                </a:cubicBezTo>
                <a:cubicBezTo>
                  <a:pt x="98170" y="227720"/>
                  <a:pt x="84938" y="271418"/>
                  <a:pt x="100657" y="309286"/>
                </a:cubicBezTo>
                <a:cubicBezTo>
                  <a:pt x="116375" y="347154"/>
                  <a:pt x="156664" y="368636"/>
                  <a:pt x="196867" y="360586"/>
                </a:cubicBezTo>
                <a:cubicBezTo>
                  <a:pt x="237069" y="352536"/>
                  <a:pt x="265980" y="317198"/>
                  <a:pt x="265906" y="276197"/>
                </a:cubicBezTo>
                <a:cubicBezTo>
                  <a:pt x="265935" y="266395"/>
                  <a:pt x="264259" y="256662"/>
                  <a:pt x="260954" y="247434"/>
                </a:cubicBezTo>
                <a:moveTo>
                  <a:pt x="320003" y="194481"/>
                </a:moveTo>
                <a:cubicBezTo>
                  <a:pt x="363783" y="268044"/>
                  <a:pt x="342896" y="362963"/>
                  <a:pt x="272279" y="411353"/>
                </a:cubicBezTo>
                <a:cubicBezTo>
                  <a:pt x="201663" y="459743"/>
                  <a:pt x="105603" y="444961"/>
                  <a:pt x="52801" y="377580"/>
                </a:cubicBezTo>
                <a:cubicBezTo>
                  <a:pt x="0" y="310198"/>
                  <a:pt x="8615" y="213391"/>
                  <a:pt x="72486" y="156393"/>
                </a:cubicBezTo>
                <a:cubicBezTo>
                  <a:pt x="136357" y="99395"/>
                  <a:pt x="233517" y="101809"/>
                  <a:pt x="294478" y="161908"/>
                </a:cubicBezTo>
                <a:moveTo>
                  <a:pt x="18281" y="438106"/>
                </a:moveTo>
                <a:lnTo>
                  <a:pt x="65711" y="390676"/>
                </a:lnTo>
                <a:moveTo>
                  <a:pt x="294669" y="390676"/>
                </a:moveTo>
                <a:lnTo>
                  <a:pt x="342099" y="438106"/>
                </a:lnTo>
                <a:moveTo>
                  <a:pt x="321717" y="134670"/>
                </a:moveTo>
                <a:lnTo>
                  <a:pt x="314860" y="60572"/>
                </a:lnTo>
                <a:lnTo>
                  <a:pt x="375433" y="0"/>
                </a:lnTo>
                <a:lnTo>
                  <a:pt x="395814" y="60572"/>
                </a:lnTo>
                <a:lnTo>
                  <a:pt x="456387" y="80954"/>
                </a:lnTo>
                <a:lnTo>
                  <a:pt x="395814" y="141527"/>
                </a:lnTo>
                <a:close/>
                <a:moveTo>
                  <a:pt x="370671" y="85716"/>
                </a:moveTo>
                <a:lnTo>
                  <a:pt x="180190" y="276197"/>
                </a:lnTo>
              </a:path>
            </a:pathLst>
          </a:custGeom>
          <a:noFill/>
          <a:ln w="14287">
            <a:solidFill>
              <a:srgbClr val="484848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240" name="TextBox 32">
            <a:extLst>
              <a:ext uri="{FF2B5EF4-FFF2-40B4-BE49-F238E27FC236}">
                <a16:creationId xmlns:a16="http://schemas.microsoft.com/office/drawing/2014/main" id="{E8B7658A-A348-B9C8-EC23-FEC95719B070}"/>
              </a:ext>
            </a:extLst>
          </xdr:cNvPr>
          <xdr:cNvSpPr txBox="1"/>
        </xdr:nvSpPr>
        <xdr:spPr>
          <a:xfrm>
            <a:off x="1649041" y="4952415"/>
            <a:ext cx="1004504" cy="298744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r"/>
            <a:r>
              <a:rPr sz="1500" b="1">
                <a:solidFill>
                  <a:srgbClr val="E55753"/>
                </a:solidFill>
                <a:latin typeface="Roboto"/>
              </a:rPr>
              <a:t>Shortfall</a:t>
            </a:r>
          </a:p>
        </xdr:txBody>
      </xdr:sp>
      <xdr:sp macro="" textlink="">
        <xdr:nvSpPr>
          <xdr:cNvPr id="241" name="TextBox 33">
            <a:extLst>
              <a:ext uri="{FF2B5EF4-FFF2-40B4-BE49-F238E27FC236}">
                <a16:creationId xmlns:a16="http://schemas.microsoft.com/office/drawing/2014/main" id="{7A8B61B6-002B-1509-A96E-72FA405123E9}"/>
              </a:ext>
            </a:extLst>
          </xdr:cNvPr>
          <xdr:cNvSpPr txBox="1"/>
        </xdr:nvSpPr>
        <xdr:spPr>
          <a:xfrm>
            <a:off x="3604508" y="929486"/>
            <a:ext cx="4481499" cy="357545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r>
              <a:rPr lang="en-GB" sz="1800" b="1">
                <a:solidFill>
                  <a:srgbClr val="484848"/>
                </a:solidFill>
                <a:latin typeface="Roboto"/>
              </a:rPr>
              <a:t>Customer</a:t>
            </a:r>
            <a:r>
              <a:rPr sz="1800" b="1">
                <a:solidFill>
                  <a:srgbClr val="484848"/>
                </a:solidFill>
                <a:latin typeface="Roboto"/>
              </a:rPr>
              <a:t>Target</a:t>
            </a:r>
          </a:p>
        </xdr:txBody>
      </xdr:sp>
      <xdr:sp macro="" textlink="">
        <xdr:nvSpPr>
          <xdr:cNvPr id="242" name="Rounded Rectangle 34">
            <a:extLst>
              <a:ext uri="{FF2B5EF4-FFF2-40B4-BE49-F238E27FC236}">
                <a16:creationId xmlns:a16="http://schemas.microsoft.com/office/drawing/2014/main" id="{7C0FFD6E-D349-D5DB-5678-441574CAB5C0}"/>
              </a:ext>
            </a:extLst>
          </xdr:cNvPr>
          <xdr:cNvSpPr/>
        </xdr:nvSpPr>
        <xdr:spPr>
          <a:xfrm>
            <a:off x="2796380" y="3683644"/>
            <a:ext cx="438106" cy="438106"/>
          </a:xfrm>
          <a:custGeom>
            <a:avLst/>
            <a:gdLst/>
            <a:ahLst/>
            <a:cxnLst/>
            <a:rect l="0" t="0" r="0" b="0"/>
            <a:pathLst>
              <a:path w="438106" h="438106">
                <a:moveTo>
                  <a:pt x="0" y="219053"/>
                </a:moveTo>
                <a:cubicBezTo>
                  <a:pt x="0" y="340032"/>
                  <a:pt x="98073" y="438106"/>
                  <a:pt x="219053" y="438106"/>
                </a:cubicBezTo>
                <a:cubicBezTo>
                  <a:pt x="340032" y="438106"/>
                  <a:pt x="438106" y="340032"/>
                  <a:pt x="438106" y="219053"/>
                </a:cubicBezTo>
                <a:cubicBezTo>
                  <a:pt x="438106" y="98073"/>
                  <a:pt x="340032" y="0"/>
                  <a:pt x="219053" y="0"/>
                </a:cubicBezTo>
                <a:cubicBezTo>
                  <a:pt x="98073" y="0"/>
                  <a:pt x="0" y="98073"/>
                  <a:pt x="0" y="219053"/>
                </a:cubicBezTo>
                <a:close/>
                <a:moveTo>
                  <a:pt x="245987" y="245987"/>
                </a:moveTo>
                <a:cubicBezTo>
                  <a:pt x="231038" y="260424"/>
                  <a:pt x="207278" y="260218"/>
                  <a:pt x="192583" y="245523"/>
                </a:cubicBezTo>
                <a:cubicBezTo>
                  <a:pt x="177888" y="230828"/>
                  <a:pt x="177681" y="207067"/>
                  <a:pt x="192119" y="192119"/>
                </a:cubicBezTo>
                <a:cubicBezTo>
                  <a:pt x="206995" y="177242"/>
                  <a:pt x="347018" y="91164"/>
                  <a:pt x="347018" y="91164"/>
                </a:cubicBezTo>
                <a:cubicBezTo>
                  <a:pt x="347018" y="91164"/>
                  <a:pt x="260958" y="231110"/>
                  <a:pt x="245987" y="245987"/>
                </a:cubicBezTo>
                <a:close/>
                <a:moveTo>
                  <a:pt x="85716" y="219053"/>
                </a:moveTo>
                <a:lnTo>
                  <a:pt x="57144" y="219053"/>
                </a:lnTo>
                <a:moveTo>
                  <a:pt x="124765" y="124765"/>
                </a:moveTo>
                <a:lnTo>
                  <a:pt x="104574" y="104574"/>
                </a:lnTo>
                <a:moveTo>
                  <a:pt x="219053" y="85716"/>
                </a:moveTo>
                <a:lnTo>
                  <a:pt x="219053" y="57144"/>
                </a:lnTo>
                <a:moveTo>
                  <a:pt x="380961" y="219053"/>
                </a:moveTo>
                <a:lnTo>
                  <a:pt x="352389" y="219053"/>
                </a:lnTo>
                <a:moveTo>
                  <a:pt x="383495" y="363818"/>
                </a:moveTo>
                <a:cubicBezTo>
                  <a:pt x="335217" y="330502"/>
                  <a:pt x="277700" y="313180"/>
                  <a:pt x="219053" y="314293"/>
                </a:cubicBezTo>
                <a:cubicBezTo>
                  <a:pt x="160406" y="313180"/>
                  <a:pt x="102888" y="330502"/>
                  <a:pt x="54610" y="363818"/>
                </a:cubicBezTo>
              </a:path>
            </a:pathLst>
          </a:custGeom>
          <a:noFill/>
          <a:ln w="14287">
            <a:solidFill>
              <a:srgbClr val="484848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</xdr:grpSp>
    <xdr:clientData/>
  </xdr:twoCellAnchor>
  <xdr:twoCellAnchor>
    <xdr:from>
      <xdr:col>0</xdr:col>
      <xdr:colOff>0</xdr:colOff>
      <xdr:row>0</xdr:row>
      <xdr:rowOff>2117</xdr:rowOff>
    </xdr:from>
    <xdr:to>
      <xdr:col>27</xdr:col>
      <xdr:colOff>434975</xdr:colOff>
      <xdr:row>6</xdr:row>
      <xdr:rowOff>23812</xdr:rowOff>
    </xdr:to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EA301A27-64AF-7EEA-F13E-41DB8BE87080}"/>
            </a:ext>
          </a:extLst>
        </xdr:cNvPr>
        <xdr:cNvSpPr/>
      </xdr:nvSpPr>
      <xdr:spPr>
        <a:xfrm>
          <a:off x="0" y="2117"/>
          <a:ext cx="22937788" cy="1164695"/>
        </a:xfrm>
        <a:prstGeom prst="rect">
          <a:avLst/>
        </a:prstGeom>
        <a:gradFill flip="none" rotWithShape="1">
          <a:gsLst>
            <a:gs pos="0">
              <a:schemeClr val="accent4">
                <a:lumMod val="75000"/>
              </a:schemeClr>
            </a:gs>
            <a:gs pos="50000">
              <a:schemeClr val="accent4">
                <a:lumMod val="60000"/>
                <a:lumOff val="40000"/>
              </a:schemeClr>
            </a:gs>
            <a:gs pos="100000">
              <a:schemeClr val="accent4">
                <a:lumMod val="75000"/>
              </a:schemeClr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6000" b="1"/>
            <a:t>KPI</a:t>
          </a:r>
          <a:r>
            <a:rPr lang="en-US" sz="6000" b="1" baseline="0"/>
            <a:t> Dashboard</a:t>
          </a:r>
          <a:endParaRPr lang="en-US" sz="6000" b="1"/>
        </a:p>
      </xdr:txBody>
    </xdr:sp>
    <xdr:clientData/>
  </xdr:twoCellAnchor>
  <xdr:twoCellAnchor>
    <xdr:from>
      <xdr:col>17</xdr:col>
      <xdr:colOff>342898</xdr:colOff>
      <xdr:row>31</xdr:row>
      <xdr:rowOff>31751</xdr:rowOff>
    </xdr:from>
    <xdr:to>
      <xdr:col>25</xdr:col>
      <xdr:colOff>63500</xdr:colOff>
      <xdr:row>58</xdr:row>
      <xdr:rowOff>130176</xdr:rowOff>
    </xdr:to>
    <xdr:grpSp>
      <xdr:nvGrpSpPr>
        <xdr:cNvPr id="598" name="Group 597">
          <a:extLst>
            <a:ext uri="{FF2B5EF4-FFF2-40B4-BE49-F238E27FC236}">
              <a16:creationId xmlns:a16="http://schemas.microsoft.com/office/drawing/2014/main" id="{D7618BCB-EB05-1FF0-51A7-50414192EEEA}"/>
            </a:ext>
          </a:extLst>
        </xdr:cNvPr>
        <xdr:cNvGrpSpPr/>
      </xdr:nvGrpSpPr>
      <xdr:grpSpPr>
        <a:xfrm>
          <a:off x="14511336" y="5937251"/>
          <a:ext cx="6388102" cy="5241925"/>
          <a:chOff x="2201175" y="1121032"/>
          <a:chExt cx="4020532" cy="4941585"/>
        </a:xfrm>
      </xdr:grpSpPr>
      <xdr:sp macro="" textlink="">
        <xdr:nvSpPr>
          <xdr:cNvPr id="599" name="Rounded Rectangle 1">
            <a:extLst>
              <a:ext uri="{FF2B5EF4-FFF2-40B4-BE49-F238E27FC236}">
                <a16:creationId xmlns:a16="http://schemas.microsoft.com/office/drawing/2014/main" id="{EF642BDB-D004-3180-1367-66265C76D9A3}"/>
              </a:ext>
            </a:extLst>
          </xdr:cNvPr>
          <xdr:cNvSpPr/>
        </xdr:nvSpPr>
        <xdr:spPr>
          <a:xfrm>
            <a:off x="3063217" y="3799299"/>
            <a:ext cx="3017520" cy="1531620"/>
          </a:xfrm>
          <a:custGeom>
            <a:avLst/>
            <a:gdLst/>
            <a:ahLst/>
            <a:cxnLst/>
            <a:rect l="0" t="0" r="0" b="0"/>
            <a:pathLst>
              <a:path w="3017520" h="1531620">
                <a:moveTo>
                  <a:pt x="0" y="342900"/>
                </a:moveTo>
                <a:lnTo>
                  <a:pt x="274320" y="167640"/>
                </a:lnTo>
                <a:lnTo>
                  <a:pt x="548640" y="594360"/>
                </a:lnTo>
                <a:lnTo>
                  <a:pt x="822960" y="548640"/>
                </a:lnTo>
                <a:lnTo>
                  <a:pt x="1097280" y="0"/>
                </a:lnTo>
                <a:lnTo>
                  <a:pt x="1371600" y="845820"/>
                </a:lnTo>
                <a:lnTo>
                  <a:pt x="1645920" y="1066800"/>
                </a:lnTo>
                <a:lnTo>
                  <a:pt x="1920240" y="1531620"/>
                </a:lnTo>
                <a:lnTo>
                  <a:pt x="2194560" y="929640"/>
                </a:lnTo>
                <a:lnTo>
                  <a:pt x="2468880" y="563880"/>
                </a:lnTo>
                <a:lnTo>
                  <a:pt x="2743200" y="91440"/>
                </a:lnTo>
                <a:lnTo>
                  <a:pt x="3017520" y="160020"/>
                </a:lnTo>
              </a:path>
            </a:pathLst>
          </a:custGeom>
          <a:noFill/>
          <a:ln w="11430">
            <a:solidFill>
              <a:srgbClr val="4F92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00" name="Rounded Rectangle 2">
            <a:extLst>
              <a:ext uri="{FF2B5EF4-FFF2-40B4-BE49-F238E27FC236}">
                <a16:creationId xmlns:a16="http://schemas.microsoft.com/office/drawing/2014/main" id="{71AA7009-3DE1-0E8D-DAD5-B5F5887AEE5F}"/>
              </a:ext>
            </a:extLst>
          </xdr:cNvPr>
          <xdr:cNvSpPr/>
        </xdr:nvSpPr>
        <xdr:spPr>
          <a:xfrm>
            <a:off x="3033432" y="4112411"/>
            <a:ext cx="59573" cy="59573"/>
          </a:xfrm>
          <a:custGeom>
            <a:avLst/>
            <a:gdLst/>
            <a:ahLst/>
            <a:cxnLst/>
            <a:rect l="0" t="0" r="0" b="0"/>
            <a:pathLst>
              <a:path w="59573" h="59573">
                <a:moveTo>
                  <a:pt x="0" y="29786"/>
                </a:moveTo>
                <a:cubicBezTo>
                  <a:pt x="0" y="46238"/>
                  <a:pt x="13335" y="59573"/>
                  <a:pt x="29786" y="59573"/>
                </a:cubicBezTo>
                <a:cubicBezTo>
                  <a:pt x="46238" y="59573"/>
                  <a:pt x="59573" y="46238"/>
                  <a:pt x="59573" y="29786"/>
                </a:cubicBezTo>
                <a:cubicBezTo>
                  <a:pt x="59573" y="13335"/>
                  <a:pt x="46238" y="0"/>
                  <a:pt x="29786" y="0"/>
                </a:cubicBezTo>
                <a:cubicBezTo>
                  <a:pt x="13335" y="0"/>
                  <a:pt x="0" y="13335"/>
                  <a:pt x="0" y="29786"/>
                </a:cubicBezTo>
              </a:path>
            </a:pathLst>
          </a:custGeom>
          <a:solidFill>
            <a:srgbClr val="4E88E7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01" name="Rounded Rectangle 3">
            <a:extLst>
              <a:ext uri="{FF2B5EF4-FFF2-40B4-BE49-F238E27FC236}">
                <a16:creationId xmlns:a16="http://schemas.microsoft.com/office/drawing/2014/main" id="{C124B5EC-9631-A8A9-D0B9-56F9959148F5}"/>
              </a:ext>
            </a:extLst>
          </xdr:cNvPr>
          <xdr:cNvSpPr/>
        </xdr:nvSpPr>
        <xdr:spPr>
          <a:xfrm>
            <a:off x="3033432" y="4112413"/>
            <a:ext cx="59570" cy="59570"/>
          </a:xfrm>
          <a:custGeom>
            <a:avLst/>
            <a:gdLst/>
            <a:ahLst/>
            <a:cxnLst/>
            <a:rect l="0" t="0" r="0" b="0"/>
            <a:pathLst>
              <a:path w="59570" h="59570">
                <a:moveTo>
                  <a:pt x="0" y="29785"/>
                </a:moveTo>
                <a:cubicBezTo>
                  <a:pt x="0" y="46235"/>
                  <a:pt x="13335" y="59570"/>
                  <a:pt x="29785" y="59570"/>
                </a:cubicBezTo>
                <a:cubicBezTo>
                  <a:pt x="46235" y="59570"/>
                  <a:pt x="59570" y="46235"/>
                  <a:pt x="59570" y="29785"/>
                </a:cubicBezTo>
                <a:cubicBezTo>
                  <a:pt x="59570" y="13335"/>
                  <a:pt x="46235" y="0"/>
                  <a:pt x="29785" y="0"/>
                </a:cubicBezTo>
                <a:cubicBezTo>
                  <a:pt x="13335" y="0"/>
                  <a:pt x="0" y="13335"/>
                  <a:pt x="0" y="29785"/>
                </a:cubicBezTo>
              </a:path>
            </a:pathLst>
          </a:custGeom>
          <a:noFill/>
          <a:ln w="11430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02" name="Rounded Rectangle 4">
            <a:extLst>
              <a:ext uri="{FF2B5EF4-FFF2-40B4-BE49-F238E27FC236}">
                <a16:creationId xmlns:a16="http://schemas.microsoft.com/office/drawing/2014/main" id="{DEADC54F-BB84-962F-1208-C877E82EADEF}"/>
              </a:ext>
            </a:extLst>
          </xdr:cNvPr>
          <xdr:cNvSpPr/>
        </xdr:nvSpPr>
        <xdr:spPr>
          <a:xfrm>
            <a:off x="3307752" y="3937151"/>
            <a:ext cx="59573" cy="59573"/>
          </a:xfrm>
          <a:custGeom>
            <a:avLst/>
            <a:gdLst/>
            <a:ahLst/>
            <a:cxnLst/>
            <a:rect l="0" t="0" r="0" b="0"/>
            <a:pathLst>
              <a:path w="59573" h="59573">
                <a:moveTo>
                  <a:pt x="0" y="29786"/>
                </a:moveTo>
                <a:cubicBezTo>
                  <a:pt x="0" y="46238"/>
                  <a:pt x="13335" y="59573"/>
                  <a:pt x="29786" y="59573"/>
                </a:cubicBezTo>
                <a:cubicBezTo>
                  <a:pt x="46238" y="59573"/>
                  <a:pt x="59573" y="46238"/>
                  <a:pt x="59573" y="29786"/>
                </a:cubicBezTo>
                <a:cubicBezTo>
                  <a:pt x="59573" y="13335"/>
                  <a:pt x="46238" y="0"/>
                  <a:pt x="29786" y="0"/>
                </a:cubicBezTo>
                <a:cubicBezTo>
                  <a:pt x="13335" y="0"/>
                  <a:pt x="0" y="13335"/>
                  <a:pt x="0" y="29786"/>
                </a:cubicBezTo>
              </a:path>
            </a:pathLst>
          </a:custGeom>
          <a:solidFill>
            <a:srgbClr val="4E88E7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03" name="Rounded Rectangle 5">
            <a:extLst>
              <a:ext uri="{FF2B5EF4-FFF2-40B4-BE49-F238E27FC236}">
                <a16:creationId xmlns:a16="http://schemas.microsoft.com/office/drawing/2014/main" id="{DD8F9828-754F-47E9-41B1-E9B65E2E0E7F}"/>
              </a:ext>
            </a:extLst>
          </xdr:cNvPr>
          <xdr:cNvSpPr/>
        </xdr:nvSpPr>
        <xdr:spPr>
          <a:xfrm>
            <a:off x="3307752" y="3937153"/>
            <a:ext cx="59570" cy="59570"/>
          </a:xfrm>
          <a:custGeom>
            <a:avLst/>
            <a:gdLst/>
            <a:ahLst/>
            <a:cxnLst/>
            <a:rect l="0" t="0" r="0" b="0"/>
            <a:pathLst>
              <a:path w="59570" h="59570">
                <a:moveTo>
                  <a:pt x="0" y="29785"/>
                </a:moveTo>
                <a:cubicBezTo>
                  <a:pt x="0" y="46235"/>
                  <a:pt x="13335" y="59570"/>
                  <a:pt x="29785" y="59570"/>
                </a:cubicBezTo>
                <a:cubicBezTo>
                  <a:pt x="46235" y="59570"/>
                  <a:pt x="59570" y="46235"/>
                  <a:pt x="59570" y="29785"/>
                </a:cubicBezTo>
                <a:cubicBezTo>
                  <a:pt x="59570" y="13335"/>
                  <a:pt x="46235" y="0"/>
                  <a:pt x="29785" y="0"/>
                </a:cubicBezTo>
                <a:cubicBezTo>
                  <a:pt x="13335" y="0"/>
                  <a:pt x="0" y="13335"/>
                  <a:pt x="0" y="29785"/>
                </a:cubicBezTo>
              </a:path>
            </a:pathLst>
          </a:custGeom>
          <a:noFill/>
          <a:ln w="11430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04" name="Rounded Rectangle 6">
            <a:extLst>
              <a:ext uri="{FF2B5EF4-FFF2-40B4-BE49-F238E27FC236}">
                <a16:creationId xmlns:a16="http://schemas.microsoft.com/office/drawing/2014/main" id="{41359CAD-DE53-6A82-139B-0F8618974C95}"/>
              </a:ext>
            </a:extLst>
          </xdr:cNvPr>
          <xdr:cNvSpPr/>
        </xdr:nvSpPr>
        <xdr:spPr>
          <a:xfrm>
            <a:off x="3582072" y="4363871"/>
            <a:ext cx="59573" cy="59573"/>
          </a:xfrm>
          <a:custGeom>
            <a:avLst/>
            <a:gdLst/>
            <a:ahLst/>
            <a:cxnLst/>
            <a:rect l="0" t="0" r="0" b="0"/>
            <a:pathLst>
              <a:path w="59573" h="59573">
                <a:moveTo>
                  <a:pt x="0" y="29786"/>
                </a:moveTo>
                <a:cubicBezTo>
                  <a:pt x="0" y="46238"/>
                  <a:pt x="13335" y="59573"/>
                  <a:pt x="29786" y="59573"/>
                </a:cubicBezTo>
                <a:cubicBezTo>
                  <a:pt x="46238" y="59573"/>
                  <a:pt x="59573" y="46238"/>
                  <a:pt x="59573" y="29786"/>
                </a:cubicBezTo>
                <a:cubicBezTo>
                  <a:pt x="59573" y="13335"/>
                  <a:pt x="46238" y="0"/>
                  <a:pt x="29786" y="0"/>
                </a:cubicBezTo>
                <a:cubicBezTo>
                  <a:pt x="13335" y="0"/>
                  <a:pt x="0" y="13335"/>
                  <a:pt x="0" y="29786"/>
                </a:cubicBezTo>
              </a:path>
            </a:pathLst>
          </a:custGeom>
          <a:solidFill>
            <a:srgbClr val="4E88E7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05" name="Rounded Rectangle 7">
            <a:extLst>
              <a:ext uri="{FF2B5EF4-FFF2-40B4-BE49-F238E27FC236}">
                <a16:creationId xmlns:a16="http://schemas.microsoft.com/office/drawing/2014/main" id="{CFA9DF65-A443-B43E-7652-DDA558905DE5}"/>
              </a:ext>
            </a:extLst>
          </xdr:cNvPr>
          <xdr:cNvSpPr/>
        </xdr:nvSpPr>
        <xdr:spPr>
          <a:xfrm>
            <a:off x="3582072" y="4363873"/>
            <a:ext cx="59570" cy="59570"/>
          </a:xfrm>
          <a:custGeom>
            <a:avLst/>
            <a:gdLst/>
            <a:ahLst/>
            <a:cxnLst/>
            <a:rect l="0" t="0" r="0" b="0"/>
            <a:pathLst>
              <a:path w="59570" h="59570">
                <a:moveTo>
                  <a:pt x="0" y="29785"/>
                </a:moveTo>
                <a:cubicBezTo>
                  <a:pt x="0" y="46235"/>
                  <a:pt x="13335" y="59570"/>
                  <a:pt x="29785" y="59570"/>
                </a:cubicBezTo>
                <a:cubicBezTo>
                  <a:pt x="46235" y="59570"/>
                  <a:pt x="59570" y="46235"/>
                  <a:pt x="59570" y="29785"/>
                </a:cubicBezTo>
                <a:cubicBezTo>
                  <a:pt x="59570" y="13335"/>
                  <a:pt x="46235" y="0"/>
                  <a:pt x="29785" y="0"/>
                </a:cubicBezTo>
                <a:cubicBezTo>
                  <a:pt x="13335" y="0"/>
                  <a:pt x="0" y="13335"/>
                  <a:pt x="0" y="29785"/>
                </a:cubicBezTo>
              </a:path>
            </a:pathLst>
          </a:custGeom>
          <a:noFill/>
          <a:ln w="11430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06" name="Rounded Rectangle 8">
            <a:extLst>
              <a:ext uri="{FF2B5EF4-FFF2-40B4-BE49-F238E27FC236}">
                <a16:creationId xmlns:a16="http://schemas.microsoft.com/office/drawing/2014/main" id="{86C78E68-116F-827A-6DA8-35A5BF31FE5E}"/>
              </a:ext>
            </a:extLst>
          </xdr:cNvPr>
          <xdr:cNvSpPr/>
        </xdr:nvSpPr>
        <xdr:spPr>
          <a:xfrm>
            <a:off x="3856392" y="4318151"/>
            <a:ext cx="59573" cy="59573"/>
          </a:xfrm>
          <a:custGeom>
            <a:avLst/>
            <a:gdLst/>
            <a:ahLst/>
            <a:cxnLst/>
            <a:rect l="0" t="0" r="0" b="0"/>
            <a:pathLst>
              <a:path w="59573" h="59573">
                <a:moveTo>
                  <a:pt x="0" y="29786"/>
                </a:moveTo>
                <a:cubicBezTo>
                  <a:pt x="0" y="46238"/>
                  <a:pt x="13335" y="59573"/>
                  <a:pt x="29786" y="59573"/>
                </a:cubicBezTo>
                <a:cubicBezTo>
                  <a:pt x="46238" y="59573"/>
                  <a:pt x="59573" y="46238"/>
                  <a:pt x="59573" y="29786"/>
                </a:cubicBezTo>
                <a:cubicBezTo>
                  <a:pt x="59573" y="13335"/>
                  <a:pt x="46238" y="0"/>
                  <a:pt x="29786" y="0"/>
                </a:cubicBezTo>
                <a:cubicBezTo>
                  <a:pt x="13335" y="0"/>
                  <a:pt x="0" y="13335"/>
                  <a:pt x="0" y="29786"/>
                </a:cubicBezTo>
              </a:path>
            </a:pathLst>
          </a:custGeom>
          <a:solidFill>
            <a:srgbClr val="4E88E7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07" name="Rounded Rectangle 9">
            <a:extLst>
              <a:ext uri="{FF2B5EF4-FFF2-40B4-BE49-F238E27FC236}">
                <a16:creationId xmlns:a16="http://schemas.microsoft.com/office/drawing/2014/main" id="{3D32547B-98E0-98F0-0F71-B43863E03A82}"/>
              </a:ext>
            </a:extLst>
          </xdr:cNvPr>
          <xdr:cNvSpPr/>
        </xdr:nvSpPr>
        <xdr:spPr>
          <a:xfrm>
            <a:off x="3856392" y="4318153"/>
            <a:ext cx="59570" cy="59570"/>
          </a:xfrm>
          <a:custGeom>
            <a:avLst/>
            <a:gdLst/>
            <a:ahLst/>
            <a:cxnLst/>
            <a:rect l="0" t="0" r="0" b="0"/>
            <a:pathLst>
              <a:path w="59570" h="59570">
                <a:moveTo>
                  <a:pt x="0" y="29785"/>
                </a:moveTo>
                <a:cubicBezTo>
                  <a:pt x="0" y="46235"/>
                  <a:pt x="13335" y="59570"/>
                  <a:pt x="29785" y="59570"/>
                </a:cubicBezTo>
                <a:cubicBezTo>
                  <a:pt x="46235" y="59570"/>
                  <a:pt x="59570" y="46235"/>
                  <a:pt x="59570" y="29785"/>
                </a:cubicBezTo>
                <a:cubicBezTo>
                  <a:pt x="59570" y="13335"/>
                  <a:pt x="46235" y="0"/>
                  <a:pt x="29785" y="0"/>
                </a:cubicBezTo>
                <a:cubicBezTo>
                  <a:pt x="13335" y="0"/>
                  <a:pt x="0" y="13335"/>
                  <a:pt x="0" y="29785"/>
                </a:cubicBezTo>
              </a:path>
            </a:pathLst>
          </a:custGeom>
          <a:noFill/>
          <a:ln w="11430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08" name="Rounded Rectangle 10">
            <a:extLst>
              <a:ext uri="{FF2B5EF4-FFF2-40B4-BE49-F238E27FC236}">
                <a16:creationId xmlns:a16="http://schemas.microsoft.com/office/drawing/2014/main" id="{C3846D2F-BFA5-80B5-9C41-E657A345EA6A}"/>
              </a:ext>
            </a:extLst>
          </xdr:cNvPr>
          <xdr:cNvSpPr/>
        </xdr:nvSpPr>
        <xdr:spPr>
          <a:xfrm>
            <a:off x="4130712" y="3769511"/>
            <a:ext cx="59573" cy="59573"/>
          </a:xfrm>
          <a:custGeom>
            <a:avLst/>
            <a:gdLst/>
            <a:ahLst/>
            <a:cxnLst/>
            <a:rect l="0" t="0" r="0" b="0"/>
            <a:pathLst>
              <a:path w="59573" h="59573">
                <a:moveTo>
                  <a:pt x="0" y="29786"/>
                </a:moveTo>
                <a:cubicBezTo>
                  <a:pt x="0" y="46238"/>
                  <a:pt x="13335" y="59573"/>
                  <a:pt x="29786" y="59573"/>
                </a:cubicBezTo>
                <a:cubicBezTo>
                  <a:pt x="46238" y="59573"/>
                  <a:pt x="59573" y="46238"/>
                  <a:pt x="59573" y="29786"/>
                </a:cubicBezTo>
                <a:cubicBezTo>
                  <a:pt x="59573" y="13335"/>
                  <a:pt x="46238" y="0"/>
                  <a:pt x="29786" y="0"/>
                </a:cubicBezTo>
                <a:cubicBezTo>
                  <a:pt x="13335" y="0"/>
                  <a:pt x="0" y="13335"/>
                  <a:pt x="0" y="29786"/>
                </a:cubicBezTo>
              </a:path>
            </a:pathLst>
          </a:custGeom>
          <a:solidFill>
            <a:srgbClr val="4E88E7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09" name="Rounded Rectangle 11">
            <a:extLst>
              <a:ext uri="{FF2B5EF4-FFF2-40B4-BE49-F238E27FC236}">
                <a16:creationId xmlns:a16="http://schemas.microsoft.com/office/drawing/2014/main" id="{8AB787E1-C6D3-A1DA-D5EB-00EACE6DB4FE}"/>
              </a:ext>
            </a:extLst>
          </xdr:cNvPr>
          <xdr:cNvSpPr/>
        </xdr:nvSpPr>
        <xdr:spPr>
          <a:xfrm>
            <a:off x="4130712" y="3769513"/>
            <a:ext cx="59570" cy="59570"/>
          </a:xfrm>
          <a:custGeom>
            <a:avLst/>
            <a:gdLst/>
            <a:ahLst/>
            <a:cxnLst/>
            <a:rect l="0" t="0" r="0" b="0"/>
            <a:pathLst>
              <a:path w="59570" h="59570">
                <a:moveTo>
                  <a:pt x="0" y="29785"/>
                </a:moveTo>
                <a:cubicBezTo>
                  <a:pt x="0" y="46235"/>
                  <a:pt x="13335" y="59570"/>
                  <a:pt x="29785" y="59570"/>
                </a:cubicBezTo>
                <a:cubicBezTo>
                  <a:pt x="46235" y="59570"/>
                  <a:pt x="59570" y="46235"/>
                  <a:pt x="59570" y="29785"/>
                </a:cubicBezTo>
                <a:cubicBezTo>
                  <a:pt x="59570" y="13335"/>
                  <a:pt x="46235" y="0"/>
                  <a:pt x="29785" y="0"/>
                </a:cubicBezTo>
                <a:cubicBezTo>
                  <a:pt x="13335" y="0"/>
                  <a:pt x="0" y="13335"/>
                  <a:pt x="0" y="29785"/>
                </a:cubicBezTo>
              </a:path>
            </a:pathLst>
          </a:custGeom>
          <a:noFill/>
          <a:ln w="11430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10" name="Rounded Rectangle 12">
            <a:extLst>
              <a:ext uri="{FF2B5EF4-FFF2-40B4-BE49-F238E27FC236}">
                <a16:creationId xmlns:a16="http://schemas.microsoft.com/office/drawing/2014/main" id="{F5F0D396-0EEE-A5DE-7D2C-180B3D5170C5}"/>
              </a:ext>
            </a:extLst>
          </xdr:cNvPr>
          <xdr:cNvSpPr/>
        </xdr:nvSpPr>
        <xdr:spPr>
          <a:xfrm>
            <a:off x="4405032" y="4615331"/>
            <a:ext cx="59573" cy="59573"/>
          </a:xfrm>
          <a:custGeom>
            <a:avLst/>
            <a:gdLst/>
            <a:ahLst/>
            <a:cxnLst/>
            <a:rect l="0" t="0" r="0" b="0"/>
            <a:pathLst>
              <a:path w="59573" h="59573">
                <a:moveTo>
                  <a:pt x="0" y="29786"/>
                </a:moveTo>
                <a:cubicBezTo>
                  <a:pt x="0" y="46238"/>
                  <a:pt x="13335" y="59573"/>
                  <a:pt x="29786" y="59573"/>
                </a:cubicBezTo>
                <a:cubicBezTo>
                  <a:pt x="46238" y="59573"/>
                  <a:pt x="59573" y="46238"/>
                  <a:pt x="59573" y="29786"/>
                </a:cubicBezTo>
                <a:cubicBezTo>
                  <a:pt x="59573" y="13335"/>
                  <a:pt x="46238" y="0"/>
                  <a:pt x="29786" y="0"/>
                </a:cubicBezTo>
                <a:cubicBezTo>
                  <a:pt x="13335" y="0"/>
                  <a:pt x="0" y="13335"/>
                  <a:pt x="0" y="29786"/>
                </a:cubicBezTo>
              </a:path>
            </a:pathLst>
          </a:custGeom>
          <a:solidFill>
            <a:srgbClr val="4E88E7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11" name="Rounded Rectangle 13">
            <a:extLst>
              <a:ext uri="{FF2B5EF4-FFF2-40B4-BE49-F238E27FC236}">
                <a16:creationId xmlns:a16="http://schemas.microsoft.com/office/drawing/2014/main" id="{2A06F569-A24B-A161-042C-CE07F67215EA}"/>
              </a:ext>
            </a:extLst>
          </xdr:cNvPr>
          <xdr:cNvSpPr/>
        </xdr:nvSpPr>
        <xdr:spPr>
          <a:xfrm>
            <a:off x="4405032" y="4615333"/>
            <a:ext cx="59570" cy="59570"/>
          </a:xfrm>
          <a:custGeom>
            <a:avLst/>
            <a:gdLst/>
            <a:ahLst/>
            <a:cxnLst/>
            <a:rect l="0" t="0" r="0" b="0"/>
            <a:pathLst>
              <a:path w="59570" h="59570">
                <a:moveTo>
                  <a:pt x="0" y="29785"/>
                </a:moveTo>
                <a:cubicBezTo>
                  <a:pt x="0" y="46235"/>
                  <a:pt x="13335" y="59570"/>
                  <a:pt x="29785" y="59570"/>
                </a:cubicBezTo>
                <a:cubicBezTo>
                  <a:pt x="46235" y="59570"/>
                  <a:pt x="59570" y="46235"/>
                  <a:pt x="59570" y="29785"/>
                </a:cubicBezTo>
                <a:cubicBezTo>
                  <a:pt x="59570" y="13335"/>
                  <a:pt x="46235" y="0"/>
                  <a:pt x="29785" y="0"/>
                </a:cubicBezTo>
                <a:cubicBezTo>
                  <a:pt x="13335" y="0"/>
                  <a:pt x="0" y="13335"/>
                  <a:pt x="0" y="29785"/>
                </a:cubicBezTo>
              </a:path>
            </a:pathLst>
          </a:custGeom>
          <a:noFill/>
          <a:ln w="11430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12" name="Rounded Rectangle 14">
            <a:extLst>
              <a:ext uri="{FF2B5EF4-FFF2-40B4-BE49-F238E27FC236}">
                <a16:creationId xmlns:a16="http://schemas.microsoft.com/office/drawing/2014/main" id="{7832B0AC-ED5A-7CF7-DDC8-C4D1027408C1}"/>
              </a:ext>
            </a:extLst>
          </xdr:cNvPr>
          <xdr:cNvSpPr/>
        </xdr:nvSpPr>
        <xdr:spPr>
          <a:xfrm>
            <a:off x="4679352" y="4836311"/>
            <a:ext cx="59573" cy="59573"/>
          </a:xfrm>
          <a:custGeom>
            <a:avLst/>
            <a:gdLst/>
            <a:ahLst/>
            <a:cxnLst/>
            <a:rect l="0" t="0" r="0" b="0"/>
            <a:pathLst>
              <a:path w="59573" h="59573">
                <a:moveTo>
                  <a:pt x="0" y="29786"/>
                </a:moveTo>
                <a:cubicBezTo>
                  <a:pt x="0" y="46238"/>
                  <a:pt x="13335" y="59573"/>
                  <a:pt x="29786" y="59573"/>
                </a:cubicBezTo>
                <a:cubicBezTo>
                  <a:pt x="46238" y="59573"/>
                  <a:pt x="59573" y="46238"/>
                  <a:pt x="59573" y="29786"/>
                </a:cubicBezTo>
                <a:cubicBezTo>
                  <a:pt x="59573" y="13335"/>
                  <a:pt x="46238" y="0"/>
                  <a:pt x="29786" y="0"/>
                </a:cubicBezTo>
                <a:cubicBezTo>
                  <a:pt x="13335" y="0"/>
                  <a:pt x="0" y="13335"/>
                  <a:pt x="0" y="29786"/>
                </a:cubicBezTo>
              </a:path>
            </a:pathLst>
          </a:custGeom>
          <a:solidFill>
            <a:srgbClr val="4E88E7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13" name="Rounded Rectangle 15">
            <a:extLst>
              <a:ext uri="{FF2B5EF4-FFF2-40B4-BE49-F238E27FC236}">
                <a16:creationId xmlns:a16="http://schemas.microsoft.com/office/drawing/2014/main" id="{A92AF489-40BA-28D6-D036-3B1A13690A63}"/>
              </a:ext>
            </a:extLst>
          </xdr:cNvPr>
          <xdr:cNvSpPr/>
        </xdr:nvSpPr>
        <xdr:spPr>
          <a:xfrm>
            <a:off x="4679352" y="4836313"/>
            <a:ext cx="59570" cy="59570"/>
          </a:xfrm>
          <a:custGeom>
            <a:avLst/>
            <a:gdLst/>
            <a:ahLst/>
            <a:cxnLst/>
            <a:rect l="0" t="0" r="0" b="0"/>
            <a:pathLst>
              <a:path w="59570" h="59570">
                <a:moveTo>
                  <a:pt x="0" y="29785"/>
                </a:moveTo>
                <a:cubicBezTo>
                  <a:pt x="0" y="46235"/>
                  <a:pt x="13335" y="59570"/>
                  <a:pt x="29785" y="59570"/>
                </a:cubicBezTo>
                <a:cubicBezTo>
                  <a:pt x="46235" y="59570"/>
                  <a:pt x="59570" y="46235"/>
                  <a:pt x="59570" y="29785"/>
                </a:cubicBezTo>
                <a:cubicBezTo>
                  <a:pt x="59570" y="13335"/>
                  <a:pt x="46235" y="0"/>
                  <a:pt x="29785" y="0"/>
                </a:cubicBezTo>
                <a:cubicBezTo>
                  <a:pt x="13335" y="0"/>
                  <a:pt x="0" y="13335"/>
                  <a:pt x="0" y="29785"/>
                </a:cubicBezTo>
              </a:path>
            </a:pathLst>
          </a:custGeom>
          <a:noFill/>
          <a:ln w="11430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14" name="Rounded Rectangle 16">
            <a:extLst>
              <a:ext uri="{FF2B5EF4-FFF2-40B4-BE49-F238E27FC236}">
                <a16:creationId xmlns:a16="http://schemas.microsoft.com/office/drawing/2014/main" id="{0BDEE22F-0B35-7303-29B0-EA36D6BBDB14}"/>
              </a:ext>
            </a:extLst>
          </xdr:cNvPr>
          <xdr:cNvSpPr/>
        </xdr:nvSpPr>
        <xdr:spPr>
          <a:xfrm>
            <a:off x="4953672" y="5301131"/>
            <a:ext cx="59573" cy="59573"/>
          </a:xfrm>
          <a:custGeom>
            <a:avLst/>
            <a:gdLst/>
            <a:ahLst/>
            <a:cxnLst/>
            <a:rect l="0" t="0" r="0" b="0"/>
            <a:pathLst>
              <a:path w="59573" h="59573">
                <a:moveTo>
                  <a:pt x="0" y="29786"/>
                </a:moveTo>
                <a:cubicBezTo>
                  <a:pt x="0" y="46238"/>
                  <a:pt x="13335" y="59573"/>
                  <a:pt x="29786" y="59573"/>
                </a:cubicBezTo>
                <a:cubicBezTo>
                  <a:pt x="46238" y="59573"/>
                  <a:pt x="59573" y="46238"/>
                  <a:pt x="59573" y="29786"/>
                </a:cubicBezTo>
                <a:cubicBezTo>
                  <a:pt x="59573" y="13335"/>
                  <a:pt x="46238" y="0"/>
                  <a:pt x="29786" y="0"/>
                </a:cubicBezTo>
                <a:cubicBezTo>
                  <a:pt x="13335" y="0"/>
                  <a:pt x="0" y="13335"/>
                  <a:pt x="0" y="29786"/>
                </a:cubicBezTo>
              </a:path>
            </a:pathLst>
          </a:custGeom>
          <a:solidFill>
            <a:srgbClr val="4E88E7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15" name="Rounded Rectangle 17">
            <a:extLst>
              <a:ext uri="{FF2B5EF4-FFF2-40B4-BE49-F238E27FC236}">
                <a16:creationId xmlns:a16="http://schemas.microsoft.com/office/drawing/2014/main" id="{6E8B0D4D-E468-BF10-6AFC-3B798A31F061}"/>
              </a:ext>
            </a:extLst>
          </xdr:cNvPr>
          <xdr:cNvSpPr/>
        </xdr:nvSpPr>
        <xdr:spPr>
          <a:xfrm>
            <a:off x="4953672" y="5301133"/>
            <a:ext cx="59570" cy="59570"/>
          </a:xfrm>
          <a:custGeom>
            <a:avLst/>
            <a:gdLst/>
            <a:ahLst/>
            <a:cxnLst/>
            <a:rect l="0" t="0" r="0" b="0"/>
            <a:pathLst>
              <a:path w="59570" h="59570">
                <a:moveTo>
                  <a:pt x="0" y="29785"/>
                </a:moveTo>
                <a:cubicBezTo>
                  <a:pt x="0" y="46235"/>
                  <a:pt x="13335" y="59570"/>
                  <a:pt x="29785" y="59570"/>
                </a:cubicBezTo>
                <a:cubicBezTo>
                  <a:pt x="46235" y="59570"/>
                  <a:pt x="59570" y="46235"/>
                  <a:pt x="59570" y="29785"/>
                </a:cubicBezTo>
                <a:cubicBezTo>
                  <a:pt x="59570" y="13335"/>
                  <a:pt x="46235" y="0"/>
                  <a:pt x="29785" y="0"/>
                </a:cubicBezTo>
                <a:cubicBezTo>
                  <a:pt x="13335" y="0"/>
                  <a:pt x="0" y="13335"/>
                  <a:pt x="0" y="29785"/>
                </a:cubicBezTo>
              </a:path>
            </a:pathLst>
          </a:custGeom>
          <a:noFill/>
          <a:ln w="11430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16" name="Rounded Rectangle 18">
            <a:extLst>
              <a:ext uri="{FF2B5EF4-FFF2-40B4-BE49-F238E27FC236}">
                <a16:creationId xmlns:a16="http://schemas.microsoft.com/office/drawing/2014/main" id="{B99488F9-6EF3-8852-1818-2FE09A26446D}"/>
              </a:ext>
            </a:extLst>
          </xdr:cNvPr>
          <xdr:cNvSpPr/>
        </xdr:nvSpPr>
        <xdr:spPr>
          <a:xfrm>
            <a:off x="5227992" y="4699151"/>
            <a:ext cx="59573" cy="59573"/>
          </a:xfrm>
          <a:custGeom>
            <a:avLst/>
            <a:gdLst/>
            <a:ahLst/>
            <a:cxnLst/>
            <a:rect l="0" t="0" r="0" b="0"/>
            <a:pathLst>
              <a:path w="59573" h="59573">
                <a:moveTo>
                  <a:pt x="0" y="29786"/>
                </a:moveTo>
                <a:cubicBezTo>
                  <a:pt x="0" y="46238"/>
                  <a:pt x="13335" y="59573"/>
                  <a:pt x="29786" y="59573"/>
                </a:cubicBezTo>
                <a:cubicBezTo>
                  <a:pt x="46238" y="59573"/>
                  <a:pt x="59573" y="46238"/>
                  <a:pt x="59573" y="29786"/>
                </a:cubicBezTo>
                <a:cubicBezTo>
                  <a:pt x="59573" y="13335"/>
                  <a:pt x="46238" y="0"/>
                  <a:pt x="29786" y="0"/>
                </a:cubicBezTo>
                <a:cubicBezTo>
                  <a:pt x="13335" y="0"/>
                  <a:pt x="0" y="13335"/>
                  <a:pt x="0" y="29786"/>
                </a:cubicBezTo>
              </a:path>
            </a:pathLst>
          </a:custGeom>
          <a:solidFill>
            <a:srgbClr val="4E88E7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17" name="Rounded Rectangle 19">
            <a:extLst>
              <a:ext uri="{FF2B5EF4-FFF2-40B4-BE49-F238E27FC236}">
                <a16:creationId xmlns:a16="http://schemas.microsoft.com/office/drawing/2014/main" id="{8F9E24A4-BF19-E46E-9860-F0B57BA2D5F6}"/>
              </a:ext>
            </a:extLst>
          </xdr:cNvPr>
          <xdr:cNvSpPr/>
        </xdr:nvSpPr>
        <xdr:spPr>
          <a:xfrm>
            <a:off x="5227992" y="4699153"/>
            <a:ext cx="59570" cy="59570"/>
          </a:xfrm>
          <a:custGeom>
            <a:avLst/>
            <a:gdLst/>
            <a:ahLst/>
            <a:cxnLst/>
            <a:rect l="0" t="0" r="0" b="0"/>
            <a:pathLst>
              <a:path w="59570" h="59570">
                <a:moveTo>
                  <a:pt x="0" y="29785"/>
                </a:moveTo>
                <a:cubicBezTo>
                  <a:pt x="0" y="46235"/>
                  <a:pt x="13335" y="59570"/>
                  <a:pt x="29785" y="59570"/>
                </a:cubicBezTo>
                <a:cubicBezTo>
                  <a:pt x="46235" y="59570"/>
                  <a:pt x="59570" y="46235"/>
                  <a:pt x="59570" y="29785"/>
                </a:cubicBezTo>
                <a:cubicBezTo>
                  <a:pt x="59570" y="13335"/>
                  <a:pt x="46235" y="0"/>
                  <a:pt x="29785" y="0"/>
                </a:cubicBezTo>
                <a:cubicBezTo>
                  <a:pt x="13335" y="0"/>
                  <a:pt x="0" y="13335"/>
                  <a:pt x="0" y="29785"/>
                </a:cubicBezTo>
              </a:path>
            </a:pathLst>
          </a:custGeom>
          <a:noFill/>
          <a:ln w="11430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18" name="Rounded Rectangle 20">
            <a:extLst>
              <a:ext uri="{FF2B5EF4-FFF2-40B4-BE49-F238E27FC236}">
                <a16:creationId xmlns:a16="http://schemas.microsoft.com/office/drawing/2014/main" id="{0DBD5F43-3B61-A76E-D806-1FF012A41738}"/>
              </a:ext>
            </a:extLst>
          </xdr:cNvPr>
          <xdr:cNvSpPr/>
        </xdr:nvSpPr>
        <xdr:spPr>
          <a:xfrm>
            <a:off x="5502312" y="4333391"/>
            <a:ext cx="59573" cy="59573"/>
          </a:xfrm>
          <a:custGeom>
            <a:avLst/>
            <a:gdLst/>
            <a:ahLst/>
            <a:cxnLst/>
            <a:rect l="0" t="0" r="0" b="0"/>
            <a:pathLst>
              <a:path w="59573" h="59573">
                <a:moveTo>
                  <a:pt x="0" y="29786"/>
                </a:moveTo>
                <a:cubicBezTo>
                  <a:pt x="0" y="46238"/>
                  <a:pt x="13335" y="59573"/>
                  <a:pt x="29786" y="59573"/>
                </a:cubicBezTo>
                <a:cubicBezTo>
                  <a:pt x="46238" y="59573"/>
                  <a:pt x="59573" y="46238"/>
                  <a:pt x="59573" y="29786"/>
                </a:cubicBezTo>
                <a:cubicBezTo>
                  <a:pt x="59573" y="13335"/>
                  <a:pt x="46238" y="0"/>
                  <a:pt x="29786" y="0"/>
                </a:cubicBezTo>
                <a:cubicBezTo>
                  <a:pt x="13335" y="0"/>
                  <a:pt x="0" y="13335"/>
                  <a:pt x="0" y="29786"/>
                </a:cubicBezTo>
              </a:path>
            </a:pathLst>
          </a:custGeom>
          <a:solidFill>
            <a:srgbClr val="4E88E7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19" name="Rounded Rectangle 21">
            <a:extLst>
              <a:ext uri="{FF2B5EF4-FFF2-40B4-BE49-F238E27FC236}">
                <a16:creationId xmlns:a16="http://schemas.microsoft.com/office/drawing/2014/main" id="{D4EA56D6-2F62-9296-E107-D4A6C5A5DAE6}"/>
              </a:ext>
            </a:extLst>
          </xdr:cNvPr>
          <xdr:cNvSpPr/>
        </xdr:nvSpPr>
        <xdr:spPr>
          <a:xfrm>
            <a:off x="5502312" y="4333393"/>
            <a:ext cx="59570" cy="59570"/>
          </a:xfrm>
          <a:custGeom>
            <a:avLst/>
            <a:gdLst/>
            <a:ahLst/>
            <a:cxnLst/>
            <a:rect l="0" t="0" r="0" b="0"/>
            <a:pathLst>
              <a:path w="59570" h="59570">
                <a:moveTo>
                  <a:pt x="0" y="29785"/>
                </a:moveTo>
                <a:cubicBezTo>
                  <a:pt x="0" y="46235"/>
                  <a:pt x="13335" y="59570"/>
                  <a:pt x="29785" y="59570"/>
                </a:cubicBezTo>
                <a:cubicBezTo>
                  <a:pt x="46235" y="59570"/>
                  <a:pt x="59570" y="46235"/>
                  <a:pt x="59570" y="29785"/>
                </a:cubicBezTo>
                <a:cubicBezTo>
                  <a:pt x="59570" y="13335"/>
                  <a:pt x="46235" y="0"/>
                  <a:pt x="29785" y="0"/>
                </a:cubicBezTo>
                <a:cubicBezTo>
                  <a:pt x="13335" y="0"/>
                  <a:pt x="0" y="13335"/>
                  <a:pt x="0" y="29785"/>
                </a:cubicBezTo>
              </a:path>
            </a:pathLst>
          </a:custGeom>
          <a:noFill/>
          <a:ln w="11430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20" name="Rounded Rectangle 22">
            <a:extLst>
              <a:ext uri="{FF2B5EF4-FFF2-40B4-BE49-F238E27FC236}">
                <a16:creationId xmlns:a16="http://schemas.microsoft.com/office/drawing/2014/main" id="{65CD2F3C-464A-42A2-38C1-362F979A28A4}"/>
              </a:ext>
            </a:extLst>
          </xdr:cNvPr>
          <xdr:cNvSpPr/>
        </xdr:nvSpPr>
        <xdr:spPr>
          <a:xfrm>
            <a:off x="5776632" y="3860951"/>
            <a:ext cx="59573" cy="59573"/>
          </a:xfrm>
          <a:custGeom>
            <a:avLst/>
            <a:gdLst/>
            <a:ahLst/>
            <a:cxnLst/>
            <a:rect l="0" t="0" r="0" b="0"/>
            <a:pathLst>
              <a:path w="59573" h="59573">
                <a:moveTo>
                  <a:pt x="0" y="29786"/>
                </a:moveTo>
                <a:cubicBezTo>
                  <a:pt x="0" y="46238"/>
                  <a:pt x="13335" y="59573"/>
                  <a:pt x="29786" y="59573"/>
                </a:cubicBezTo>
                <a:cubicBezTo>
                  <a:pt x="46238" y="59573"/>
                  <a:pt x="59573" y="46238"/>
                  <a:pt x="59573" y="29786"/>
                </a:cubicBezTo>
                <a:cubicBezTo>
                  <a:pt x="59573" y="13335"/>
                  <a:pt x="46238" y="0"/>
                  <a:pt x="29786" y="0"/>
                </a:cubicBezTo>
                <a:cubicBezTo>
                  <a:pt x="13335" y="0"/>
                  <a:pt x="0" y="13335"/>
                  <a:pt x="0" y="29786"/>
                </a:cubicBezTo>
              </a:path>
            </a:pathLst>
          </a:custGeom>
          <a:solidFill>
            <a:srgbClr val="4E88E7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21" name="Rounded Rectangle 23">
            <a:extLst>
              <a:ext uri="{FF2B5EF4-FFF2-40B4-BE49-F238E27FC236}">
                <a16:creationId xmlns:a16="http://schemas.microsoft.com/office/drawing/2014/main" id="{6BFB1ADE-F9EC-8B82-0327-3B00EDE2A8ED}"/>
              </a:ext>
            </a:extLst>
          </xdr:cNvPr>
          <xdr:cNvSpPr/>
        </xdr:nvSpPr>
        <xdr:spPr>
          <a:xfrm>
            <a:off x="5776632" y="3860953"/>
            <a:ext cx="59570" cy="59570"/>
          </a:xfrm>
          <a:custGeom>
            <a:avLst/>
            <a:gdLst/>
            <a:ahLst/>
            <a:cxnLst/>
            <a:rect l="0" t="0" r="0" b="0"/>
            <a:pathLst>
              <a:path w="59570" h="59570">
                <a:moveTo>
                  <a:pt x="0" y="29785"/>
                </a:moveTo>
                <a:cubicBezTo>
                  <a:pt x="0" y="46235"/>
                  <a:pt x="13335" y="59570"/>
                  <a:pt x="29785" y="59570"/>
                </a:cubicBezTo>
                <a:cubicBezTo>
                  <a:pt x="46235" y="59570"/>
                  <a:pt x="59570" y="46235"/>
                  <a:pt x="59570" y="29785"/>
                </a:cubicBezTo>
                <a:cubicBezTo>
                  <a:pt x="59570" y="13335"/>
                  <a:pt x="46235" y="0"/>
                  <a:pt x="29785" y="0"/>
                </a:cubicBezTo>
                <a:cubicBezTo>
                  <a:pt x="13335" y="0"/>
                  <a:pt x="0" y="13335"/>
                  <a:pt x="0" y="29785"/>
                </a:cubicBezTo>
              </a:path>
            </a:pathLst>
          </a:custGeom>
          <a:noFill/>
          <a:ln w="11430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22" name="Rounded Rectangle 24">
            <a:extLst>
              <a:ext uri="{FF2B5EF4-FFF2-40B4-BE49-F238E27FC236}">
                <a16:creationId xmlns:a16="http://schemas.microsoft.com/office/drawing/2014/main" id="{B4A6D176-CCB2-AA67-6028-F63A6DA4D30C}"/>
              </a:ext>
            </a:extLst>
          </xdr:cNvPr>
          <xdr:cNvSpPr/>
        </xdr:nvSpPr>
        <xdr:spPr>
          <a:xfrm>
            <a:off x="6050952" y="3929531"/>
            <a:ext cx="59573" cy="59573"/>
          </a:xfrm>
          <a:custGeom>
            <a:avLst/>
            <a:gdLst/>
            <a:ahLst/>
            <a:cxnLst/>
            <a:rect l="0" t="0" r="0" b="0"/>
            <a:pathLst>
              <a:path w="59573" h="59573">
                <a:moveTo>
                  <a:pt x="0" y="29786"/>
                </a:moveTo>
                <a:cubicBezTo>
                  <a:pt x="0" y="46238"/>
                  <a:pt x="13335" y="59573"/>
                  <a:pt x="29786" y="59573"/>
                </a:cubicBezTo>
                <a:cubicBezTo>
                  <a:pt x="46238" y="59573"/>
                  <a:pt x="59573" y="46238"/>
                  <a:pt x="59573" y="29786"/>
                </a:cubicBezTo>
                <a:cubicBezTo>
                  <a:pt x="59573" y="13335"/>
                  <a:pt x="46238" y="0"/>
                  <a:pt x="29786" y="0"/>
                </a:cubicBezTo>
                <a:cubicBezTo>
                  <a:pt x="13335" y="0"/>
                  <a:pt x="0" y="13335"/>
                  <a:pt x="0" y="29786"/>
                </a:cubicBezTo>
              </a:path>
            </a:pathLst>
          </a:custGeom>
          <a:solidFill>
            <a:srgbClr val="4E88E7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23" name="Rounded Rectangle 25">
            <a:extLst>
              <a:ext uri="{FF2B5EF4-FFF2-40B4-BE49-F238E27FC236}">
                <a16:creationId xmlns:a16="http://schemas.microsoft.com/office/drawing/2014/main" id="{B342EF50-6AEA-AA52-56AA-A09E978F75E7}"/>
              </a:ext>
            </a:extLst>
          </xdr:cNvPr>
          <xdr:cNvSpPr/>
        </xdr:nvSpPr>
        <xdr:spPr>
          <a:xfrm>
            <a:off x="6050952" y="3929533"/>
            <a:ext cx="59570" cy="59570"/>
          </a:xfrm>
          <a:custGeom>
            <a:avLst/>
            <a:gdLst/>
            <a:ahLst/>
            <a:cxnLst/>
            <a:rect l="0" t="0" r="0" b="0"/>
            <a:pathLst>
              <a:path w="59570" h="59570">
                <a:moveTo>
                  <a:pt x="0" y="29785"/>
                </a:moveTo>
                <a:cubicBezTo>
                  <a:pt x="0" y="46235"/>
                  <a:pt x="13335" y="59570"/>
                  <a:pt x="29785" y="59570"/>
                </a:cubicBezTo>
                <a:cubicBezTo>
                  <a:pt x="46235" y="59570"/>
                  <a:pt x="59570" y="46235"/>
                  <a:pt x="59570" y="29785"/>
                </a:cubicBezTo>
                <a:cubicBezTo>
                  <a:pt x="59570" y="13335"/>
                  <a:pt x="46235" y="0"/>
                  <a:pt x="29785" y="0"/>
                </a:cubicBezTo>
                <a:cubicBezTo>
                  <a:pt x="13335" y="0"/>
                  <a:pt x="0" y="13335"/>
                  <a:pt x="0" y="29785"/>
                </a:cubicBezTo>
              </a:path>
            </a:pathLst>
          </a:custGeom>
          <a:noFill/>
          <a:ln w="11430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24" name="Rounded Rectangle 26">
            <a:extLst>
              <a:ext uri="{FF2B5EF4-FFF2-40B4-BE49-F238E27FC236}">
                <a16:creationId xmlns:a16="http://schemas.microsoft.com/office/drawing/2014/main" id="{FF127BB1-AB39-512F-A032-862118547B26}"/>
              </a:ext>
            </a:extLst>
          </xdr:cNvPr>
          <xdr:cNvSpPr/>
        </xdr:nvSpPr>
        <xdr:spPr>
          <a:xfrm>
            <a:off x="3063217" y="2321019"/>
            <a:ext cx="3017520" cy="1920240"/>
          </a:xfrm>
          <a:custGeom>
            <a:avLst/>
            <a:gdLst/>
            <a:ahLst/>
            <a:cxnLst/>
            <a:rect l="0" t="0" r="0" b="0"/>
            <a:pathLst>
              <a:path w="3017520" h="1920240">
                <a:moveTo>
                  <a:pt x="0" y="800100"/>
                </a:moveTo>
                <a:lnTo>
                  <a:pt x="274320" y="624840"/>
                </a:lnTo>
                <a:lnTo>
                  <a:pt x="548640" y="434340"/>
                </a:lnTo>
                <a:lnTo>
                  <a:pt x="822960" y="1478280"/>
                </a:lnTo>
                <a:lnTo>
                  <a:pt x="1097280" y="1638300"/>
                </a:lnTo>
                <a:lnTo>
                  <a:pt x="1371600" y="1737360"/>
                </a:lnTo>
                <a:lnTo>
                  <a:pt x="1645920" y="1851660"/>
                </a:lnTo>
                <a:lnTo>
                  <a:pt x="1920240" y="1920240"/>
                </a:lnTo>
                <a:lnTo>
                  <a:pt x="2194560" y="1158240"/>
                </a:lnTo>
                <a:lnTo>
                  <a:pt x="2468880" y="716280"/>
                </a:lnTo>
                <a:lnTo>
                  <a:pt x="2743200" y="266700"/>
                </a:lnTo>
                <a:lnTo>
                  <a:pt x="3017520" y="0"/>
                </a:lnTo>
              </a:path>
            </a:pathLst>
          </a:custGeom>
          <a:noFill/>
          <a:ln w="11430">
            <a:solidFill>
              <a:srgbClr val="E0CB15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25" name="Rounded Rectangle 27">
            <a:extLst>
              <a:ext uri="{FF2B5EF4-FFF2-40B4-BE49-F238E27FC236}">
                <a16:creationId xmlns:a16="http://schemas.microsoft.com/office/drawing/2014/main" id="{0380F479-76FD-9D48-E5B5-368B5A5D53A3}"/>
              </a:ext>
            </a:extLst>
          </xdr:cNvPr>
          <xdr:cNvSpPr/>
        </xdr:nvSpPr>
        <xdr:spPr>
          <a:xfrm>
            <a:off x="3033432" y="3091331"/>
            <a:ext cx="59573" cy="59573"/>
          </a:xfrm>
          <a:custGeom>
            <a:avLst/>
            <a:gdLst/>
            <a:ahLst/>
            <a:cxnLst/>
            <a:rect l="0" t="0" r="0" b="0"/>
            <a:pathLst>
              <a:path w="59573" h="59573">
                <a:moveTo>
                  <a:pt x="0" y="29786"/>
                </a:moveTo>
                <a:cubicBezTo>
                  <a:pt x="0" y="46238"/>
                  <a:pt x="13335" y="59573"/>
                  <a:pt x="29786" y="59573"/>
                </a:cubicBezTo>
                <a:cubicBezTo>
                  <a:pt x="46238" y="59573"/>
                  <a:pt x="59573" y="46238"/>
                  <a:pt x="59573" y="29786"/>
                </a:cubicBezTo>
                <a:cubicBezTo>
                  <a:pt x="59573" y="13335"/>
                  <a:pt x="46238" y="0"/>
                  <a:pt x="29786" y="0"/>
                </a:cubicBezTo>
                <a:cubicBezTo>
                  <a:pt x="13335" y="0"/>
                  <a:pt x="0" y="13335"/>
                  <a:pt x="0" y="29786"/>
                </a:cubicBezTo>
              </a:path>
            </a:pathLst>
          </a:custGeom>
          <a:solidFill>
            <a:srgbClr val="E0CB15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26" name="Rounded Rectangle 28">
            <a:extLst>
              <a:ext uri="{FF2B5EF4-FFF2-40B4-BE49-F238E27FC236}">
                <a16:creationId xmlns:a16="http://schemas.microsoft.com/office/drawing/2014/main" id="{4A61114A-901F-F26B-0DD5-B6F206192E20}"/>
              </a:ext>
            </a:extLst>
          </xdr:cNvPr>
          <xdr:cNvSpPr/>
        </xdr:nvSpPr>
        <xdr:spPr>
          <a:xfrm>
            <a:off x="3033432" y="3091333"/>
            <a:ext cx="59570" cy="59570"/>
          </a:xfrm>
          <a:custGeom>
            <a:avLst/>
            <a:gdLst/>
            <a:ahLst/>
            <a:cxnLst/>
            <a:rect l="0" t="0" r="0" b="0"/>
            <a:pathLst>
              <a:path w="59570" h="59570">
                <a:moveTo>
                  <a:pt x="0" y="29785"/>
                </a:moveTo>
                <a:cubicBezTo>
                  <a:pt x="0" y="46235"/>
                  <a:pt x="13335" y="59570"/>
                  <a:pt x="29785" y="59570"/>
                </a:cubicBezTo>
                <a:cubicBezTo>
                  <a:pt x="46235" y="59570"/>
                  <a:pt x="59570" y="46235"/>
                  <a:pt x="59570" y="29785"/>
                </a:cubicBezTo>
                <a:cubicBezTo>
                  <a:pt x="59570" y="13335"/>
                  <a:pt x="46235" y="0"/>
                  <a:pt x="29785" y="0"/>
                </a:cubicBezTo>
                <a:cubicBezTo>
                  <a:pt x="13335" y="0"/>
                  <a:pt x="0" y="13335"/>
                  <a:pt x="0" y="29785"/>
                </a:cubicBezTo>
              </a:path>
            </a:pathLst>
          </a:custGeom>
          <a:noFill/>
          <a:ln w="11430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27" name="Rounded Rectangle 29">
            <a:extLst>
              <a:ext uri="{FF2B5EF4-FFF2-40B4-BE49-F238E27FC236}">
                <a16:creationId xmlns:a16="http://schemas.microsoft.com/office/drawing/2014/main" id="{B915C2C2-0948-C3A3-3E08-54AD769F448D}"/>
              </a:ext>
            </a:extLst>
          </xdr:cNvPr>
          <xdr:cNvSpPr/>
        </xdr:nvSpPr>
        <xdr:spPr>
          <a:xfrm>
            <a:off x="3307752" y="2916071"/>
            <a:ext cx="59573" cy="59573"/>
          </a:xfrm>
          <a:custGeom>
            <a:avLst/>
            <a:gdLst/>
            <a:ahLst/>
            <a:cxnLst/>
            <a:rect l="0" t="0" r="0" b="0"/>
            <a:pathLst>
              <a:path w="59573" h="59573">
                <a:moveTo>
                  <a:pt x="0" y="29786"/>
                </a:moveTo>
                <a:cubicBezTo>
                  <a:pt x="0" y="46238"/>
                  <a:pt x="13335" y="59573"/>
                  <a:pt x="29786" y="59573"/>
                </a:cubicBezTo>
                <a:cubicBezTo>
                  <a:pt x="46238" y="59573"/>
                  <a:pt x="59573" y="46238"/>
                  <a:pt x="59573" y="29786"/>
                </a:cubicBezTo>
                <a:cubicBezTo>
                  <a:pt x="59573" y="13335"/>
                  <a:pt x="46238" y="0"/>
                  <a:pt x="29786" y="0"/>
                </a:cubicBezTo>
                <a:cubicBezTo>
                  <a:pt x="13335" y="0"/>
                  <a:pt x="0" y="13335"/>
                  <a:pt x="0" y="29786"/>
                </a:cubicBezTo>
              </a:path>
            </a:pathLst>
          </a:custGeom>
          <a:solidFill>
            <a:srgbClr val="E0CB15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28" name="Rounded Rectangle 30">
            <a:extLst>
              <a:ext uri="{FF2B5EF4-FFF2-40B4-BE49-F238E27FC236}">
                <a16:creationId xmlns:a16="http://schemas.microsoft.com/office/drawing/2014/main" id="{8C48FC12-553F-6249-0B15-EFC015034D0A}"/>
              </a:ext>
            </a:extLst>
          </xdr:cNvPr>
          <xdr:cNvSpPr/>
        </xdr:nvSpPr>
        <xdr:spPr>
          <a:xfrm>
            <a:off x="3307752" y="2916073"/>
            <a:ext cx="59570" cy="59570"/>
          </a:xfrm>
          <a:custGeom>
            <a:avLst/>
            <a:gdLst/>
            <a:ahLst/>
            <a:cxnLst/>
            <a:rect l="0" t="0" r="0" b="0"/>
            <a:pathLst>
              <a:path w="59570" h="59570">
                <a:moveTo>
                  <a:pt x="0" y="29785"/>
                </a:moveTo>
                <a:cubicBezTo>
                  <a:pt x="0" y="46235"/>
                  <a:pt x="13335" y="59570"/>
                  <a:pt x="29785" y="59570"/>
                </a:cubicBezTo>
                <a:cubicBezTo>
                  <a:pt x="46235" y="59570"/>
                  <a:pt x="59570" y="46235"/>
                  <a:pt x="59570" y="29785"/>
                </a:cubicBezTo>
                <a:cubicBezTo>
                  <a:pt x="59570" y="13335"/>
                  <a:pt x="46235" y="0"/>
                  <a:pt x="29785" y="0"/>
                </a:cubicBezTo>
                <a:cubicBezTo>
                  <a:pt x="13335" y="0"/>
                  <a:pt x="0" y="13335"/>
                  <a:pt x="0" y="29785"/>
                </a:cubicBezTo>
              </a:path>
            </a:pathLst>
          </a:custGeom>
          <a:noFill/>
          <a:ln w="11430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29" name="Rounded Rectangle 31">
            <a:extLst>
              <a:ext uri="{FF2B5EF4-FFF2-40B4-BE49-F238E27FC236}">
                <a16:creationId xmlns:a16="http://schemas.microsoft.com/office/drawing/2014/main" id="{917E31E0-7F62-081B-0A62-54CE938A42F0}"/>
              </a:ext>
            </a:extLst>
          </xdr:cNvPr>
          <xdr:cNvSpPr/>
        </xdr:nvSpPr>
        <xdr:spPr>
          <a:xfrm>
            <a:off x="3582072" y="2725571"/>
            <a:ext cx="59573" cy="59573"/>
          </a:xfrm>
          <a:custGeom>
            <a:avLst/>
            <a:gdLst/>
            <a:ahLst/>
            <a:cxnLst/>
            <a:rect l="0" t="0" r="0" b="0"/>
            <a:pathLst>
              <a:path w="59573" h="59573">
                <a:moveTo>
                  <a:pt x="0" y="29786"/>
                </a:moveTo>
                <a:cubicBezTo>
                  <a:pt x="0" y="46238"/>
                  <a:pt x="13335" y="59573"/>
                  <a:pt x="29786" y="59573"/>
                </a:cubicBezTo>
                <a:cubicBezTo>
                  <a:pt x="46238" y="59573"/>
                  <a:pt x="59573" y="46238"/>
                  <a:pt x="59573" y="29786"/>
                </a:cubicBezTo>
                <a:cubicBezTo>
                  <a:pt x="59573" y="13335"/>
                  <a:pt x="46238" y="0"/>
                  <a:pt x="29786" y="0"/>
                </a:cubicBezTo>
                <a:cubicBezTo>
                  <a:pt x="13335" y="0"/>
                  <a:pt x="0" y="13335"/>
                  <a:pt x="0" y="29786"/>
                </a:cubicBezTo>
              </a:path>
            </a:pathLst>
          </a:custGeom>
          <a:solidFill>
            <a:srgbClr val="E0CB15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30" name="Rounded Rectangle 32">
            <a:extLst>
              <a:ext uri="{FF2B5EF4-FFF2-40B4-BE49-F238E27FC236}">
                <a16:creationId xmlns:a16="http://schemas.microsoft.com/office/drawing/2014/main" id="{9E9BAC54-C98C-650F-1596-E6B7ADDF5660}"/>
              </a:ext>
            </a:extLst>
          </xdr:cNvPr>
          <xdr:cNvSpPr/>
        </xdr:nvSpPr>
        <xdr:spPr>
          <a:xfrm>
            <a:off x="3582072" y="2725573"/>
            <a:ext cx="59570" cy="59570"/>
          </a:xfrm>
          <a:custGeom>
            <a:avLst/>
            <a:gdLst/>
            <a:ahLst/>
            <a:cxnLst/>
            <a:rect l="0" t="0" r="0" b="0"/>
            <a:pathLst>
              <a:path w="59570" h="59570">
                <a:moveTo>
                  <a:pt x="0" y="29785"/>
                </a:moveTo>
                <a:cubicBezTo>
                  <a:pt x="0" y="46235"/>
                  <a:pt x="13335" y="59570"/>
                  <a:pt x="29785" y="59570"/>
                </a:cubicBezTo>
                <a:cubicBezTo>
                  <a:pt x="46235" y="59570"/>
                  <a:pt x="59570" y="46235"/>
                  <a:pt x="59570" y="29785"/>
                </a:cubicBezTo>
                <a:cubicBezTo>
                  <a:pt x="59570" y="13335"/>
                  <a:pt x="46235" y="0"/>
                  <a:pt x="29785" y="0"/>
                </a:cubicBezTo>
                <a:cubicBezTo>
                  <a:pt x="13335" y="0"/>
                  <a:pt x="0" y="13335"/>
                  <a:pt x="0" y="29785"/>
                </a:cubicBezTo>
              </a:path>
            </a:pathLst>
          </a:custGeom>
          <a:noFill/>
          <a:ln w="11430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31" name="Rounded Rectangle 33">
            <a:extLst>
              <a:ext uri="{FF2B5EF4-FFF2-40B4-BE49-F238E27FC236}">
                <a16:creationId xmlns:a16="http://schemas.microsoft.com/office/drawing/2014/main" id="{23FF5E0F-F770-52AB-E82B-D8B7EA5F439C}"/>
              </a:ext>
            </a:extLst>
          </xdr:cNvPr>
          <xdr:cNvSpPr/>
        </xdr:nvSpPr>
        <xdr:spPr>
          <a:xfrm>
            <a:off x="3856392" y="3769511"/>
            <a:ext cx="59573" cy="59573"/>
          </a:xfrm>
          <a:custGeom>
            <a:avLst/>
            <a:gdLst/>
            <a:ahLst/>
            <a:cxnLst/>
            <a:rect l="0" t="0" r="0" b="0"/>
            <a:pathLst>
              <a:path w="59573" h="59573">
                <a:moveTo>
                  <a:pt x="0" y="29786"/>
                </a:moveTo>
                <a:cubicBezTo>
                  <a:pt x="0" y="46238"/>
                  <a:pt x="13335" y="59573"/>
                  <a:pt x="29786" y="59573"/>
                </a:cubicBezTo>
                <a:cubicBezTo>
                  <a:pt x="46238" y="59573"/>
                  <a:pt x="59573" y="46238"/>
                  <a:pt x="59573" y="29786"/>
                </a:cubicBezTo>
                <a:cubicBezTo>
                  <a:pt x="59573" y="13335"/>
                  <a:pt x="46238" y="0"/>
                  <a:pt x="29786" y="0"/>
                </a:cubicBezTo>
                <a:cubicBezTo>
                  <a:pt x="13335" y="0"/>
                  <a:pt x="0" y="13335"/>
                  <a:pt x="0" y="29786"/>
                </a:cubicBezTo>
              </a:path>
            </a:pathLst>
          </a:custGeom>
          <a:solidFill>
            <a:srgbClr val="E0CB15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32" name="Rounded Rectangle 34">
            <a:extLst>
              <a:ext uri="{FF2B5EF4-FFF2-40B4-BE49-F238E27FC236}">
                <a16:creationId xmlns:a16="http://schemas.microsoft.com/office/drawing/2014/main" id="{5CE99572-0CBE-7DCB-E5D5-1A1702B53188}"/>
              </a:ext>
            </a:extLst>
          </xdr:cNvPr>
          <xdr:cNvSpPr/>
        </xdr:nvSpPr>
        <xdr:spPr>
          <a:xfrm>
            <a:off x="3856392" y="3769513"/>
            <a:ext cx="59570" cy="59570"/>
          </a:xfrm>
          <a:custGeom>
            <a:avLst/>
            <a:gdLst/>
            <a:ahLst/>
            <a:cxnLst/>
            <a:rect l="0" t="0" r="0" b="0"/>
            <a:pathLst>
              <a:path w="59570" h="59570">
                <a:moveTo>
                  <a:pt x="0" y="29785"/>
                </a:moveTo>
                <a:cubicBezTo>
                  <a:pt x="0" y="46235"/>
                  <a:pt x="13335" y="59570"/>
                  <a:pt x="29785" y="59570"/>
                </a:cubicBezTo>
                <a:cubicBezTo>
                  <a:pt x="46235" y="59570"/>
                  <a:pt x="59570" y="46235"/>
                  <a:pt x="59570" y="29785"/>
                </a:cubicBezTo>
                <a:cubicBezTo>
                  <a:pt x="59570" y="13335"/>
                  <a:pt x="46235" y="0"/>
                  <a:pt x="29785" y="0"/>
                </a:cubicBezTo>
                <a:cubicBezTo>
                  <a:pt x="13335" y="0"/>
                  <a:pt x="0" y="13335"/>
                  <a:pt x="0" y="29785"/>
                </a:cubicBezTo>
              </a:path>
            </a:pathLst>
          </a:custGeom>
          <a:noFill/>
          <a:ln w="11430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33" name="Rounded Rectangle 35">
            <a:extLst>
              <a:ext uri="{FF2B5EF4-FFF2-40B4-BE49-F238E27FC236}">
                <a16:creationId xmlns:a16="http://schemas.microsoft.com/office/drawing/2014/main" id="{D6EF1BB9-EF05-7319-B75D-901CBEA23E5B}"/>
              </a:ext>
            </a:extLst>
          </xdr:cNvPr>
          <xdr:cNvSpPr/>
        </xdr:nvSpPr>
        <xdr:spPr>
          <a:xfrm>
            <a:off x="4130712" y="3929531"/>
            <a:ext cx="59573" cy="59573"/>
          </a:xfrm>
          <a:custGeom>
            <a:avLst/>
            <a:gdLst/>
            <a:ahLst/>
            <a:cxnLst/>
            <a:rect l="0" t="0" r="0" b="0"/>
            <a:pathLst>
              <a:path w="59573" h="59573">
                <a:moveTo>
                  <a:pt x="0" y="29786"/>
                </a:moveTo>
                <a:cubicBezTo>
                  <a:pt x="0" y="46238"/>
                  <a:pt x="13335" y="59573"/>
                  <a:pt x="29786" y="59573"/>
                </a:cubicBezTo>
                <a:cubicBezTo>
                  <a:pt x="46238" y="59573"/>
                  <a:pt x="59573" y="46238"/>
                  <a:pt x="59573" y="29786"/>
                </a:cubicBezTo>
                <a:cubicBezTo>
                  <a:pt x="59573" y="13335"/>
                  <a:pt x="46238" y="0"/>
                  <a:pt x="29786" y="0"/>
                </a:cubicBezTo>
                <a:cubicBezTo>
                  <a:pt x="13335" y="0"/>
                  <a:pt x="0" y="13335"/>
                  <a:pt x="0" y="29786"/>
                </a:cubicBezTo>
              </a:path>
            </a:pathLst>
          </a:custGeom>
          <a:solidFill>
            <a:srgbClr val="E0CB15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34" name="Rounded Rectangle 36">
            <a:extLst>
              <a:ext uri="{FF2B5EF4-FFF2-40B4-BE49-F238E27FC236}">
                <a16:creationId xmlns:a16="http://schemas.microsoft.com/office/drawing/2014/main" id="{1E1AFA49-F0F3-2B63-EE2C-210BD319149B}"/>
              </a:ext>
            </a:extLst>
          </xdr:cNvPr>
          <xdr:cNvSpPr/>
        </xdr:nvSpPr>
        <xdr:spPr>
          <a:xfrm>
            <a:off x="4130712" y="3929533"/>
            <a:ext cx="59570" cy="59570"/>
          </a:xfrm>
          <a:custGeom>
            <a:avLst/>
            <a:gdLst/>
            <a:ahLst/>
            <a:cxnLst/>
            <a:rect l="0" t="0" r="0" b="0"/>
            <a:pathLst>
              <a:path w="59570" h="59570">
                <a:moveTo>
                  <a:pt x="0" y="29785"/>
                </a:moveTo>
                <a:cubicBezTo>
                  <a:pt x="0" y="46235"/>
                  <a:pt x="13335" y="59570"/>
                  <a:pt x="29785" y="59570"/>
                </a:cubicBezTo>
                <a:cubicBezTo>
                  <a:pt x="46235" y="59570"/>
                  <a:pt x="59570" y="46235"/>
                  <a:pt x="59570" y="29785"/>
                </a:cubicBezTo>
                <a:cubicBezTo>
                  <a:pt x="59570" y="13335"/>
                  <a:pt x="46235" y="0"/>
                  <a:pt x="29785" y="0"/>
                </a:cubicBezTo>
                <a:cubicBezTo>
                  <a:pt x="13335" y="0"/>
                  <a:pt x="0" y="13335"/>
                  <a:pt x="0" y="29785"/>
                </a:cubicBezTo>
              </a:path>
            </a:pathLst>
          </a:custGeom>
          <a:noFill/>
          <a:ln w="11430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35" name="Rounded Rectangle 37">
            <a:extLst>
              <a:ext uri="{FF2B5EF4-FFF2-40B4-BE49-F238E27FC236}">
                <a16:creationId xmlns:a16="http://schemas.microsoft.com/office/drawing/2014/main" id="{2DC51E79-8ED4-9043-745D-E7AAA7E21332}"/>
              </a:ext>
            </a:extLst>
          </xdr:cNvPr>
          <xdr:cNvSpPr/>
        </xdr:nvSpPr>
        <xdr:spPr>
          <a:xfrm>
            <a:off x="4405032" y="4028591"/>
            <a:ext cx="59573" cy="59573"/>
          </a:xfrm>
          <a:custGeom>
            <a:avLst/>
            <a:gdLst/>
            <a:ahLst/>
            <a:cxnLst/>
            <a:rect l="0" t="0" r="0" b="0"/>
            <a:pathLst>
              <a:path w="59573" h="59573">
                <a:moveTo>
                  <a:pt x="0" y="29786"/>
                </a:moveTo>
                <a:cubicBezTo>
                  <a:pt x="0" y="46238"/>
                  <a:pt x="13335" y="59573"/>
                  <a:pt x="29786" y="59573"/>
                </a:cubicBezTo>
                <a:cubicBezTo>
                  <a:pt x="46238" y="59573"/>
                  <a:pt x="59573" y="46238"/>
                  <a:pt x="59573" y="29786"/>
                </a:cubicBezTo>
                <a:cubicBezTo>
                  <a:pt x="59573" y="13335"/>
                  <a:pt x="46238" y="0"/>
                  <a:pt x="29786" y="0"/>
                </a:cubicBezTo>
                <a:cubicBezTo>
                  <a:pt x="13335" y="0"/>
                  <a:pt x="0" y="13335"/>
                  <a:pt x="0" y="29786"/>
                </a:cubicBezTo>
              </a:path>
            </a:pathLst>
          </a:custGeom>
          <a:solidFill>
            <a:srgbClr val="E0CB15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36" name="Rounded Rectangle 38">
            <a:extLst>
              <a:ext uri="{FF2B5EF4-FFF2-40B4-BE49-F238E27FC236}">
                <a16:creationId xmlns:a16="http://schemas.microsoft.com/office/drawing/2014/main" id="{972E4D4A-56E2-8003-CD26-CF445FE1BC9C}"/>
              </a:ext>
            </a:extLst>
          </xdr:cNvPr>
          <xdr:cNvSpPr/>
        </xdr:nvSpPr>
        <xdr:spPr>
          <a:xfrm>
            <a:off x="4405032" y="4028593"/>
            <a:ext cx="59570" cy="59570"/>
          </a:xfrm>
          <a:custGeom>
            <a:avLst/>
            <a:gdLst/>
            <a:ahLst/>
            <a:cxnLst/>
            <a:rect l="0" t="0" r="0" b="0"/>
            <a:pathLst>
              <a:path w="59570" h="59570">
                <a:moveTo>
                  <a:pt x="0" y="29785"/>
                </a:moveTo>
                <a:cubicBezTo>
                  <a:pt x="0" y="46235"/>
                  <a:pt x="13335" y="59570"/>
                  <a:pt x="29785" y="59570"/>
                </a:cubicBezTo>
                <a:cubicBezTo>
                  <a:pt x="46235" y="59570"/>
                  <a:pt x="59570" y="46235"/>
                  <a:pt x="59570" y="29785"/>
                </a:cubicBezTo>
                <a:cubicBezTo>
                  <a:pt x="59570" y="13335"/>
                  <a:pt x="46235" y="0"/>
                  <a:pt x="29785" y="0"/>
                </a:cubicBezTo>
                <a:cubicBezTo>
                  <a:pt x="13335" y="0"/>
                  <a:pt x="0" y="13335"/>
                  <a:pt x="0" y="29785"/>
                </a:cubicBezTo>
              </a:path>
            </a:pathLst>
          </a:custGeom>
          <a:noFill/>
          <a:ln w="11430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37" name="Rounded Rectangle 39">
            <a:extLst>
              <a:ext uri="{FF2B5EF4-FFF2-40B4-BE49-F238E27FC236}">
                <a16:creationId xmlns:a16="http://schemas.microsoft.com/office/drawing/2014/main" id="{8D13ACE7-48F8-632E-2640-F08273B50248}"/>
              </a:ext>
            </a:extLst>
          </xdr:cNvPr>
          <xdr:cNvSpPr/>
        </xdr:nvSpPr>
        <xdr:spPr>
          <a:xfrm>
            <a:off x="4679352" y="4142891"/>
            <a:ext cx="59573" cy="59573"/>
          </a:xfrm>
          <a:custGeom>
            <a:avLst/>
            <a:gdLst/>
            <a:ahLst/>
            <a:cxnLst/>
            <a:rect l="0" t="0" r="0" b="0"/>
            <a:pathLst>
              <a:path w="59573" h="59573">
                <a:moveTo>
                  <a:pt x="0" y="29786"/>
                </a:moveTo>
                <a:cubicBezTo>
                  <a:pt x="0" y="46238"/>
                  <a:pt x="13335" y="59573"/>
                  <a:pt x="29786" y="59573"/>
                </a:cubicBezTo>
                <a:cubicBezTo>
                  <a:pt x="46238" y="59573"/>
                  <a:pt x="59573" y="46238"/>
                  <a:pt x="59573" y="29786"/>
                </a:cubicBezTo>
                <a:cubicBezTo>
                  <a:pt x="59573" y="13335"/>
                  <a:pt x="46238" y="0"/>
                  <a:pt x="29786" y="0"/>
                </a:cubicBezTo>
                <a:cubicBezTo>
                  <a:pt x="13335" y="0"/>
                  <a:pt x="0" y="13335"/>
                  <a:pt x="0" y="29786"/>
                </a:cubicBezTo>
              </a:path>
            </a:pathLst>
          </a:custGeom>
          <a:solidFill>
            <a:srgbClr val="E0CB15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38" name="Rounded Rectangle 40">
            <a:extLst>
              <a:ext uri="{FF2B5EF4-FFF2-40B4-BE49-F238E27FC236}">
                <a16:creationId xmlns:a16="http://schemas.microsoft.com/office/drawing/2014/main" id="{B05271BC-BB8E-58C9-32BE-1975482AB96F}"/>
              </a:ext>
            </a:extLst>
          </xdr:cNvPr>
          <xdr:cNvSpPr/>
        </xdr:nvSpPr>
        <xdr:spPr>
          <a:xfrm>
            <a:off x="4679352" y="4142893"/>
            <a:ext cx="59570" cy="59570"/>
          </a:xfrm>
          <a:custGeom>
            <a:avLst/>
            <a:gdLst/>
            <a:ahLst/>
            <a:cxnLst/>
            <a:rect l="0" t="0" r="0" b="0"/>
            <a:pathLst>
              <a:path w="59570" h="59570">
                <a:moveTo>
                  <a:pt x="0" y="29785"/>
                </a:moveTo>
                <a:cubicBezTo>
                  <a:pt x="0" y="46235"/>
                  <a:pt x="13335" y="59570"/>
                  <a:pt x="29785" y="59570"/>
                </a:cubicBezTo>
                <a:cubicBezTo>
                  <a:pt x="46235" y="59570"/>
                  <a:pt x="59570" y="46235"/>
                  <a:pt x="59570" y="29785"/>
                </a:cubicBezTo>
                <a:cubicBezTo>
                  <a:pt x="59570" y="13335"/>
                  <a:pt x="46235" y="0"/>
                  <a:pt x="29785" y="0"/>
                </a:cubicBezTo>
                <a:cubicBezTo>
                  <a:pt x="13335" y="0"/>
                  <a:pt x="0" y="13335"/>
                  <a:pt x="0" y="29785"/>
                </a:cubicBezTo>
              </a:path>
            </a:pathLst>
          </a:custGeom>
          <a:noFill/>
          <a:ln w="11430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39" name="Rounded Rectangle 41">
            <a:extLst>
              <a:ext uri="{FF2B5EF4-FFF2-40B4-BE49-F238E27FC236}">
                <a16:creationId xmlns:a16="http://schemas.microsoft.com/office/drawing/2014/main" id="{F7E25F00-3D74-7C2E-6662-639057A685FC}"/>
              </a:ext>
            </a:extLst>
          </xdr:cNvPr>
          <xdr:cNvSpPr/>
        </xdr:nvSpPr>
        <xdr:spPr>
          <a:xfrm>
            <a:off x="4953672" y="4211471"/>
            <a:ext cx="59573" cy="59573"/>
          </a:xfrm>
          <a:custGeom>
            <a:avLst/>
            <a:gdLst/>
            <a:ahLst/>
            <a:cxnLst/>
            <a:rect l="0" t="0" r="0" b="0"/>
            <a:pathLst>
              <a:path w="59573" h="59573">
                <a:moveTo>
                  <a:pt x="0" y="29786"/>
                </a:moveTo>
                <a:cubicBezTo>
                  <a:pt x="0" y="46238"/>
                  <a:pt x="13335" y="59573"/>
                  <a:pt x="29786" y="59573"/>
                </a:cubicBezTo>
                <a:cubicBezTo>
                  <a:pt x="46238" y="59573"/>
                  <a:pt x="59573" y="46238"/>
                  <a:pt x="59573" y="29786"/>
                </a:cubicBezTo>
                <a:cubicBezTo>
                  <a:pt x="59573" y="13335"/>
                  <a:pt x="46238" y="0"/>
                  <a:pt x="29786" y="0"/>
                </a:cubicBezTo>
                <a:cubicBezTo>
                  <a:pt x="13335" y="0"/>
                  <a:pt x="0" y="13335"/>
                  <a:pt x="0" y="29786"/>
                </a:cubicBezTo>
              </a:path>
            </a:pathLst>
          </a:custGeom>
          <a:solidFill>
            <a:srgbClr val="E0CB15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40" name="Rounded Rectangle 42">
            <a:extLst>
              <a:ext uri="{FF2B5EF4-FFF2-40B4-BE49-F238E27FC236}">
                <a16:creationId xmlns:a16="http://schemas.microsoft.com/office/drawing/2014/main" id="{11E292B8-1267-B662-D428-FE70B4C5D38B}"/>
              </a:ext>
            </a:extLst>
          </xdr:cNvPr>
          <xdr:cNvSpPr/>
        </xdr:nvSpPr>
        <xdr:spPr>
          <a:xfrm>
            <a:off x="4953672" y="4211473"/>
            <a:ext cx="59570" cy="59570"/>
          </a:xfrm>
          <a:custGeom>
            <a:avLst/>
            <a:gdLst/>
            <a:ahLst/>
            <a:cxnLst/>
            <a:rect l="0" t="0" r="0" b="0"/>
            <a:pathLst>
              <a:path w="59570" h="59570">
                <a:moveTo>
                  <a:pt x="0" y="29785"/>
                </a:moveTo>
                <a:cubicBezTo>
                  <a:pt x="0" y="46235"/>
                  <a:pt x="13335" y="59570"/>
                  <a:pt x="29785" y="59570"/>
                </a:cubicBezTo>
                <a:cubicBezTo>
                  <a:pt x="46235" y="59570"/>
                  <a:pt x="59570" y="46235"/>
                  <a:pt x="59570" y="29785"/>
                </a:cubicBezTo>
                <a:cubicBezTo>
                  <a:pt x="59570" y="13335"/>
                  <a:pt x="46235" y="0"/>
                  <a:pt x="29785" y="0"/>
                </a:cubicBezTo>
                <a:cubicBezTo>
                  <a:pt x="13335" y="0"/>
                  <a:pt x="0" y="13335"/>
                  <a:pt x="0" y="29785"/>
                </a:cubicBezTo>
              </a:path>
            </a:pathLst>
          </a:custGeom>
          <a:noFill/>
          <a:ln w="11430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41" name="Rounded Rectangle 43">
            <a:extLst>
              <a:ext uri="{FF2B5EF4-FFF2-40B4-BE49-F238E27FC236}">
                <a16:creationId xmlns:a16="http://schemas.microsoft.com/office/drawing/2014/main" id="{B7BE8AFD-64EA-6146-8981-E3CAFAD7EB09}"/>
              </a:ext>
            </a:extLst>
          </xdr:cNvPr>
          <xdr:cNvSpPr/>
        </xdr:nvSpPr>
        <xdr:spPr>
          <a:xfrm>
            <a:off x="5227992" y="3449471"/>
            <a:ext cx="59573" cy="59573"/>
          </a:xfrm>
          <a:custGeom>
            <a:avLst/>
            <a:gdLst/>
            <a:ahLst/>
            <a:cxnLst/>
            <a:rect l="0" t="0" r="0" b="0"/>
            <a:pathLst>
              <a:path w="59573" h="59573">
                <a:moveTo>
                  <a:pt x="0" y="29786"/>
                </a:moveTo>
                <a:cubicBezTo>
                  <a:pt x="0" y="46238"/>
                  <a:pt x="13335" y="59573"/>
                  <a:pt x="29786" y="59573"/>
                </a:cubicBezTo>
                <a:cubicBezTo>
                  <a:pt x="46238" y="59573"/>
                  <a:pt x="59573" y="46238"/>
                  <a:pt x="59573" y="29786"/>
                </a:cubicBezTo>
                <a:cubicBezTo>
                  <a:pt x="59573" y="13335"/>
                  <a:pt x="46238" y="0"/>
                  <a:pt x="29786" y="0"/>
                </a:cubicBezTo>
                <a:cubicBezTo>
                  <a:pt x="13335" y="0"/>
                  <a:pt x="0" y="13335"/>
                  <a:pt x="0" y="29786"/>
                </a:cubicBezTo>
              </a:path>
            </a:pathLst>
          </a:custGeom>
          <a:solidFill>
            <a:srgbClr val="E0CB15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42" name="Rounded Rectangle 44">
            <a:extLst>
              <a:ext uri="{FF2B5EF4-FFF2-40B4-BE49-F238E27FC236}">
                <a16:creationId xmlns:a16="http://schemas.microsoft.com/office/drawing/2014/main" id="{DD13B05D-E7B5-7674-CB6C-80A4E8110A04}"/>
              </a:ext>
            </a:extLst>
          </xdr:cNvPr>
          <xdr:cNvSpPr/>
        </xdr:nvSpPr>
        <xdr:spPr>
          <a:xfrm>
            <a:off x="5227992" y="3449473"/>
            <a:ext cx="59570" cy="59570"/>
          </a:xfrm>
          <a:custGeom>
            <a:avLst/>
            <a:gdLst/>
            <a:ahLst/>
            <a:cxnLst/>
            <a:rect l="0" t="0" r="0" b="0"/>
            <a:pathLst>
              <a:path w="59570" h="59570">
                <a:moveTo>
                  <a:pt x="0" y="29785"/>
                </a:moveTo>
                <a:cubicBezTo>
                  <a:pt x="0" y="46235"/>
                  <a:pt x="13335" y="59570"/>
                  <a:pt x="29785" y="59570"/>
                </a:cubicBezTo>
                <a:cubicBezTo>
                  <a:pt x="46235" y="59570"/>
                  <a:pt x="59570" y="46235"/>
                  <a:pt x="59570" y="29785"/>
                </a:cubicBezTo>
                <a:cubicBezTo>
                  <a:pt x="59570" y="13335"/>
                  <a:pt x="46235" y="0"/>
                  <a:pt x="29785" y="0"/>
                </a:cubicBezTo>
                <a:cubicBezTo>
                  <a:pt x="13335" y="0"/>
                  <a:pt x="0" y="13335"/>
                  <a:pt x="0" y="29785"/>
                </a:cubicBezTo>
              </a:path>
            </a:pathLst>
          </a:custGeom>
          <a:noFill/>
          <a:ln w="11430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43" name="Rounded Rectangle 45">
            <a:extLst>
              <a:ext uri="{FF2B5EF4-FFF2-40B4-BE49-F238E27FC236}">
                <a16:creationId xmlns:a16="http://schemas.microsoft.com/office/drawing/2014/main" id="{112DE799-16ED-279E-EBFC-5CDEC5436922}"/>
              </a:ext>
            </a:extLst>
          </xdr:cNvPr>
          <xdr:cNvSpPr/>
        </xdr:nvSpPr>
        <xdr:spPr>
          <a:xfrm>
            <a:off x="5502312" y="3007511"/>
            <a:ext cx="59573" cy="59573"/>
          </a:xfrm>
          <a:custGeom>
            <a:avLst/>
            <a:gdLst/>
            <a:ahLst/>
            <a:cxnLst/>
            <a:rect l="0" t="0" r="0" b="0"/>
            <a:pathLst>
              <a:path w="59573" h="59573">
                <a:moveTo>
                  <a:pt x="0" y="29786"/>
                </a:moveTo>
                <a:cubicBezTo>
                  <a:pt x="0" y="46238"/>
                  <a:pt x="13335" y="59573"/>
                  <a:pt x="29786" y="59573"/>
                </a:cubicBezTo>
                <a:cubicBezTo>
                  <a:pt x="46238" y="59573"/>
                  <a:pt x="59573" y="46238"/>
                  <a:pt x="59573" y="29786"/>
                </a:cubicBezTo>
                <a:cubicBezTo>
                  <a:pt x="59573" y="13335"/>
                  <a:pt x="46238" y="0"/>
                  <a:pt x="29786" y="0"/>
                </a:cubicBezTo>
                <a:cubicBezTo>
                  <a:pt x="13335" y="0"/>
                  <a:pt x="0" y="13335"/>
                  <a:pt x="0" y="29786"/>
                </a:cubicBezTo>
              </a:path>
            </a:pathLst>
          </a:custGeom>
          <a:solidFill>
            <a:srgbClr val="E0CB15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44" name="Rounded Rectangle 46">
            <a:extLst>
              <a:ext uri="{FF2B5EF4-FFF2-40B4-BE49-F238E27FC236}">
                <a16:creationId xmlns:a16="http://schemas.microsoft.com/office/drawing/2014/main" id="{D4DF4B0F-9F57-1BE9-223F-C77C81A9A44A}"/>
              </a:ext>
            </a:extLst>
          </xdr:cNvPr>
          <xdr:cNvSpPr/>
        </xdr:nvSpPr>
        <xdr:spPr>
          <a:xfrm>
            <a:off x="5502312" y="3007513"/>
            <a:ext cx="59570" cy="59570"/>
          </a:xfrm>
          <a:custGeom>
            <a:avLst/>
            <a:gdLst/>
            <a:ahLst/>
            <a:cxnLst/>
            <a:rect l="0" t="0" r="0" b="0"/>
            <a:pathLst>
              <a:path w="59570" h="59570">
                <a:moveTo>
                  <a:pt x="0" y="29785"/>
                </a:moveTo>
                <a:cubicBezTo>
                  <a:pt x="0" y="46235"/>
                  <a:pt x="13335" y="59570"/>
                  <a:pt x="29785" y="59570"/>
                </a:cubicBezTo>
                <a:cubicBezTo>
                  <a:pt x="46235" y="59570"/>
                  <a:pt x="59570" y="46235"/>
                  <a:pt x="59570" y="29785"/>
                </a:cubicBezTo>
                <a:cubicBezTo>
                  <a:pt x="59570" y="13335"/>
                  <a:pt x="46235" y="0"/>
                  <a:pt x="29785" y="0"/>
                </a:cubicBezTo>
                <a:cubicBezTo>
                  <a:pt x="13335" y="0"/>
                  <a:pt x="0" y="13335"/>
                  <a:pt x="0" y="29785"/>
                </a:cubicBezTo>
              </a:path>
            </a:pathLst>
          </a:custGeom>
          <a:noFill/>
          <a:ln w="11430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45" name="Rounded Rectangle 47">
            <a:extLst>
              <a:ext uri="{FF2B5EF4-FFF2-40B4-BE49-F238E27FC236}">
                <a16:creationId xmlns:a16="http://schemas.microsoft.com/office/drawing/2014/main" id="{930A86AB-123E-3645-7E17-899155BA0899}"/>
              </a:ext>
            </a:extLst>
          </xdr:cNvPr>
          <xdr:cNvSpPr/>
        </xdr:nvSpPr>
        <xdr:spPr>
          <a:xfrm>
            <a:off x="5776632" y="2557931"/>
            <a:ext cx="59573" cy="59573"/>
          </a:xfrm>
          <a:custGeom>
            <a:avLst/>
            <a:gdLst/>
            <a:ahLst/>
            <a:cxnLst/>
            <a:rect l="0" t="0" r="0" b="0"/>
            <a:pathLst>
              <a:path w="59573" h="59573">
                <a:moveTo>
                  <a:pt x="0" y="29786"/>
                </a:moveTo>
                <a:cubicBezTo>
                  <a:pt x="0" y="46238"/>
                  <a:pt x="13335" y="59573"/>
                  <a:pt x="29786" y="59573"/>
                </a:cubicBezTo>
                <a:cubicBezTo>
                  <a:pt x="46238" y="59573"/>
                  <a:pt x="59573" y="46238"/>
                  <a:pt x="59573" y="29786"/>
                </a:cubicBezTo>
                <a:cubicBezTo>
                  <a:pt x="59573" y="13335"/>
                  <a:pt x="46238" y="0"/>
                  <a:pt x="29786" y="0"/>
                </a:cubicBezTo>
                <a:cubicBezTo>
                  <a:pt x="13335" y="0"/>
                  <a:pt x="0" y="13335"/>
                  <a:pt x="0" y="29786"/>
                </a:cubicBezTo>
              </a:path>
            </a:pathLst>
          </a:custGeom>
          <a:solidFill>
            <a:srgbClr val="E0CB15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46" name="Rounded Rectangle 48">
            <a:extLst>
              <a:ext uri="{FF2B5EF4-FFF2-40B4-BE49-F238E27FC236}">
                <a16:creationId xmlns:a16="http://schemas.microsoft.com/office/drawing/2014/main" id="{F03A2BBA-9561-ABE3-4952-1DAABEBFF4E6}"/>
              </a:ext>
            </a:extLst>
          </xdr:cNvPr>
          <xdr:cNvSpPr/>
        </xdr:nvSpPr>
        <xdr:spPr>
          <a:xfrm>
            <a:off x="5776632" y="2557933"/>
            <a:ext cx="59570" cy="59570"/>
          </a:xfrm>
          <a:custGeom>
            <a:avLst/>
            <a:gdLst/>
            <a:ahLst/>
            <a:cxnLst/>
            <a:rect l="0" t="0" r="0" b="0"/>
            <a:pathLst>
              <a:path w="59570" h="59570">
                <a:moveTo>
                  <a:pt x="0" y="29785"/>
                </a:moveTo>
                <a:cubicBezTo>
                  <a:pt x="0" y="46235"/>
                  <a:pt x="13335" y="59570"/>
                  <a:pt x="29785" y="59570"/>
                </a:cubicBezTo>
                <a:cubicBezTo>
                  <a:pt x="46235" y="59570"/>
                  <a:pt x="59570" y="46235"/>
                  <a:pt x="59570" y="29785"/>
                </a:cubicBezTo>
                <a:cubicBezTo>
                  <a:pt x="59570" y="13335"/>
                  <a:pt x="46235" y="0"/>
                  <a:pt x="29785" y="0"/>
                </a:cubicBezTo>
                <a:cubicBezTo>
                  <a:pt x="13335" y="0"/>
                  <a:pt x="0" y="13335"/>
                  <a:pt x="0" y="29785"/>
                </a:cubicBezTo>
              </a:path>
            </a:pathLst>
          </a:custGeom>
          <a:noFill/>
          <a:ln w="11430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47" name="Rounded Rectangle 49">
            <a:extLst>
              <a:ext uri="{FF2B5EF4-FFF2-40B4-BE49-F238E27FC236}">
                <a16:creationId xmlns:a16="http://schemas.microsoft.com/office/drawing/2014/main" id="{6B92E95C-59CA-04F1-DBBB-769A538ED326}"/>
              </a:ext>
            </a:extLst>
          </xdr:cNvPr>
          <xdr:cNvSpPr/>
        </xdr:nvSpPr>
        <xdr:spPr>
          <a:xfrm>
            <a:off x="6050952" y="2291231"/>
            <a:ext cx="59573" cy="59573"/>
          </a:xfrm>
          <a:custGeom>
            <a:avLst/>
            <a:gdLst/>
            <a:ahLst/>
            <a:cxnLst/>
            <a:rect l="0" t="0" r="0" b="0"/>
            <a:pathLst>
              <a:path w="59573" h="59573">
                <a:moveTo>
                  <a:pt x="0" y="29786"/>
                </a:moveTo>
                <a:cubicBezTo>
                  <a:pt x="0" y="46238"/>
                  <a:pt x="13335" y="59573"/>
                  <a:pt x="29786" y="59573"/>
                </a:cubicBezTo>
                <a:cubicBezTo>
                  <a:pt x="46238" y="59573"/>
                  <a:pt x="59573" y="46238"/>
                  <a:pt x="59573" y="29786"/>
                </a:cubicBezTo>
                <a:cubicBezTo>
                  <a:pt x="59573" y="13335"/>
                  <a:pt x="46238" y="0"/>
                  <a:pt x="29786" y="0"/>
                </a:cubicBezTo>
                <a:cubicBezTo>
                  <a:pt x="13335" y="0"/>
                  <a:pt x="0" y="13335"/>
                  <a:pt x="0" y="29786"/>
                </a:cubicBezTo>
              </a:path>
            </a:pathLst>
          </a:custGeom>
          <a:solidFill>
            <a:srgbClr val="E0CB15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48" name="Rounded Rectangle 50">
            <a:extLst>
              <a:ext uri="{FF2B5EF4-FFF2-40B4-BE49-F238E27FC236}">
                <a16:creationId xmlns:a16="http://schemas.microsoft.com/office/drawing/2014/main" id="{11CDB8FA-A799-93F5-2D31-55968B66134B}"/>
              </a:ext>
            </a:extLst>
          </xdr:cNvPr>
          <xdr:cNvSpPr/>
        </xdr:nvSpPr>
        <xdr:spPr>
          <a:xfrm>
            <a:off x="6050952" y="2291233"/>
            <a:ext cx="59570" cy="59570"/>
          </a:xfrm>
          <a:custGeom>
            <a:avLst/>
            <a:gdLst/>
            <a:ahLst/>
            <a:cxnLst/>
            <a:rect l="0" t="0" r="0" b="0"/>
            <a:pathLst>
              <a:path w="59570" h="59570">
                <a:moveTo>
                  <a:pt x="0" y="29785"/>
                </a:moveTo>
                <a:cubicBezTo>
                  <a:pt x="0" y="46235"/>
                  <a:pt x="13335" y="59570"/>
                  <a:pt x="29785" y="59570"/>
                </a:cubicBezTo>
                <a:cubicBezTo>
                  <a:pt x="46235" y="59570"/>
                  <a:pt x="59570" y="46235"/>
                  <a:pt x="59570" y="29785"/>
                </a:cubicBezTo>
                <a:cubicBezTo>
                  <a:pt x="59570" y="13335"/>
                  <a:pt x="46235" y="0"/>
                  <a:pt x="29785" y="0"/>
                </a:cubicBezTo>
                <a:cubicBezTo>
                  <a:pt x="13335" y="0"/>
                  <a:pt x="0" y="13335"/>
                  <a:pt x="0" y="29785"/>
                </a:cubicBezTo>
              </a:path>
            </a:pathLst>
          </a:custGeom>
          <a:noFill/>
          <a:ln w="11430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49" name="Rounded Rectangle 51">
            <a:extLst>
              <a:ext uri="{FF2B5EF4-FFF2-40B4-BE49-F238E27FC236}">
                <a16:creationId xmlns:a16="http://schemas.microsoft.com/office/drawing/2014/main" id="{D0C784F7-4B72-C1A3-64E6-3B3CDA3F5E67}"/>
              </a:ext>
            </a:extLst>
          </xdr:cNvPr>
          <xdr:cNvSpPr/>
        </xdr:nvSpPr>
        <xdr:spPr>
          <a:xfrm>
            <a:off x="4004764" y="1444882"/>
            <a:ext cx="121599" cy="121599"/>
          </a:xfrm>
          <a:custGeom>
            <a:avLst/>
            <a:gdLst/>
            <a:ahLst/>
            <a:cxnLst/>
            <a:rect l="0" t="0" r="0" b="0"/>
            <a:pathLst>
              <a:path w="121599" h="121599">
                <a:moveTo>
                  <a:pt x="0" y="60799"/>
                </a:moveTo>
                <a:cubicBezTo>
                  <a:pt x="0" y="94373"/>
                  <a:pt x="27218" y="121599"/>
                  <a:pt x="60799" y="121599"/>
                </a:cubicBezTo>
                <a:cubicBezTo>
                  <a:pt x="94373" y="121599"/>
                  <a:pt x="121599" y="94373"/>
                  <a:pt x="121599" y="60799"/>
                </a:cubicBezTo>
                <a:cubicBezTo>
                  <a:pt x="121599" y="27218"/>
                  <a:pt x="94373" y="0"/>
                  <a:pt x="60799" y="0"/>
                </a:cubicBezTo>
                <a:cubicBezTo>
                  <a:pt x="27218" y="0"/>
                  <a:pt x="0" y="27218"/>
                  <a:pt x="0" y="60799"/>
                </a:cubicBezTo>
              </a:path>
            </a:pathLst>
          </a:custGeom>
          <a:solidFill>
            <a:srgbClr val="4E88E7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50" name="Rounded Rectangle 52">
            <a:extLst>
              <a:ext uri="{FF2B5EF4-FFF2-40B4-BE49-F238E27FC236}">
                <a16:creationId xmlns:a16="http://schemas.microsoft.com/office/drawing/2014/main" id="{8BBDBF3F-DFF9-6FD5-AD7D-6854DDF4C69F}"/>
              </a:ext>
            </a:extLst>
          </xdr:cNvPr>
          <xdr:cNvSpPr/>
        </xdr:nvSpPr>
        <xdr:spPr>
          <a:xfrm>
            <a:off x="4004764" y="1444882"/>
            <a:ext cx="121597" cy="121597"/>
          </a:xfrm>
          <a:custGeom>
            <a:avLst/>
            <a:gdLst/>
            <a:ahLst/>
            <a:cxnLst/>
            <a:rect l="0" t="0" r="0" b="0"/>
            <a:pathLst>
              <a:path w="121597" h="121597">
                <a:moveTo>
                  <a:pt x="0" y="60798"/>
                </a:moveTo>
                <a:cubicBezTo>
                  <a:pt x="0" y="94377"/>
                  <a:pt x="27220" y="121597"/>
                  <a:pt x="60798" y="121597"/>
                </a:cubicBezTo>
                <a:cubicBezTo>
                  <a:pt x="94377" y="121597"/>
                  <a:pt x="121597" y="94377"/>
                  <a:pt x="121597" y="60798"/>
                </a:cubicBezTo>
                <a:cubicBezTo>
                  <a:pt x="121597" y="27220"/>
                  <a:pt x="94377" y="0"/>
                  <a:pt x="60798" y="0"/>
                </a:cubicBezTo>
                <a:cubicBezTo>
                  <a:pt x="27220" y="0"/>
                  <a:pt x="0" y="27220"/>
                  <a:pt x="0" y="60798"/>
                </a:cubicBezTo>
              </a:path>
            </a:pathLst>
          </a:custGeom>
          <a:noFill/>
          <a:ln w="11430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51" name="Rounded Rectangle 53">
            <a:extLst>
              <a:ext uri="{FF2B5EF4-FFF2-40B4-BE49-F238E27FC236}">
                <a16:creationId xmlns:a16="http://schemas.microsoft.com/office/drawing/2014/main" id="{3BF21FA8-0CB8-3BA4-4BDC-69B75737FAFA}"/>
              </a:ext>
            </a:extLst>
          </xdr:cNvPr>
          <xdr:cNvSpPr/>
        </xdr:nvSpPr>
        <xdr:spPr>
          <a:xfrm>
            <a:off x="4663418" y="1444882"/>
            <a:ext cx="121599" cy="121599"/>
          </a:xfrm>
          <a:custGeom>
            <a:avLst/>
            <a:gdLst/>
            <a:ahLst/>
            <a:cxnLst/>
            <a:rect l="0" t="0" r="0" b="0"/>
            <a:pathLst>
              <a:path w="121599" h="121599">
                <a:moveTo>
                  <a:pt x="0" y="60799"/>
                </a:moveTo>
                <a:cubicBezTo>
                  <a:pt x="0" y="94373"/>
                  <a:pt x="27218" y="121599"/>
                  <a:pt x="60799" y="121599"/>
                </a:cubicBezTo>
                <a:cubicBezTo>
                  <a:pt x="94373" y="121599"/>
                  <a:pt x="121599" y="94373"/>
                  <a:pt x="121599" y="60799"/>
                </a:cubicBezTo>
                <a:cubicBezTo>
                  <a:pt x="121599" y="27218"/>
                  <a:pt x="94373" y="0"/>
                  <a:pt x="60799" y="0"/>
                </a:cubicBezTo>
                <a:cubicBezTo>
                  <a:pt x="27218" y="0"/>
                  <a:pt x="0" y="27218"/>
                  <a:pt x="0" y="60799"/>
                </a:cubicBezTo>
              </a:path>
            </a:pathLst>
          </a:custGeom>
          <a:solidFill>
            <a:srgbClr val="E0CB15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52" name="Rounded Rectangle 54">
            <a:extLst>
              <a:ext uri="{FF2B5EF4-FFF2-40B4-BE49-F238E27FC236}">
                <a16:creationId xmlns:a16="http://schemas.microsoft.com/office/drawing/2014/main" id="{BDCD6636-6EA3-CA7E-A6E2-01D03D58F12C}"/>
              </a:ext>
            </a:extLst>
          </xdr:cNvPr>
          <xdr:cNvSpPr/>
        </xdr:nvSpPr>
        <xdr:spPr>
          <a:xfrm>
            <a:off x="4663417" y="1444882"/>
            <a:ext cx="121597" cy="121597"/>
          </a:xfrm>
          <a:custGeom>
            <a:avLst/>
            <a:gdLst/>
            <a:ahLst/>
            <a:cxnLst/>
            <a:rect l="0" t="0" r="0" b="0"/>
            <a:pathLst>
              <a:path w="121597" h="121597">
                <a:moveTo>
                  <a:pt x="0" y="60798"/>
                </a:moveTo>
                <a:cubicBezTo>
                  <a:pt x="0" y="94377"/>
                  <a:pt x="27220" y="121597"/>
                  <a:pt x="60798" y="121597"/>
                </a:cubicBezTo>
                <a:cubicBezTo>
                  <a:pt x="94377" y="121597"/>
                  <a:pt x="121597" y="94377"/>
                  <a:pt x="121597" y="60798"/>
                </a:cubicBezTo>
                <a:cubicBezTo>
                  <a:pt x="121597" y="27220"/>
                  <a:pt x="94377" y="0"/>
                  <a:pt x="60798" y="0"/>
                </a:cubicBezTo>
                <a:cubicBezTo>
                  <a:pt x="27220" y="0"/>
                  <a:pt x="0" y="27220"/>
                  <a:pt x="0" y="60798"/>
                </a:cubicBezTo>
              </a:path>
            </a:pathLst>
          </a:custGeom>
          <a:noFill/>
          <a:ln w="11430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53" name="Rounded Rectangle 55">
            <a:extLst>
              <a:ext uri="{FF2B5EF4-FFF2-40B4-BE49-F238E27FC236}">
                <a16:creationId xmlns:a16="http://schemas.microsoft.com/office/drawing/2014/main" id="{C7C4E44A-5A6F-5A31-43F0-B87F5E4A230F}"/>
              </a:ext>
            </a:extLst>
          </xdr:cNvPr>
          <xdr:cNvSpPr/>
        </xdr:nvSpPr>
        <xdr:spPr>
          <a:xfrm>
            <a:off x="2929867" y="5433789"/>
            <a:ext cx="3291840" cy="7620"/>
          </a:xfrm>
          <a:custGeom>
            <a:avLst/>
            <a:gdLst/>
            <a:ahLst/>
            <a:cxnLst/>
            <a:rect l="0" t="0" r="0" b="0"/>
            <a:pathLst>
              <a:path w="3291840" h="7620">
                <a:moveTo>
                  <a:pt x="0" y="0"/>
                </a:moveTo>
                <a:lnTo>
                  <a:pt x="3291840" y="0"/>
                </a:lnTo>
              </a:path>
            </a:pathLst>
          </a:custGeom>
          <a:noFill/>
          <a:ln w="11430">
            <a:solidFill>
              <a:srgbClr val="484848">
                <a:alpha val="15000"/>
              </a:srgbClr>
            </a:solidFill>
            <a:prstDash val="dash"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54" name="Rounded Rectangle 56">
            <a:extLst>
              <a:ext uri="{FF2B5EF4-FFF2-40B4-BE49-F238E27FC236}">
                <a16:creationId xmlns:a16="http://schemas.microsoft.com/office/drawing/2014/main" id="{6BA1E789-8596-658E-9EF1-A902179853D4}"/>
              </a:ext>
            </a:extLst>
          </xdr:cNvPr>
          <xdr:cNvSpPr/>
        </xdr:nvSpPr>
        <xdr:spPr>
          <a:xfrm>
            <a:off x="2929867" y="5052789"/>
            <a:ext cx="3291840" cy="7620"/>
          </a:xfrm>
          <a:custGeom>
            <a:avLst/>
            <a:gdLst/>
            <a:ahLst/>
            <a:cxnLst/>
            <a:rect l="0" t="0" r="0" b="0"/>
            <a:pathLst>
              <a:path w="3291840" h="7620">
                <a:moveTo>
                  <a:pt x="0" y="0"/>
                </a:moveTo>
                <a:lnTo>
                  <a:pt x="3291840" y="0"/>
                </a:lnTo>
              </a:path>
            </a:pathLst>
          </a:custGeom>
          <a:noFill/>
          <a:ln w="11430">
            <a:solidFill>
              <a:srgbClr val="484848">
                <a:alpha val="15000"/>
              </a:srgbClr>
            </a:solidFill>
            <a:prstDash val="dash"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55" name="Rounded Rectangle 57">
            <a:extLst>
              <a:ext uri="{FF2B5EF4-FFF2-40B4-BE49-F238E27FC236}">
                <a16:creationId xmlns:a16="http://schemas.microsoft.com/office/drawing/2014/main" id="{57AE8B98-590B-0F5E-919A-5B8556636FA3}"/>
              </a:ext>
            </a:extLst>
          </xdr:cNvPr>
          <xdr:cNvSpPr/>
        </xdr:nvSpPr>
        <xdr:spPr>
          <a:xfrm>
            <a:off x="2929867" y="4671789"/>
            <a:ext cx="3291840" cy="7620"/>
          </a:xfrm>
          <a:custGeom>
            <a:avLst/>
            <a:gdLst/>
            <a:ahLst/>
            <a:cxnLst/>
            <a:rect l="0" t="0" r="0" b="0"/>
            <a:pathLst>
              <a:path w="3291840" h="7620">
                <a:moveTo>
                  <a:pt x="0" y="0"/>
                </a:moveTo>
                <a:lnTo>
                  <a:pt x="3291840" y="0"/>
                </a:lnTo>
              </a:path>
            </a:pathLst>
          </a:custGeom>
          <a:noFill/>
          <a:ln w="11430">
            <a:solidFill>
              <a:srgbClr val="484848">
                <a:alpha val="15000"/>
              </a:srgbClr>
            </a:solidFill>
            <a:prstDash val="dash"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56" name="Rounded Rectangle 58">
            <a:extLst>
              <a:ext uri="{FF2B5EF4-FFF2-40B4-BE49-F238E27FC236}">
                <a16:creationId xmlns:a16="http://schemas.microsoft.com/office/drawing/2014/main" id="{3EABC40C-F72E-A8A9-D90F-EAFB0CA8604A}"/>
              </a:ext>
            </a:extLst>
          </xdr:cNvPr>
          <xdr:cNvSpPr/>
        </xdr:nvSpPr>
        <xdr:spPr>
          <a:xfrm>
            <a:off x="2929867" y="4290789"/>
            <a:ext cx="3291840" cy="7620"/>
          </a:xfrm>
          <a:custGeom>
            <a:avLst/>
            <a:gdLst/>
            <a:ahLst/>
            <a:cxnLst/>
            <a:rect l="0" t="0" r="0" b="0"/>
            <a:pathLst>
              <a:path w="3291840" h="7620">
                <a:moveTo>
                  <a:pt x="0" y="0"/>
                </a:moveTo>
                <a:lnTo>
                  <a:pt x="3291840" y="0"/>
                </a:lnTo>
              </a:path>
            </a:pathLst>
          </a:custGeom>
          <a:noFill/>
          <a:ln w="11430">
            <a:solidFill>
              <a:srgbClr val="484848">
                <a:alpha val="15000"/>
              </a:srgbClr>
            </a:solidFill>
            <a:prstDash val="dash"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57" name="Rounded Rectangle 59">
            <a:extLst>
              <a:ext uri="{FF2B5EF4-FFF2-40B4-BE49-F238E27FC236}">
                <a16:creationId xmlns:a16="http://schemas.microsoft.com/office/drawing/2014/main" id="{50B963A4-D44F-5650-1737-E788D56DDBDD}"/>
              </a:ext>
            </a:extLst>
          </xdr:cNvPr>
          <xdr:cNvSpPr/>
        </xdr:nvSpPr>
        <xdr:spPr>
          <a:xfrm>
            <a:off x="2929867" y="3909789"/>
            <a:ext cx="3291840" cy="7620"/>
          </a:xfrm>
          <a:custGeom>
            <a:avLst/>
            <a:gdLst/>
            <a:ahLst/>
            <a:cxnLst/>
            <a:rect l="0" t="0" r="0" b="0"/>
            <a:pathLst>
              <a:path w="3291840" h="7620">
                <a:moveTo>
                  <a:pt x="0" y="0"/>
                </a:moveTo>
                <a:lnTo>
                  <a:pt x="3291840" y="0"/>
                </a:lnTo>
              </a:path>
            </a:pathLst>
          </a:custGeom>
          <a:noFill/>
          <a:ln w="11430">
            <a:solidFill>
              <a:srgbClr val="484848">
                <a:alpha val="15000"/>
              </a:srgbClr>
            </a:solidFill>
            <a:prstDash val="dash"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58" name="Rounded Rectangle 60">
            <a:extLst>
              <a:ext uri="{FF2B5EF4-FFF2-40B4-BE49-F238E27FC236}">
                <a16:creationId xmlns:a16="http://schemas.microsoft.com/office/drawing/2014/main" id="{F0D6E117-AB7E-A74C-8218-89C7D81916F9}"/>
              </a:ext>
            </a:extLst>
          </xdr:cNvPr>
          <xdr:cNvSpPr/>
        </xdr:nvSpPr>
        <xdr:spPr>
          <a:xfrm>
            <a:off x="2929867" y="3528789"/>
            <a:ext cx="3291840" cy="7620"/>
          </a:xfrm>
          <a:custGeom>
            <a:avLst/>
            <a:gdLst/>
            <a:ahLst/>
            <a:cxnLst/>
            <a:rect l="0" t="0" r="0" b="0"/>
            <a:pathLst>
              <a:path w="3291840" h="7620">
                <a:moveTo>
                  <a:pt x="0" y="0"/>
                </a:moveTo>
                <a:lnTo>
                  <a:pt x="3291840" y="0"/>
                </a:lnTo>
              </a:path>
            </a:pathLst>
          </a:custGeom>
          <a:noFill/>
          <a:ln w="11430">
            <a:solidFill>
              <a:srgbClr val="484848">
                <a:alpha val="15000"/>
              </a:srgbClr>
            </a:solidFill>
            <a:prstDash val="dash"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59" name="Rounded Rectangle 61">
            <a:extLst>
              <a:ext uri="{FF2B5EF4-FFF2-40B4-BE49-F238E27FC236}">
                <a16:creationId xmlns:a16="http://schemas.microsoft.com/office/drawing/2014/main" id="{BD467E62-9262-F151-B81E-F4009EFB10CB}"/>
              </a:ext>
            </a:extLst>
          </xdr:cNvPr>
          <xdr:cNvSpPr/>
        </xdr:nvSpPr>
        <xdr:spPr>
          <a:xfrm>
            <a:off x="2929867" y="3147789"/>
            <a:ext cx="3291840" cy="7620"/>
          </a:xfrm>
          <a:custGeom>
            <a:avLst/>
            <a:gdLst/>
            <a:ahLst/>
            <a:cxnLst/>
            <a:rect l="0" t="0" r="0" b="0"/>
            <a:pathLst>
              <a:path w="3291840" h="7620">
                <a:moveTo>
                  <a:pt x="0" y="0"/>
                </a:moveTo>
                <a:lnTo>
                  <a:pt x="3291840" y="0"/>
                </a:lnTo>
              </a:path>
            </a:pathLst>
          </a:custGeom>
          <a:noFill/>
          <a:ln w="11430">
            <a:solidFill>
              <a:srgbClr val="484848">
                <a:alpha val="15000"/>
              </a:srgbClr>
            </a:solidFill>
            <a:prstDash val="dash"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60" name="Rounded Rectangle 62">
            <a:extLst>
              <a:ext uri="{FF2B5EF4-FFF2-40B4-BE49-F238E27FC236}">
                <a16:creationId xmlns:a16="http://schemas.microsoft.com/office/drawing/2014/main" id="{29951B47-8652-3704-CDDA-0F97446481B0}"/>
              </a:ext>
            </a:extLst>
          </xdr:cNvPr>
          <xdr:cNvSpPr/>
        </xdr:nvSpPr>
        <xdr:spPr>
          <a:xfrm>
            <a:off x="2929867" y="2766789"/>
            <a:ext cx="3291840" cy="7620"/>
          </a:xfrm>
          <a:custGeom>
            <a:avLst/>
            <a:gdLst/>
            <a:ahLst/>
            <a:cxnLst/>
            <a:rect l="0" t="0" r="0" b="0"/>
            <a:pathLst>
              <a:path w="3291840" h="7620">
                <a:moveTo>
                  <a:pt x="0" y="0"/>
                </a:moveTo>
                <a:lnTo>
                  <a:pt x="3291840" y="0"/>
                </a:lnTo>
              </a:path>
            </a:pathLst>
          </a:custGeom>
          <a:noFill/>
          <a:ln w="11430">
            <a:solidFill>
              <a:srgbClr val="484848">
                <a:alpha val="15000"/>
              </a:srgbClr>
            </a:solidFill>
            <a:prstDash val="dash"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61" name="Rounded Rectangle 63">
            <a:extLst>
              <a:ext uri="{FF2B5EF4-FFF2-40B4-BE49-F238E27FC236}">
                <a16:creationId xmlns:a16="http://schemas.microsoft.com/office/drawing/2014/main" id="{83F70C41-F8D0-C12E-4E10-967C59193E31}"/>
              </a:ext>
            </a:extLst>
          </xdr:cNvPr>
          <xdr:cNvSpPr/>
        </xdr:nvSpPr>
        <xdr:spPr>
          <a:xfrm>
            <a:off x="2929867" y="2385789"/>
            <a:ext cx="3291840" cy="7620"/>
          </a:xfrm>
          <a:custGeom>
            <a:avLst/>
            <a:gdLst/>
            <a:ahLst/>
            <a:cxnLst/>
            <a:rect l="0" t="0" r="0" b="0"/>
            <a:pathLst>
              <a:path w="3291840" h="7620">
                <a:moveTo>
                  <a:pt x="0" y="0"/>
                </a:moveTo>
                <a:lnTo>
                  <a:pt x="3291840" y="0"/>
                </a:lnTo>
              </a:path>
            </a:pathLst>
          </a:custGeom>
          <a:noFill/>
          <a:ln w="11430">
            <a:solidFill>
              <a:srgbClr val="484848">
                <a:alpha val="15000"/>
              </a:srgbClr>
            </a:solidFill>
            <a:prstDash val="dash"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62" name="Rounded Rectangle 64">
            <a:extLst>
              <a:ext uri="{FF2B5EF4-FFF2-40B4-BE49-F238E27FC236}">
                <a16:creationId xmlns:a16="http://schemas.microsoft.com/office/drawing/2014/main" id="{E7C1E248-AD01-E36E-3B23-55F05A14D149}"/>
              </a:ext>
            </a:extLst>
          </xdr:cNvPr>
          <xdr:cNvSpPr/>
        </xdr:nvSpPr>
        <xdr:spPr>
          <a:xfrm>
            <a:off x="2929867" y="2004789"/>
            <a:ext cx="3291840" cy="7620"/>
          </a:xfrm>
          <a:custGeom>
            <a:avLst/>
            <a:gdLst/>
            <a:ahLst/>
            <a:cxnLst/>
            <a:rect l="0" t="0" r="0" b="0"/>
            <a:pathLst>
              <a:path w="3291840" h="7620">
                <a:moveTo>
                  <a:pt x="0" y="0"/>
                </a:moveTo>
                <a:lnTo>
                  <a:pt x="3291840" y="0"/>
                </a:lnTo>
              </a:path>
            </a:pathLst>
          </a:custGeom>
          <a:noFill/>
          <a:ln w="11430">
            <a:solidFill>
              <a:srgbClr val="484848">
                <a:alpha val="15000"/>
              </a:srgbClr>
            </a:solidFill>
            <a:prstDash val="dash"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63" name="Rounded Rectangle 65">
            <a:extLst>
              <a:ext uri="{FF2B5EF4-FFF2-40B4-BE49-F238E27FC236}">
                <a16:creationId xmlns:a16="http://schemas.microsoft.com/office/drawing/2014/main" id="{94CA7BB8-3270-1F70-AFEB-C2F1A03B2BBC}"/>
              </a:ext>
            </a:extLst>
          </xdr:cNvPr>
          <xdr:cNvSpPr/>
        </xdr:nvSpPr>
        <xdr:spPr>
          <a:xfrm>
            <a:off x="2891767" y="5433789"/>
            <a:ext cx="38100" cy="7620"/>
          </a:xfrm>
          <a:custGeom>
            <a:avLst/>
            <a:gdLst/>
            <a:ahLst/>
            <a:cxnLst/>
            <a:rect l="0" t="0" r="0" b="0"/>
            <a:pathLst>
              <a:path w="38100" h="7620">
                <a:moveTo>
                  <a:pt x="38100" y="0"/>
                </a:moveTo>
                <a:lnTo>
                  <a:pt x="0" y="0"/>
                </a:lnTo>
              </a:path>
            </a:pathLst>
          </a:custGeom>
          <a:noFill/>
          <a:ln w="11430">
            <a:solidFill>
              <a:srgbClr val="484848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64" name="Rounded Rectangle 66">
            <a:extLst>
              <a:ext uri="{FF2B5EF4-FFF2-40B4-BE49-F238E27FC236}">
                <a16:creationId xmlns:a16="http://schemas.microsoft.com/office/drawing/2014/main" id="{5A9DFE72-8CD7-81C6-1733-07BDDBB656E1}"/>
              </a:ext>
            </a:extLst>
          </xdr:cNvPr>
          <xdr:cNvSpPr/>
        </xdr:nvSpPr>
        <xdr:spPr>
          <a:xfrm>
            <a:off x="2891767" y="5052789"/>
            <a:ext cx="38100" cy="7620"/>
          </a:xfrm>
          <a:custGeom>
            <a:avLst/>
            <a:gdLst/>
            <a:ahLst/>
            <a:cxnLst/>
            <a:rect l="0" t="0" r="0" b="0"/>
            <a:pathLst>
              <a:path w="38100" h="7620">
                <a:moveTo>
                  <a:pt x="38100" y="0"/>
                </a:moveTo>
                <a:lnTo>
                  <a:pt x="0" y="0"/>
                </a:lnTo>
              </a:path>
            </a:pathLst>
          </a:custGeom>
          <a:noFill/>
          <a:ln w="11430">
            <a:solidFill>
              <a:srgbClr val="484848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65" name="Rounded Rectangle 67">
            <a:extLst>
              <a:ext uri="{FF2B5EF4-FFF2-40B4-BE49-F238E27FC236}">
                <a16:creationId xmlns:a16="http://schemas.microsoft.com/office/drawing/2014/main" id="{0A247DD7-89C4-659C-C4E9-203928648E2C}"/>
              </a:ext>
            </a:extLst>
          </xdr:cNvPr>
          <xdr:cNvSpPr/>
        </xdr:nvSpPr>
        <xdr:spPr>
          <a:xfrm>
            <a:off x="2891767" y="4671789"/>
            <a:ext cx="38100" cy="7620"/>
          </a:xfrm>
          <a:custGeom>
            <a:avLst/>
            <a:gdLst/>
            <a:ahLst/>
            <a:cxnLst/>
            <a:rect l="0" t="0" r="0" b="0"/>
            <a:pathLst>
              <a:path w="38100" h="7620">
                <a:moveTo>
                  <a:pt x="38100" y="0"/>
                </a:moveTo>
                <a:lnTo>
                  <a:pt x="0" y="0"/>
                </a:lnTo>
              </a:path>
            </a:pathLst>
          </a:custGeom>
          <a:noFill/>
          <a:ln w="11430">
            <a:solidFill>
              <a:srgbClr val="484848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66" name="Rounded Rectangle 68">
            <a:extLst>
              <a:ext uri="{FF2B5EF4-FFF2-40B4-BE49-F238E27FC236}">
                <a16:creationId xmlns:a16="http://schemas.microsoft.com/office/drawing/2014/main" id="{9BD3A87B-8F48-6A1A-2315-7A316D06D4A2}"/>
              </a:ext>
            </a:extLst>
          </xdr:cNvPr>
          <xdr:cNvSpPr/>
        </xdr:nvSpPr>
        <xdr:spPr>
          <a:xfrm>
            <a:off x="2891767" y="4290789"/>
            <a:ext cx="38100" cy="7620"/>
          </a:xfrm>
          <a:custGeom>
            <a:avLst/>
            <a:gdLst/>
            <a:ahLst/>
            <a:cxnLst/>
            <a:rect l="0" t="0" r="0" b="0"/>
            <a:pathLst>
              <a:path w="38100" h="7620">
                <a:moveTo>
                  <a:pt x="38100" y="0"/>
                </a:moveTo>
                <a:lnTo>
                  <a:pt x="0" y="0"/>
                </a:lnTo>
              </a:path>
            </a:pathLst>
          </a:custGeom>
          <a:noFill/>
          <a:ln w="11430">
            <a:solidFill>
              <a:srgbClr val="484848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67" name="Rounded Rectangle 69">
            <a:extLst>
              <a:ext uri="{FF2B5EF4-FFF2-40B4-BE49-F238E27FC236}">
                <a16:creationId xmlns:a16="http://schemas.microsoft.com/office/drawing/2014/main" id="{E9D917C4-C311-BB5B-5611-4CB1110C7DE7}"/>
              </a:ext>
            </a:extLst>
          </xdr:cNvPr>
          <xdr:cNvSpPr/>
        </xdr:nvSpPr>
        <xdr:spPr>
          <a:xfrm>
            <a:off x="2891767" y="3909789"/>
            <a:ext cx="38100" cy="7620"/>
          </a:xfrm>
          <a:custGeom>
            <a:avLst/>
            <a:gdLst/>
            <a:ahLst/>
            <a:cxnLst/>
            <a:rect l="0" t="0" r="0" b="0"/>
            <a:pathLst>
              <a:path w="38100" h="7620">
                <a:moveTo>
                  <a:pt x="38100" y="0"/>
                </a:moveTo>
                <a:lnTo>
                  <a:pt x="0" y="0"/>
                </a:lnTo>
              </a:path>
            </a:pathLst>
          </a:custGeom>
          <a:noFill/>
          <a:ln w="11430">
            <a:solidFill>
              <a:srgbClr val="484848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68" name="Rounded Rectangle 70">
            <a:extLst>
              <a:ext uri="{FF2B5EF4-FFF2-40B4-BE49-F238E27FC236}">
                <a16:creationId xmlns:a16="http://schemas.microsoft.com/office/drawing/2014/main" id="{EDE09408-72D3-1672-66FF-8065C148517F}"/>
              </a:ext>
            </a:extLst>
          </xdr:cNvPr>
          <xdr:cNvSpPr/>
        </xdr:nvSpPr>
        <xdr:spPr>
          <a:xfrm>
            <a:off x="2891767" y="3528789"/>
            <a:ext cx="38100" cy="7620"/>
          </a:xfrm>
          <a:custGeom>
            <a:avLst/>
            <a:gdLst/>
            <a:ahLst/>
            <a:cxnLst/>
            <a:rect l="0" t="0" r="0" b="0"/>
            <a:pathLst>
              <a:path w="38100" h="7620">
                <a:moveTo>
                  <a:pt x="38100" y="0"/>
                </a:moveTo>
                <a:lnTo>
                  <a:pt x="0" y="0"/>
                </a:lnTo>
              </a:path>
            </a:pathLst>
          </a:custGeom>
          <a:noFill/>
          <a:ln w="11430">
            <a:solidFill>
              <a:srgbClr val="484848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69" name="Rounded Rectangle 71">
            <a:extLst>
              <a:ext uri="{FF2B5EF4-FFF2-40B4-BE49-F238E27FC236}">
                <a16:creationId xmlns:a16="http://schemas.microsoft.com/office/drawing/2014/main" id="{527827A5-29A0-D83F-E105-850F10108965}"/>
              </a:ext>
            </a:extLst>
          </xdr:cNvPr>
          <xdr:cNvSpPr/>
        </xdr:nvSpPr>
        <xdr:spPr>
          <a:xfrm>
            <a:off x="2891767" y="3147789"/>
            <a:ext cx="38100" cy="7620"/>
          </a:xfrm>
          <a:custGeom>
            <a:avLst/>
            <a:gdLst/>
            <a:ahLst/>
            <a:cxnLst/>
            <a:rect l="0" t="0" r="0" b="0"/>
            <a:pathLst>
              <a:path w="38100" h="7620">
                <a:moveTo>
                  <a:pt x="38100" y="0"/>
                </a:moveTo>
                <a:lnTo>
                  <a:pt x="0" y="0"/>
                </a:lnTo>
              </a:path>
            </a:pathLst>
          </a:custGeom>
          <a:noFill/>
          <a:ln w="11430">
            <a:solidFill>
              <a:srgbClr val="484848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70" name="Rounded Rectangle 72">
            <a:extLst>
              <a:ext uri="{FF2B5EF4-FFF2-40B4-BE49-F238E27FC236}">
                <a16:creationId xmlns:a16="http://schemas.microsoft.com/office/drawing/2014/main" id="{52DD24B8-D890-D24F-AE8B-094569C46E34}"/>
              </a:ext>
            </a:extLst>
          </xdr:cNvPr>
          <xdr:cNvSpPr/>
        </xdr:nvSpPr>
        <xdr:spPr>
          <a:xfrm>
            <a:off x="2891767" y="2766789"/>
            <a:ext cx="38100" cy="7620"/>
          </a:xfrm>
          <a:custGeom>
            <a:avLst/>
            <a:gdLst/>
            <a:ahLst/>
            <a:cxnLst/>
            <a:rect l="0" t="0" r="0" b="0"/>
            <a:pathLst>
              <a:path w="38100" h="7620">
                <a:moveTo>
                  <a:pt x="38100" y="0"/>
                </a:moveTo>
                <a:lnTo>
                  <a:pt x="0" y="0"/>
                </a:lnTo>
              </a:path>
            </a:pathLst>
          </a:custGeom>
          <a:noFill/>
          <a:ln w="11430">
            <a:solidFill>
              <a:srgbClr val="484848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71" name="Rounded Rectangle 73">
            <a:extLst>
              <a:ext uri="{FF2B5EF4-FFF2-40B4-BE49-F238E27FC236}">
                <a16:creationId xmlns:a16="http://schemas.microsoft.com/office/drawing/2014/main" id="{4715E8C1-3EB6-76A2-4EC5-725409ECC231}"/>
              </a:ext>
            </a:extLst>
          </xdr:cNvPr>
          <xdr:cNvSpPr/>
        </xdr:nvSpPr>
        <xdr:spPr>
          <a:xfrm>
            <a:off x="2891767" y="2385789"/>
            <a:ext cx="38100" cy="7620"/>
          </a:xfrm>
          <a:custGeom>
            <a:avLst/>
            <a:gdLst/>
            <a:ahLst/>
            <a:cxnLst/>
            <a:rect l="0" t="0" r="0" b="0"/>
            <a:pathLst>
              <a:path w="38100" h="7620">
                <a:moveTo>
                  <a:pt x="38100" y="0"/>
                </a:moveTo>
                <a:lnTo>
                  <a:pt x="0" y="0"/>
                </a:lnTo>
              </a:path>
            </a:pathLst>
          </a:custGeom>
          <a:noFill/>
          <a:ln w="11430">
            <a:solidFill>
              <a:srgbClr val="484848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72" name="Rounded Rectangle 74">
            <a:extLst>
              <a:ext uri="{FF2B5EF4-FFF2-40B4-BE49-F238E27FC236}">
                <a16:creationId xmlns:a16="http://schemas.microsoft.com/office/drawing/2014/main" id="{2A09AEFD-73CE-87EC-506B-D2B71877BCEC}"/>
              </a:ext>
            </a:extLst>
          </xdr:cNvPr>
          <xdr:cNvSpPr/>
        </xdr:nvSpPr>
        <xdr:spPr>
          <a:xfrm>
            <a:off x="2891767" y="2004789"/>
            <a:ext cx="38100" cy="7620"/>
          </a:xfrm>
          <a:custGeom>
            <a:avLst/>
            <a:gdLst/>
            <a:ahLst/>
            <a:cxnLst/>
            <a:rect l="0" t="0" r="0" b="0"/>
            <a:pathLst>
              <a:path w="38100" h="7620">
                <a:moveTo>
                  <a:pt x="38100" y="0"/>
                </a:moveTo>
                <a:lnTo>
                  <a:pt x="0" y="0"/>
                </a:lnTo>
              </a:path>
            </a:pathLst>
          </a:custGeom>
          <a:noFill/>
          <a:ln w="11430">
            <a:solidFill>
              <a:srgbClr val="484848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73" name="Rounded Rectangle 75">
            <a:extLst>
              <a:ext uri="{FF2B5EF4-FFF2-40B4-BE49-F238E27FC236}">
                <a16:creationId xmlns:a16="http://schemas.microsoft.com/office/drawing/2014/main" id="{7EC92531-7866-391A-8E9C-A1B0D6B4758D}"/>
              </a:ext>
            </a:extLst>
          </xdr:cNvPr>
          <xdr:cNvSpPr/>
        </xdr:nvSpPr>
        <xdr:spPr>
          <a:xfrm>
            <a:off x="2929867" y="2004789"/>
            <a:ext cx="7620" cy="3429000"/>
          </a:xfrm>
          <a:custGeom>
            <a:avLst/>
            <a:gdLst/>
            <a:ahLst/>
            <a:cxnLst/>
            <a:rect l="0" t="0" r="0" b="0"/>
            <a:pathLst>
              <a:path w="7620" h="3429000">
                <a:moveTo>
                  <a:pt x="0" y="3429000"/>
                </a:moveTo>
                <a:lnTo>
                  <a:pt x="0" y="0"/>
                </a:lnTo>
              </a:path>
            </a:pathLst>
          </a:custGeom>
          <a:noFill/>
          <a:ln w="11430">
            <a:solidFill>
              <a:srgbClr val="484848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74" name="Rounded Rectangle 76">
            <a:extLst>
              <a:ext uri="{FF2B5EF4-FFF2-40B4-BE49-F238E27FC236}">
                <a16:creationId xmlns:a16="http://schemas.microsoft.com/office/drawing/2014/main" id="{F7FC1A31-5498-F2A8-DAF5-3351DECDE28A}"/>
              </a:ext>
            </a:extLst>
          </xdr:cNvPr>
          <xdr:cNvSpPr/>
        </xdr:nvSpPr>
        <xdr:spPr>
          <a:xfrm>
            <a:off x="3067027" y="5433789"/>
            <a:ext cx="7620" cy="38100"/>
          </a:xfrm>
          <a:custGeom>
            <a:avLst/>
            <a:gdLst/>
            <a:ahLst/>
            <a:cxnLst/>
            <a:rect l="0" t="0" r="0" b="0"/>
            <a:pathLst>
              <a:path w="7620" h="38100">
                <a:moveTo>
                  <a:pt x="0" y="0"/>
                </a:moveTo>
                <a:lnTo>
                  <a:pt x="0" y="38100"/>
                </a:lnTo>
              </a:path>
            </a:pathLst>
          </a:custGeom>
          <a:noFill/>
          <a:ln w="11430">
            <a:solidFill>
              <a:srgbClr val="484848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75" name="Rounded Rectangle 77">
            <a:extLst>
              <a:ext uri="{FF2B5EF4-FFF2-40B4-BE49-F238E27FC236}">
                <a16:creationId xmlns:a16="http://schemas.microsoft.com/office/drawing/2014/main" id="{286502FD-3F06-5757-D0C8-12C2166AA38B}"/>
              </a:ext>
            </a:extLst>
          </xdr:cNvPr>
          <xdr:cNvSpPr/>
        </xdr:nvSpPr>
        <xdr:spPr>
          <a:xfrm>
            <a:off x="3341347" y="5433789"/>
            <a:ext cx="7620" cy="38100"/>
          </a:xfrm>
          <a:custGeom>
            <a:avLst/>
            <a:gdLst/>
            <a:ahLst/>
            <a:cxnLst/>
            <a:rect l="0" t="0" r="0" b="0"/>
            <a:pathLst>
              <a:path w="7620" h="38100">
                <a:moveTo>
                  <a:pt x="0" y="0"/>
                </a:moveTo>
                <a:lnTo>
                  <a:pt x="0" y="38100"/>
                </a:lnTo>
              </a:path>
            </a:pathLst>
          </a:custGeom>
          <a:noFill/>
          <a:ln w="11430">
            <a:solidFill>
              <a:srgbClr val="484848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76" name="Rounded Rectangle 78">
            <a:extLst>
              <a:ext uri="{FF2B5EF4-FFF2-40B4-BE49-F238E27FC236}">
                <a16:creationId xmlns:a16="http://schemas.microsoft.com/office/drawing/2014/main" id="{C29AAE85-FC53-5225-8DD2-9B9DD0FACF57}"/>
              </a:ext>
            </a:extLst>
          </xdr:cNvPr>
          <xdr:cNvSpPr/>
        </xdr:nvSpPr>
        <xdr:spPr>
          <a:xfrm>
            <a:off x="3615667" y="5433789"/>
            <a:ext cx="7620" cy="38100"/>
          </a:xfrm>
          <a:custGeom>
            <a:avLst/>
            <a:gdLst/>
            <a:ahLst/>
            <a:cxnLst/>
            <a:rect l="0" t="0" r="0" b="0"/>
            <a:pathLst>
              <a:path w="7620" h="38100">
                <a:moveTo>
                  <a:pt x="0" y="0"/>
                </a:moveTo>
                <a:lnTo>
                  <a:pt x="0" y="38100"/>
                </a:lnTo>
              </a:path>
            </a:pathLst>
          </a:custGeom>
          <a:noFill/>
          <a:ln w="11430">
            <a:solidFill>
              <a:srgbClr val="484848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77" name="Rounded Rectangle 79">
            <a:extLst>
              <a:ext uri="{FF2B5EF4-FFF2-40B4-BE49-F238E27FC236}">
                <a16:creationId xmlns:a16="http://schemas.microsoft.com/office/drawing/2014/main" id="{18B9CAA1-52C0-1F96-B8E9-C114542977B4}"/>
              </a:ext>
            </a:extLst>
          </xdr:cNvPr>
          <xdr:cNvSpPr/>
        </xdr:nvSpPr>
        <xdr:spPr>
          <a:xfrm>
            <a:off x="3889987" y="5433789"/>
            <a:ext cx="7620" cy="38100"/>
          </a:xfrm>
          <a:custGeom>
            <a:avLst/>
            <a:gdLst/>
            <a:ahLst/>
            <a:cxnLst/>
            <a:rect l="0" t="0" r="0" b="0"/>
            <a:pathLst>
              <a:path w="7620" h="38100">
                <a:moveTo>
                  <a:pt x="0" y="0"/>
                </a:moveTo>
                <a:lnTo>
                  <a:pt x="0" y="38100"/>
                </a:lnTo>
              </a:path>
            </a:pathLst>
          </a:custGeom>
          <a:noFill/>
          <a:ln w="11430">
            <a:solidFill>
              <a:srgbClr val="484848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78" name="Rounded Rectangle 80">
            <a:extLst>
              <a:ext uri="{FF2B5EF4-FFF2-40B4-BE49-F238E27FC236}">
                <a16:creationId xmlns:a16="http://schemas.microsoft.com/office/drawing/2014/main" id="{75504654-D420-ED75-AC51-51FEBD3259B2}"/>
              </a:ext>
            </a:extLst>
          </xdr:cNvPr>
          <xdr:cNvSpPr/>
        </xdr:nvSpPr>
        <xdr:spPr>
          <a:xfrm>
            <a:off x="4164307" y="5433789"/>
            <a:ext cx="7620" cy="38100"/>
          </a:xfrm>
          <a:custGeom>
            <a:avLst/>
            <a:gdLst/>
            <a:ahLst/>
            <a:cxnLst/>
            <a:rect l="0" t="0" r="0" b="0"/>
            <a:pathLst>
              <a:path w="7620" h="38100">
                <a:moveTo>
                  <a:pt x="0" y="0"/>
                </a:moveTo>
                <a:lnTo>
                  <a:pt x="0" y="38100"/>
                </a:lnTo>
              </a:path>
            </a:pathLst>
          </a:custGeom>
          <a:noFill/>
          <a:ln w="11430">
            <a:solidFill>
              <a:srgbClr val="484848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79" name="Rounded Rectangle 81">
            <a:extLst>
              <a:ext uri="{FF2B5EF4-FFF2-40B4-BE49-F238E27FC236}">
                <a16:creationId xmlns:a16="http://schemas.microsoft.com/office/drawing/2014/main" id="{498C4AFE-7782-FFA1-D8C1-38172FF7E6A9}"/>
              </a:ext>
            </a:extLst>
          </xdr:cNvPr>
          <xdr:cNvSpPr/>
        </xdr:nvSpPr>
        <xdr:spPr>
          <a:xfrm>
            <a:off x="4438627" y="5433789"/>
            <a:ext cx="7620" cy="38100"/>
          </a:xfrm>
          <a:custGeom>
            <a:avLst/>
            <a:gdLst/>
            <a:ahLst/>
            <a:cxnLst/>
            <a:rect l="0" t="0" r="0" b="0"/>
            <a:pathLst>
              <a:path w="7620" h="38100">
                <a:moveTo>
                  <a:pt x="0" y="0"/>
                </a:moveTo>
                <a:lnTo>
                  <a:pt x="0" y="38100"/>
                </a:lnTo>
              </a:path>
            </a:pathLst>
          </a:custGeom>
          <a:noFill/>
          <a:ln w="11430">
            <a:solidFill>
              <a:srgbClr val="484848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80" name="Rounded Rectangle 82">
            <a:extLst>
              <a:ext uri="{FF2B5EF4-FFF2-40B4-BE49-F238E27FC236}">
                <a16:creationId xmlns:a16="http://schemas.microsoft.com/office/drawing/2014/main" id="{E561FE9E-2830-BB6F-2639-3F644F9195FF}"/>
              </a:ext>
            </a:extLst>
          </xdr:cNvPr>
          <xdr:cNvSpPr/>
        </xdr:nvSpPr>
        <xdr:spPr>
          <a:xfrm>
            <a:off x="4712947" y="5433789"/>
            <a:ext cx="7620" cy="38100"/>
          </a:xfrm>
          <a:custGeom>
            <a:avLst/>
            <a:gdLst/>
            <a:ahLst/>
            <a:cxnLst/>
            <a:rect l="0" t="0" r="0" b="0"/>
            <a:pathLst>
              <a:path w="7620" h="38100">
                <a:moveTo>
                  <a:pt x="0" y="0"/>
                </a:moveTo>
                <a:lnTo>
                  <a:pt x="0" y="38100"/>
                </a:lnTo>
              </a:path>
            </a:pathLst>
          </a:custGeom>
          <a:noFill/>
          <a:ln w="11430">
            <a:solidFill>
              <a:srgbClr val="484848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81" name="Rounded Rectangle 83">
            <a:extLst>
              <a:ext uri="{FF2B5EF4-FFF2-40B4-BE49-F238E27FC236}">
                <a16:creationId xmlns:a16="http://schemas.microsoft.com/office/drawing/2014/main" id="{E9ACDEA5-FD35-3AC0-3D62-38051BF3A400}"/>
              </a:ext>
            </a:extLst>
          </xdr:cNvPr>
          <xdr:cNvSpPr/>
        </xdr:nvSpPr>
        <xdr:spPr>
          <a:xfrm>
            <a:off x="4987267" y="5433789"/>
            <a:ext cx="7620" cy="38100"/>
          </a:xfrm>
          <a:custGeom>
            <a:avLst/>
            <a:gdLst/>
            <a:ahLst/>
            <a:cxnLst/>
            <a:rect l="0" t="0" r="0" b="0"/>
            <a:pathLst>
              <a:path w="7620" h="38100">
                <a:moveTo>
                  <a:pt x="0" y="0"/>
                </a:moveTo>
                <a:lnTo>
                  <a:pt x="0" y="38100"/>
                </a:lnTo>
              </a:path>
            </a:pathLst>
          </a:custGeom>
          <a:noFill/>
          <a:ln w="11430">
            <a:solidFill>
              <a:srgbClr val="484848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82" name="Rounded Rectangle 84">
            <a:extLst>
              <a:ext uri="{FF2B5EF4-FFF2-40B4-BE49-F238E27FC236}">
                <a16:creationId xmlns:a16="http://schemas.microsoft.com/office/drawing/2014/main" id="{F2B6AF09-8DF8-25FD-8E23-98FB030256CE}"/>
              </a:ext>
            </a:extLst>
          </xdr:cNvPr>
          <xdr:cNvSpPr/>
        </xdr:nvSpPr>
        <xdr:spPr>
          <a:xfrm>
            <a:off x="5261587" y="5433789"/>
            <a:ext cx="7620" cy="38100"/>
          </a:xfrm>
          <a:custGeom>
            <a:avLst/>
            <a:gdLst/>
            <a:ahLst/>
            <a:cxnLst/>
            <a:rect l="0" t="0" r="0" b="0"/>
            <a:pathLst>
              <a:path w="7620" h="38100">
                <a:moveTo>
                  <a:pt x="0" y="0"/>
                </a:moveTo>
                <a:lnTo>
                  <a:pt x="0" y="38100"/>
                </a:lnTo>
              </a:path>
            </a:pathLst>
          </a:custGeom>
          <a:noFill/>
          <a:ln w="11430">
            <a:solidFill>
              <a:srgbClr val="484848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83" name="Rounded Rectangle 85">
            <a:extLst>
              <a:ext uri="{FF2B5EF4-FFF2-40B4-BE49-F238E27FC236}">
                <a16:creationId xmlns:a16="http://schemas.microsoft.com/office/drawing/2014/main" id="{D2095A33-4B51-B44B-8DEF-31FC0D65F6E7}"/>
              </a:ext>
            </a:extLst>
          </xdr:cNvPr>
          <xdr:cNvSpPr/>
        </xdr:nvSpPr>
        <xdr:spPr>
          <a:xfrm>
            <a:off x="5535907" y="5433789"/>
            <a:ext cx="7620" cy="38100"/>
          </a:xfrm>
          <a:custGeom>
            <a:avLst/>
            <a:gdLst/>
            <a:ahLst/>
            <a:cxnLst/>
            <a:rect l="0" t="0" r="0" b="0"/>
            <a:pathLst>
              <a:path w="7620" h="38100">
                <a:moveTo>
                  <a:pt x="0" y="0"/>
                </a:moveTo>
                <a:lnTo>
                  <a:pt x="0" y="38100"/>
                </a:lnTo>
              </a:path>
            </a:pathLst>
          </a:custGeom>
          <a:noFill/>
          <a:ln w="11430">
            <a:solidFill>
              <a:srgbClr val="484848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84" name="Rounded Rectangle 86">
            <a:extLst>
              <a:ext uri="{FF2B5EF4-FFF2-40B4-BE49-F238E27FC236}">
                <a16:creationId xmlns:a16="http://schemas.microsoft.com/office/drawing/2014/main" id="{70B112AE-10A7-EF9A-FA8C-D01830F49F17}"/>
              </a:ext>
            </a:extLst>
          </xdr:cNvPr>
          <xdr:cNvSpPr/>
        </xdr:nvSpPr>
        <xdr:spPr>
          <a:xfrm>
            <a:off x="5810227" y="5433789"/>
            <a:ext cx="7620" cy="38100"/>
          </a:xfrm>
          <a:custGeom>
            <a:avLst/>
            <a:gdLst/>
            <a:ahLst/>
            <a:cxnLst/>
            <a:rect l="0" t="0" r="0" b="0"/>
            <a:pathLst>
              <a:path w="7620" h="38100">
                <a:moveTo>
                  <a:pt x="0" y="0"/>
                </a:moveTo>
                <a:lnTo>
                  <a:pt x="0" y="38100"/>
                </a:lnTo>
              </a:path>
            </a:pathLst>
          </a:custGeom>
          <a:noFill/>
          <a:ln w="11430">
            <a:solidFill>
              <a:srgbClr val="484848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85" name="Rounded Rectangle 87">
            <a:extLst>
              <a:ext uri="{FF2B5EF4-FFF2-40B4-BE49-F238E27FC236}">
                <a16:creationId xmlns:a16="http://schemas.microsoft.com/office/drawing/2014/main" id="{A1204437-EC17-B902-16DA-2813C13690AE}"/>
              </a:ext>
            </a:extLst>
          </xdr:cNvPr>
          <xdr:cNvSpPr/>
        </xdr:nvSpPr>
        <xdr:spPr>
          <a:xfrm>
            <a:off x="6084547" y="5433789"/>
            <a:ext cx="7620" cy="38100"/>
          </a:xfrm>
          <a:custGeom>
            <a:avLst/>
            <a:gdLst/>
            <a:ahLst/>
            <a:cxnLst/>
            <a:rect l="0" t="0" r="0" b="0"/>
            <a:pathLst>
              <a:path w="7620" h="38100">
                <a:moveTo>
                  <a:pt x="0" y="0"/>
                </a:moveTo>
                <a:lnTo>
                  <a:pt x="0" y="38100"/>
                </a:lnTo>
              </a:path>
            </a:pathLst>
          </a:custGeom>
          <a:noFill/>
          <a:ln w="11430">
            <a:solidFill>
              <a:srgbClr val="484848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86" name="Rounded Rectangle 88">
            <a:extLst>
              <a:ext uri="{FF2B5EF4-FFF2-40B4-BE49-F238E27FC236}">
                <a16:creationId xmlns:a16="http://schemas.microsoft.com/office/drawing/2014/main" id="{1CA38E0A-A7F7-A8AE-0E97-3056B945F406}"/>
              </a:ext>
            </a:extLst>
          </xdr:cNvPr>
          <xdr:cNvSpPr/>
        </xdr:nvSpPr>
        <xdr:spPr>
          <a:xfrm>
            <a:off x="2929867" y="5433789"/>
            <a:ext cx="3291840" cy="7620"/>
          </a:xfrm>
          <a:custGeom>
            <a:avLst/>
            <a:gdLst/>
            <a:ahLst/>
            <a:cxnLst/>
            <a:rect l="0" t="0" r="0" b="0"/>
            <a:pathLst>
              <a:path w="3291840" h="7620">
                <a:moveTo>
                  <a:pt x="0" y="0"/>
                </a:moveTo>
                <a:lnTo>
                  <a:pt x="3291840" y="0"/>
                </a:lnTo>
              </a:path>
            </a:pathLst>
          </a:custGeom>
          <a:noFill/>
          <a:ln w="11430">
            <a:solidFill>
              <a:srgbClr val="484848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87" name="TextBox 89">
            <a:extLst>
              <a:ext uri="{FF2B5EF4-FFF2-40B4-BE49-F238E27FC236}">
                <a16:creationId xmlns:a16="http://schemas.microsoft.com/office/drawing/2014/main" id="{3E47AA4B-E11B-4984-6AFF-76A9BB3290B9}"/>
              </a:ext>
            </a:extLst>
          </xdr:cNvPr>
          <xdr:cNvSpPr txBox="1"/>
        </xdr:nvSpPr>
        <xdr:spPr>
          <a:xfrm>
            <a:off x="2453165" y="5005545"/>
            <a:ext cx="240451" cy="169277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r"/>
            <a:r>
              <a:rPr sz="1100" b="1">
                <a:solidFill>
                  <a:srgbClr val="484848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190</a:t>
            </a:r>
          </a:p>
        </xdr:txBody>
      </xdr:sp>
      <xdr:sp macro="" textlink="">
        <xdr:nvSpPr>
          <xdr:cNvPr id="688" name="TextBox 90">
            <a:extLst>
              <a:ext uri="{FF2B5EF4-FFF2-40B4-BE49-F238E27FC236}">
                <a16:creationId xmlns:a16="http://schemas.microsoft.com/office/drawing/2014/main" id="{1D1CAD7D-6970-65B1-8C81-389737A8D091}"/>
              </a:ext>
            </a:extLst>
          </xdr:cNvPr>
          <xdr:cNvSpPr txBox="1"/>
        </xdr:nvSpPr>
        <xdr:spPr>
          <a:xfrm>
            <a:off x="2453165" y="5386545"/>
            <a:ext cx="240451" cy="169277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r"/>
            <a:r>
              <a:rPr sz="1100" b="1">
                <a:solidFill>
                  <a:srgbClr val="484848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185</a:t>
            </a:r>
          </a:p>
        </xdr:txBody>
      </xdr:sp>
      <xdr:sp macro="" textlink="">
        <xdr:nvSpPr>
          <xdr:cNvPr id="689" name="TextBox 91">
            <a:extLst>
              <a:ext uri="{FF2B5EF4-FFF2-40B4-BE49-F238E27FC236}">
                <a16:creationId xmlns:a16="http://schemas.microsoft.com/office/drawing/2014/main" id="{FBC067BD-F776-D795-1B03-F1953551AD5D}"/>
              </a:ext>
            </a:extLst>
          </xdr:cNvPr>
          <xdr:cNvSpPr txBox="1"/>
        </xdr:nvSpPr>
        <xdr:spPr>
          <a:xfrm>
            <a:off x="2453165" y="2338545"/>
            <a:ext cx="240451" cy="169277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r"/>
            <a:r>
              <a:rPr sz="1100" b="1">
                <a:solidFill>
                  <a:srgbClr val="484848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225</a:t>
            </a:r>
          </a:p>
        </xdr:txBody>
      </xdr:sp>
      <xdr:sp macro="" textlink="">
        <xdr:nvSpPr>
          <xdr:cNvPr id="690" name="TextBox 92">
            <a:extLst>
              <a:ext uri="{FF2B5EF4-FFF2-40B4-BE49-F238E27FC236}">
                <a16:creationId xmlns:a16="http://schemas.microsoft.com/office/drawing/2014/main" id="{21224AD2-0448-5D1D-89F0-5B69DBCF0B35}"/>
              </a:ext>
            </a:extLst>
          </xdr:cNvPr>
          <xdr:cNvSpPr txBox="1"/>
        </xdr:nvSpPr>
        <xdr:spPr>
          <a:xfrm>
            <a:off x="3659657" y="1121032"/>
            <a:ext cx="2132916" cy="262142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 rtl="0">
              <a:defRPr lang="en-US" sz="1800" b="1" i="0" u="none" strike="noStrike" kern="1200" spc="0" baseline="0">
                <a:solidFill>
                  <a:srgbClr val="484848"/>
                </a:solidFill>
                <a:latin typeface="Roboto"/>
                <a:ea typeface="+mn-ea"/>
                <a:cs typeface="+mn-cs"/>
              </a:defRPr>
            </a:pPr>
            <a:r>
              <a:rPr sz="1800" b="1" i="0" u="none" strike="noStrike" kern="1200" spc="0" baseline="0">
                <a:solidFill>
                  <a:srgbClr val="484848"/>
                </a:solidFill>
                <a:latin typeface="Roboto"/>
                <a:ea typeface="+mn-ea"/>
                <a:cs typeface="+mn-cs"/>
              </a:rPr>
              <a:t>2021 vs 2022 Sales</a:t>
            </a:r>
          </a:p>
        </xdr:txBody>
      </xdr:sp>
      <xdr:sp macro="" textlink="">
        <xdr:nvSpPr>
          <xdr:cNvPr id="691" name="TextBox 93">
            <a:extLst>
              <a:ext uri="{FF2B5EF4-FFF2-40B4-BE49-F238E27FC236}">
                <a16:creationId xmlns:a16="http://schemas.microsoft.com/office/drawing/2014/main" id="{7287B0AD-FC15-A170-D9D1-1901AE91505A}"/>
              </a:ext>
            </a:extLst>
          </xdr:cNvPr>
          <xdr:cNvSpPr txBox="1"/>
        </xdr:nvSpPr>
        <xdr:spPr>
          <a:xfrm>
            <a:off x="2453165" y="1957545"/>
            <a:ext cx="240451" cy="169277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r"/>
            <a:r>
              <a:rPr sz="1100" b="1">
                <a:solidFill>
                  <a:srgbClr val="484848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230</a:t>
            </a:r>
          </a:p>
        </xdr:txBody>
      </xdr:sp>
      <xdr:sp macro="" textlink="">
        <xdr:nvSpPr>
          <xdr:cNvPr id="692" name="TextBox 94">
            <a:extLst>
              <a:ext uri="{FF2B5EF4-FFF2-40B4-BE49-F238E27FC236}">
                <a16:creationId xmlns:a16="http://schemas.microsoft.com/office/drawing/2014/main" id="{1ACE5E20-2D1B-F099-349A-78787E6F3255}"/>
              </a:ext>
            </a:extLst>
          </xdr:cNvPr>
          <xdr:cNvSpPr txBox="1"/>
        </xdr:nvSpPr>
        <xdr:spPr>
          <a:xfrm>
            <a:off x="4861537" y="1448529"/>
            <a:ext cx="320601" cy="169277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l"/>
            <a:r>
              <a:rPr sz="1100" b="1">
                <a:solidFill>
                  <a:srgbClr val="484848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2022</a:t>
            </a:r>
          </a:p>
        </xdr:txBody>
      </xdr:sp>
      <xdr:sp macro="" textlink="">
        <xdr:nvSpPr>
          <xdr:cNvPr id="693" name="TextBox 95">
            <a:extLst>
              <a:ext uri="{FF2B5EF4-FFF2-40B4-BE49-F238E27FC236}">
                <a16:creationId xmlns:a16="http://schemas.microsoft.com/office/drawing/2014/main" id="{556F306C-3915-04D9-04F9-BD7E943299C5}"/>
              </a:ext>
            </a:extLst>
          </xdr:cNvPr>
          <xdr:cNvSpPr txBox="1"/>
        </xdr:nvSpPr>
        <xdr:spPr>
          <a:xfrm>
            <a:off x="4202884" y="1448529"/>
            <a:ext cx="320601" cy="169277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l"/>
            <a:r>
              <a:rPr sz="1100" b="1">
                <a:solidFill>
                  <a:srgbClr val="484848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2021</a:t>
            </a:r>
          </a:p>
        </xdr:txBody>
      </xdr:sp>
      <xdr:sp macro="" textlink="">
        <xdr:nvSpPr>
          <xdr:cNvPr id="694" name="TextBox 96">
            <a:extLst>
              <a:ext uri="{FF2B5EF4-FFF2-40B4-BE49-F238E27FC236}">
                <a16:creationId xmlns:a16="http://schemas.microsoft.com/office/drawing/2014/main" id="{3C7A5F07-250D-0BFC-C1A0-05CABF8C4445}"/>
              </a:ext>
            </a:extLst>
          </xdr:cNvPr>
          <xdr:cNvSpPr txBox="1"/>
        </xdr:nvSpPr>
        <xdr:spPr>
          <a:xfrm>
            <a:off x="4373041" y="5893340"/>
            <a:ext cx="405560" cy="169277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r>
              <a:rPr sz="1100" b="0">
                <a:solidFill>
                  <a:srgbClr val="484848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Month</a:t>
            </a:r>
          </a:p>
        </xdr:txBody>
      </xdr:sp>
      <xdr:sp macro="" textlink="">
        <xdr:nvSpPr>
          <xdr:cNvPr id="695" name="TextBox 97">
            <a:extLst>
              <a:ext uri="{FF2B5EF4-FFF2-40B4-BE49-F238E27FC236}">
                <a16:creationId xmlns:a16="http://schemas.microsoft.com/office/drawing/2014/main" id="{106AC973-8E83-7765-DAC2-781A3F856191}"/>
              </a:ext>
            </a:extLst>
          </xdr:cNvPr>
          <xdr:cNvSpPr txBox="1"/>
        </xdr:nvSpPr>
        <xdr:spPr>
          <a:xfrm>
            <a:off x="2453165" y="4624545"/>
            <a:ext cx="240451" cy="169277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r"/>
            <a:r>
              <a:rPr sz="1100" b="1">
                <a:solidFill>
                  <a:srgbClr val="484848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195</a:t>
            </a:r>
          </a:p>
        </xdr:txBody>
      </xdr:sp>
      <xdr:sp macro="" textlink="">
        <xdr:nvSpPr>
          <xdr:cNvPr id="696" name="TextBox 98">
            <a:extLst>
              <a:ext uri="{FF2B5EF4-FFF2-40B4-BE49-F238E27FC236}">
                <a16:creationId xmlns:a16="http://schemas.microsoft.com/office/drawing/2014/main" id="{7CAF139D-CFBE-E26F-89C5-4226298AA2BD}"/>
              </a:ext>
            </a:extLst>
          </xdr:cNvPr>
          <xdr:cNvSpPr txBox="1"/>
        </xdr:nvSpPr>
        <xdr:spPr>
          <a:xfrm>
            <a:off x="2453165" y="4243545"/>
            <a:ext cx="240451" cy="169277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r"/>
            <a:r>
              <a:rPr sz="1100" b="1">
                <a:solidFill>
                  <a:srgbClr val="484848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200</a:t>
            </a:r>
          </a:p>
        </xdr:txBody>
      </xdr:sp>
      <xdr:sp macro="" textlink="">
        <xdr:nvSpPr>
          <xdr:cNvPr id="697" name="TextBox 99">
            <a:extLst>
              <a:ext uri="{FF2B5EF4-FFF2-40B4-BE49-F238E27FC236}">
                <a16:creationId xmlns:a16="http://schemas.microsoft.com/office/drawing/2014/main" id="{C1C6CDD9-793B-963B-C20C-C441381600F9}"/>
              </a:ext>
            </a:extLst>
          </xdr:cNvPr>
          <xdr:cNvSpPr txBox="1"/>
        </xdr:nvSpPr>
        <xdr:spPr>
          <a:xfrm>
            <a:off x="2453165" y="3862545"/>
            <a:ext cx="240451" cy="169277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r"/>
            <a:r>
              <a:rPr sz="1100" b="1">
                <a:solidFill>
                  <a:srgbClr val="484848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205</a:t>
            </a:r>
          </a:p>
        </xdr:txBody>
      </xdr:sp>
      <xdr:sp macro="" textlink="">
        <xdr:nvSpPr>
          <xdr:cNvPr id="698" name="TextBox 100">
            <a:extLst>
              <a:ext uri="{FF2B5EF4-FFF2-40B4-BE49-F238E27FC236}">
                <a16:creationId xmlns:a16="http://schemas.microsoft.com/office/drawing/2014/main" id="{824AD7A4-1F67-5217-69DF-D55793376F1E}"/>
              </a:ext>
            </a:extLst>
          </xdr:cNvPr>
          <xdr:cNvSpPr txBox="1"/>
        </xdr:nvSpPr>
        <xdr:spPr>
          <a:xfrm rot="16200000">
            <a:off x="1611751" y="3634651"/>
            <a:ext cx="1348126" cy="169277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r>
              <a:rPr sz="1100" b="0">
                <a:solidFill>
                  <a:srgbClr val="484848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Figures (in Millions $)</a:t>
            </a:r>
          </a:p>
        </xdr:txBody>
      </xdr:sp>
      <xdr:sp macro="" textlink="">
        <xdr:nvSpPr>
          <xdr:cNvPr id="699" name="TextBox 101">
            <a:extLst>
              <a:ext uri="{FF2B5EF4-FFF2-40B4-BE49-F238E27FC236}">
                <a16:creationId xmlns:a16="http://schemas.microsoft.com/office/drawing/2014/main" id="{D635D7D0-A251-A422-12D5-9F8A2AFC91E4}"/>
              </a:ext>
            </a:extLst>
          </xdr:cNvPr>
          <xdr:cNvSpPr txBox="1"/>
        </xdr:nvSpPr>
        <xdr:spPr>
          <a:xfrm>
            <a:off x="2453165" y="3481545"/>
            <a:ext cx="240451" cy="169277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r"/>
            <a:r>
              <a:rPr sz="1100" b="1">
                <a:solidFill>
                  <a:srgbClr val="484848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210</a:t>
            </a:r>
          </a:p>
        </xdr:txBody>
      </xdr:sp>
      <xdr:sp macro="" textlink="">
        <xdr:nvSpPr>
          <xdr:cNvPr id="700" name="TextBox 103">
            <a:extLst>
              <a:ext uri="{FF2B5EF4-FFF2-40B4-BE49-F238E27FC236}">
                <a16:creationId xmlns:a16="http://schemas.microsoft.com/office/drawing/2014/main" id="{8589783F-B175-C2D0-0A1F-7482048762C1}"/>
              </a:ext>
            </a:extLst>
          </xdr:cNvPr>
          <xdr:cNvSpPr txBox="1"/>
        </xdr:nvSpPr>
        <xdr:spPr>
          <a:xfrm rot="2700000">
            <a:off x="2993535" y="5505894"/>
            <a:ext cx="232436" cy="169277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l"/>
            <a:r>
              <a:rPr sz="1100" b="1">
                <a:solidFill>
                  <a:srgbClr val="484848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Jan</a:t>
            </a:r>
          </a:p>
        </xdr:txBody>
      </xdr:sp>
      <xdr:sp macro="" textlink="">
        <xdr:nvSpPr>
          <xdr:cNvPr id="701" name="TextBox 104">
            <a:extLst>
              <a:ext uri="{FF2B5EF4-FFF2-40B4-BE49-F238E27FC236}">
                <a16:creationId xmlns:a16="http://schemas.microsoft.com/office/drawing/2014/main" id="{0577F80B-D3DB-7895-88A2-7461A058C9E9}"/>
              </a:ext>
            </a:extLst>
          </xdr:cNvPr>
          <xdr:cNvSpPr txBox="1"/>
        </xdr:nvSpPr>
        <xdr:spPr>
          <a:xfrm rot="2700000">
            <a:off x="3266633" y="5505117"/>
            <a:ext cx="234038" cy="169277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l"/>
            <a:r>
              <a:rPr sz="1100" b="1">
                <a:solidFill>
                  <a:srgbClr val="484848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Feb</a:t>
            </a:r>
          </a:p>
        </xdr:txBody>
      </xdr:sp>
      <xdr:sp macro="" textlink="">
        <xdr:nvSpPr>
          <xdr:cNvPr id="702" name="TextBox 105">
            <a:extLst>
              <a:ext uri="{FF2B5EF4-FFF2-40B4-BE49-F238E27FC236}">
                <a16:creationId xmlns:a16="http://schemas.microsoft.com/office/drawing/2014/main" id="{17832004-AB06-2CFF-2BE0-7716FB18C590}"/>
              </a:ext>
            </a:extLst>
          </xdr:cNvPr>
          <xdr:cNvSpPr txBox="1"/>
        </xdr:nvSpPr>
        <xdr:spPr>
          <a:xfrm rot="2700000">
            <a:off x="3537316" y="5509495"/>
            <a:ext cx="250068" cy="169277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l"/>
            <a:r>
              <a:rPr sz="1100" b="1">
                <a:solidFill>
                  <a:srgbClr val="484848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Mar</a:t>
            </a:r>
          </a:p>
        </xdr:txBody>
      </xdr:sp>
      <xdr:sp macro="" textlink="">
        <xdr:nvSpPr>
          <xdr:cNvPr id="703" name="TextBox 106">
            <a:extLst>
              <a:ext uri="{FF2B5EF4-FFF2-40B4-BE49-F238E27FC236}">
                <a16:creationId xmlns:a16="http://schemas.microsoft.com/office/drawing/2014/main" id="{70383C67-276D-34F1-2497-57C3C2157B44}"/>
              </a:ext>
            </a:extLst>
          </xdr:cNvPr>
          <xdr:cNvSpPr txBox="1"/>
        </xdr:nvSpPr>
        <xdr:spPr>
          <a:xfrm rot="2700000">
            <a:off x="3817470" y="5503843"/>
            <a:ext cx="226024" cy="169277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l"/>
            <a:r>
              <a:rPr sz="1100" b="1">
                <a:solidFill>
                  <a:srgbClr val="484848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Apr</a:t>
            </a:r>
          </a:p>
        </xdr:txBody>
      </xdr:sp>
      <xdr:sp macro="" textlink="">
        <xdr:nvSpPr>
          <xdr:cNvPr id="704" name="TextBox 107">
            <a:extLst>
              <a:ext uri="{FF2B5EF4-FFF2-40B4-BE49-F238E27FC236}">
                <a16:creationId xmlns:a16="http://schemas.microsoft.com/office/drawing/2014/main" id="{35CDF2A0-BD92-33E8-821A-51130EDDCEA5}"/>
              </a:ext>
            </a:extLst>
          </xdr:cNvPr>
          <xdr:cNvSpPr txBox="1"/>
        </xdr:nvSpPr>
        <xdr:spPr>
          <a:xfrm rot="2700000">
            <a:off x="4080549" y="5513170"/>
            <a:ext cx="269304" cy="169277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l"/>
            <a:r>
              <a:rPr sz="1100" b="1">
                <a:solidFill>
                  <a:srgbClr val="484848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May</a:t>
            </a:r>
          </a:p>
        </xdr:txBody>
      </xdr:sp>
      <xdr:sp macro="" textlink="">
        <xdr:nvSpPr>
          <xdr:cNvPr id="705" name="TextBox 108">
            <a:extLst>
              <a:ext uri="{FF2B5EF4-FFF2-40B4-BE49-F238E27FC236}">
                <a16:creationId xmlns:a16="http://schemas.microsoft.com/office/drawing/2014/main" id="{49F9DAF7-8695-4CC0-6D9A-443A3123CFCB}"/>
              </a:ext>
            </a:extLst>
          </xdr:cNvPr>
          <xdr:cNvSpPr txBox="1"/>
        </xdr:nvSpPr>
        <xdr:spPr>
          <a:xfrm rot="2700000">
            <a:off x="4364331" y="5506694"/>
            <a:ext cx="235642" cy="169277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l"/>
            <a:r>
              <a:rPr sz="1100" b="1">
                <a:solidFill>
                  <a:srgbClr val="484848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Jun</a:t>
            </a:r>
          </a:p>
        </xdr:txBody>
      </xdr:sp>
      <xdr:sp macro="" textlink="">
        <xdr:nvSpPr>
          <xdr:cNvPr id="706" name="TextBox 109">
            <a:extLst>
              <a:ext uri="{FF2B5EF4-FFF2-40B4-BE49-F238E27FC236}">
                <a16:creationId xmlns:a16="http://schemas.microsoft.com/office/drawing/2014/main" id="{0F0C8A40-5F86-FBF4-04F9-5F4562CE4C33}"/>
              </a:ext>
            </a:extLst>
          </xdr:cNvPr>
          <xdr:cNvSpPr txBox="1"/>
        </xdr:nvSpPr>
        <xdr:spPr>
          <a:xfrm rot="2700000">
            <a:off x="4649935" y="5498218"/>
            <a:ext cx="193964" cy="169277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l"/>
            <a:r>
              <a:rPr sz="1100" b="1">
                <a:solidFill>
                  <a:srgbClr val="484848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Jul</a:t>
            </a:r>
          </a:p>
        </xdr:txBody>
      </xdr:sp>
      <xdr:sp macro="" textlink="">
        <xdr:nvSpPr>
          <xdr:cNvPr id="707" name="TextBox 110">
            <a:extLst>
              <a:ext uri="{FF2B5EF4-FFF2-40B4-BE49-F238E27FC236}">
                <a16:creationId xmlns:a16="http://schemas.microsoft.com/office/drawing/2014/main" id="{63C371E4-E889-3085-7B4C-6EB85D6B52BE}"/>
              </a:ext>
            </a:extLst>
          </xdr:cNvPr>
          <xdr:cNvSpPr txBox="1"/>
        </xdr:nvSpPr>
        <xdr:spPr>
          <a:xfrm rot="2700000">
            <a:off x="4907986" y="5509982"/>
            <a:ext cx="253274" cy="169277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l"/>
            <a:r>
              <a:rPr sz="1100" b="1">
                <a:solidFill>
                  <a:srgbClr val="484848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Aug</a:t>
            </a:r>
          </a:p>
        </xdr:txBody>
      </xdr:sp>
      <xdr:sp macro="" textlink="">
        <xdr:nvSpPr>
          <xdr:cNvPr id="708" name="TextBox 111">
            <a:extLst>
              <a:ext uri="{FF2B5EF4-FFF2-40B4-BE49-F238E27FC236}">
                <a16:creationId xmlns:a16="http://schemas.microsoft.com/office/drawing/2014/main" id="{A4A00651-CA29-1ED8-645E-BCBDFF4FEFF2}"/>
              </a:ext>
            </a:extLst>
          </xdr:cNvPr>
          <xdr:cNvSpPr txBox="1"/>
        </xdr:nvSpPr>
        <xdr:spPr>
          <a:xfrm rot="2700000">
            <a:off x="5184548" y="5507415"/>
            <a:ext cx="243656" cy="169277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l"/>
            <a:r>
              <a:rPr sz="1100" b="1">
                <a:solidFill>
                  <a:srgbClr val="484848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Sep</a:t>
            </a:r>
          </a:p>
        </xdr:txBody>
      </xdr:sp>
      <xdr:sp macro="" textlink="">
        <xdr:nvSpPr>
          <xdr:cNvPr id="709" name="TextBox 112">
            <a:extLst>
              <a:ext uri="{FF2B5EF4-FFF2-40B4-BE49-F238E27FC236}">
                <a16:creationId xmlns:a16="http://schemas.microsoft.com/office/drawing/2014/main" id="{D19D5084-207C-6F34-D51D-3FE10FB97112}"/>
              </a:ext>
            </a:extLst>
          </xdr:cNvPr>
          <xdr:cNvSpPr txBox="1"/>
        </xdr:nvSpPr>
        <xdr:spPr>
          <a:xfrm rot="2700000">
            <a:off x="5465418" y="5502672"/>
            <a:ext cx="219612" cy="169277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l"/>
            <a:r>
              <a:rPr sz="1100" b="1">
                <a:solidFill>
                  <a:srgbClr val="484848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Oct</a:t>
            </a:r>
          </a:p>
        </xdr:txBody>
      </xdr:sp>
      <xdr:sp macro="" textlink="">
        <xdr:nvSpPr>
          <xdr:cNvPr id="710" name="TextBox 113">
            <a:extLst>
              <a:ext uri="{FF2B5EF4-FFF2-40B4-BE49-F238E27FC236}">
                <a16:creationId xmlns:a16="http://schemas.microsoft.com/office/drawing/2014/main" id="{0AD48A9C-532E-ACCA-3A0B-600DF8FFD378}"/>
              </a:ext>
            </a:extLst>
          </xdr:cNvPr>
          <xdr:cNvSpPr txBox="1"/>
        </xdr:nvSpPr>
        <xdr:spPr>
          <a:xfrm rot="2700000">
            <a:off x="5730821" y="5509064"/>
            <a:ext cx="251672" cy="169277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l"/>
            <a:r>
              <a:rPr sz="1100" b="1">
                <a:solidFill>
                  <a:srgbClr val="484848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Nov</a:t>
            </a:r>
          </a:p>
        </xdr:txBody>
      </xdr:sp>
      <xdr:sp macro="" textlink="">
        <xdr:nvSpPr>
          <xdr:cNvPr id="711" name="TextBox 114">
            <a:extLst>
              <a:ext uri="{FF2B5EF4-FFF2-40B4-BE49-F238E27FC236}">
                <a16:creationId xmlns:a16="http://schemas.microsoft.com/office/drawing/2014/main" id="{67DF21EE-B3B2-CD38-4658-B6A24AD19FF3}"/>
              </a:ext>
            </a:extLst>
          </xdr:cNvPr>
          <xdr:cNvSpPr txBox="1"/>
        </xdr:nvSpPr>
        <xdr:spPr>
          <a:xfrm rot="2700000">
            <a:off x="6008056" y="5507170"/>
            <a:ext cx="242054" cy="169277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l"/>
            <a:r>
              <a:rPr sz="1100" b="1">
                <a:solidFill>
                  <a:srgbClr val="484848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Dec</a:t>
            </a:r>
          </a:p>
        </xdr:txBody>
      </xdr:sp>
      <xdr:sp macro="" textlink="">
        <xdr:nvSpPr>
          <xdr:cNvPr id="712" name="TextBox 115">
            <a:extLst>
              <a:ext uri="{FF2B5EF4-FFF2-40B4-BE49-F238E27FC236}">
                <a16:creationId xmlns:a16="http://schemas.microsoft.com/office/drawing/2014/main" id="{644CD7E3-FC91-9987-156E-1E8AF50F88AC}"/>
              </a:ext>
            </a:extLst>
          </xdr:cNvPr>
          <xdr:cNvSpPr txBox="1"/>
        </xdr:nvSpPr>
        <xdr:spPr>
          <a:xfrm>
            <a:off x="2453165" y="2719545"/>
            <a:ext cx="240451" cy="169277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r"/>
            <a:r>
              <a:rPr sz="1100" b="1">
                <a:solidFill>
                  <a:srgbClr val="484848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220</a:t>
            </a:r>
          </a:p>
        </xdr:txBody>
      </xdr:sp>
      <xdr:sp macro="" textlink="">
        <xdr:nvSpPr>
          <xdr:cNvPr id="713" name="TextBox 116">
            <a:extLst>
              <a:ext uri="{FF2B5EF4-FFF2-40B4-BE49-F238E27FC236}">
                <a16:creationId xmlns:a16="http://schemas.microsoft.com/office/drawing/2014/main" id="{C7DBB6B7-FDBA-042B-5C87-B747C623A2A0}"/>
              </a:ext>
            </a:extLst>
          </xdr:cNvPr>
          <xdr:cNvSpPr txBox="1"/>
        </xdr:nvSpPr>
        <xdr:spPr>
          <a:xfrm>
            <a:off x="2453165" y="3100545"/>
            <a:ext cx="240451" cy="169277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r"/>
            <a:r>
              <a:rPr sz="1100" b="1">
                <a:solidFill>
                  <a:srgbClr val="484848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215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2819-44D1-EE4C-940E-0D3D0CCB2ED3}">
  <dimension ref="A1"/>
  <sheetViews>
    <sheetView showGridLines="0" tabSelected="1" zoomScale="40" zoomScaleNormal="40" workbookViewId="0">
      <selection activeCell="AG59" sqref="AG59"/>
    </sheetView>
  </sheetViews>
  <sheetFormatPr defaultColWidth="10.875" defaultRowHeight="15.75" x14ac:dyDescent="0.25"/>
  <cols>
    <col min="1" max="16384" width="10.875" style="10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6DE6-AF43-5D41-92D8-941949992132}">
  <dimension ref="C2:K24"/>
  <sheetViews>
    <sheetView showGridLines="0" topLeftCell="A7" zoomScaleNormal="100" workbookViewId="0">
      <selection activeCell="F36" sqref="F36"/>
    </sheetView>
  </sheetViews>
  <sheetFormatPr defaultColWidth="11.125" defaultRowHeight="15.75" x14ac:dyDescent="0.25"/>
  <cols>
    <col min="1" max="1" width="10.875" customWidth="1"/>
    <col min="2" max="2" width="4" customWidth="1"/>
    <col min="3" max="3" width="14.125" customWidth="1"/>
    <col min="4" max="4" width="8.625" customWidth="1"/>
    <col min="5" max="5" width="10.125" customWidth="1"/>
    <col min="7" max="7" width="12.375" customWidth="1"/>
  </cols>
  <sheetData>
    <row r="2" spans="3:11" x14ac:dyDescent="0.25">
      <c r="C2" s="7" t="s">
        <v>36</v>
      </c>
      <c r="D2" s="7"/>
      <c r="E2" s="7"/>
      <c r="F2" s="7"/>
      <c r="G2" s="7"/>
      <c r="H2" s="7"/>
      <c r="I2" s="7"/>
      <c r="J2" s="7"/>
    </row>
    <row r="4" spans="3:11" x14ac:dyDescent="0.25">
      <c r="C4" s="2" t="s">
        <v>33</v>
      </c>
      <c r="D4" s="2" t="s">
        <v>29</v>
      </c>
      <c r="F4" s="2" t="s">
        <v>32</v>
      </c>
      <c r="G4" s="2" t="s">
        <v>29</v>
      </c>
      <c r="I4" s="2" t="s">
        <v>23</v>
      </c>
      <c r="J4" s="2" t="s">
        <v>29</v>
      </c>
    </row>
    <row r="5" spans="3:11" x14ac:dyDescent="0.25">
      <c r="C5" t="s">
        <v>30</v>
      </c>
      <c r="D5" s="8">
        <v>2543.9</v>
      </c>
      <c r="F5" t="s">
        <v>30</v>
      </c>
      <c r="G5" s="9">
        <v>890.36500000000001</v>
      </c>
      <c r="I5" t="s">
        <v>30</v>
      </c>
      <c r="J5" s="5">
        <v>87</v>
      </c>
    </row>
    <row r="6" spans="3:11" x14ac:dyDescent="0.25">
      <c r="C6" t="s">
        <v>31</v>
      </c>
      <c r="D6" s="8">
        <v>3000</v>
      </c>
      <c r="F6" t="s">
        <v>31</v>
      </c>
      <c r="G6" s="9">
        <v>1000</v>
      </c>
      <c r="I6" t="s">
        <v>31</v>
      </c>
      <c r="J6" s="5">
        <v>100</v>
      </c>
    </row>
    <row r="7" spans="3:11" x14ac:dyDescent="0.25">
      <c r="C7" t="s">
        <v>34</v>
      </c>
      <c r="D7" s="6">
        <f>D5/D6</f>
        <v>0.84796666666666665</v>
      </c>
      <c r="F7" t="s">
        <v>34</v>
      </c>
      <c r="G7" s="6">
        <f>G5/G6</f>
        <v>0.89036499999999996</v>
      </c>
      <c r="I7" t="s">
        <v>34</v>
      </c>
      <c r="J7" s="6">
        <f>J5/J6</f>
        <v>0.87</v>
      </c>
    </row>
    <row r="8" spans="3:11" x14ac:dyDescent="0.25">
      <c r="C8" t="s">
        <v>35</v>
      </c>
      <c r="D8" s="6">
        <f>100%-D7</f>
        <v>0.15203333333333335</v>
      </c>
      <c r="F8" t="s">
        <v>35</v>
      </c>
      <c r="G8" s="6">
        <f>100%-G7</f>
        <v>0.10963500000000004</v>
      </c>
      <c r="I8" t="s">
        <v>35</v>
      </c>
      <c r="J8" s="6">
        <f>100%-J7</f>
        <v>0.13</v>
      </c>
    </row>
    <row r="10" spans="3:11" x14ac:dyDescent="0.25">
      <c r="C10" s="7" t="s">
        <v>37</v>
      </c>
      <c r="D10" s="7"/>
      <c r="E10" s="7"/>
      <c r="F10" s="7"/>
      <c r="G10" s="7"/>
      <c r="H10" s="7"/>
      <c r="J10" s="7" t="s">
        <v>19</v>
      </c>
      <c r="K10" s="7"/>
    </row>
    <row r="12" spans="3:11" x14ac:dyDescent="0.25">
      <c r="C12" s="1" t="s">
        <v>7</v>
      </c>
      <c r="D12" s="1">
        <v>2021</v>
      </c>
      <c r="E12" s="1">
        <v>2022</v>
      </c>
      <c r="G12" s="1" t="s">
        <v>20</v>
      </c>
      <c r="H12" s="1" t="s">
        <v>7</v>
      </c>
      <c r="J12" s="2" t="s">
        <v>19</v>
      </c>
      <c r="K12" s="2" t="s">
        <v>22</v>
      </c>
    </row>
    <row r="13" spans="3:11" x14ac:dyDescent="0.25">
      <c r="C13" t="s">
        <v>8</v>
      </c>
      <c r="D13">
        <v>201.9</v>
      </c>
      <c r="E13">
        <v>215.3</v>
      </c>
      <c r="G13" t="s">
        <v>0</v>
      </c>
      <c r="H13" s="3">
        <v>953.3</v>
      </c>
      <c r="J13" t="s">
        <v>28</v>
      </c>
      <c r="K13" s="4">
        <v>0.54</v>
      </c>
    </row>
    <row r="14" spans="3:11" x14ac:dyDescent="0.25">
      <c r="C14" t="s">
        <v>9</v>
      </c>
      <c r="D14">
        <v>204.2</v>
      </c>
      <c r="E14">
        <v>217.6</v>
      </c>
      <c r="G14" t="s">
        <v>3</v>
      </c>
      <c r="H14" s="3">
        <v>432.4</v>
      </c>
      <c r="J14" t="s">
        <v>27</v>
      </c>
      <c r="K14" s="4">
        <v>0.86</v>
      </c>
    </row>
    <row r="15" spans="3:11" x14ac:dyDescent="0.25">
      <c r="C15" t="s">
        <v>10</v>
      </c>
      <c r="D15">
        <v>198.6</v>
      </c>
      <c r="E15">
        <v>220.1</v>
      </c>
      <c r="G15" t="s">
        <v>21</v>
      </c>
      <c r="H15" s="3">
        <v>553.20000000000005</v>
      </c>
      <c r="J15" t="s">
        <v>26</v>
      </c>
      <c r="K15" s="4">
        <v>0.93</v>
      </c>
    </row>
    <row r="16" spans="3:11" x14ac:dyDescent="0.25">
      <c r="C16" t="s">
        <v>11</v>
      </c>
      <c r="D16">
        <v>199.2</v>
      </c>
      <c r="E16">
        <v>206.4</v>
      </c>
      <c r="G16" t="s">
        <v>4</v>
      </c>
      <c r="H16" s="3">
        <v>445.1</v>
      </c>
      <c r="J16" t="s">
        <v>25</v>
      </c>
      <c r="K16" s="4">
        <v>0.53</v>
      </c>
    </row>
    <row r="17" spans="3:11" x14ac:dyDescent="0.25">
      <c r="C17" t="s">
        <v>6</v>
      </c>
      <c r="D17">
        <v>206.4</v>
      </c>
      <c r="E17">
        <v>204.3</v>
      </c>
      <c r="G17" t="s">
        <v>5</v>
      </c>
      <c r="H17" s="3">
        <v>425.1</v>
      </c>
      <c r="J17" t="s">
        <v>24</v>
      </c>
      <c r="K17" s="4">
        <v>0.95</v>
      </c>
    </row>
    <row r="18" spans="3:11" x14ac:dyDescent="0.25">
      <c r="C18" t="s">
        <v>12</v>
      </c>
      <c r="D18">
        <v>195.3</v>
      </c>
      <c r="E18">
        <v>203</v>
      </c>
      <c r="G18" t="s">
        <v>2</v>
      </c>
      <c r="H18" s="3">
        <v>253.6</v>
      </c>
    </row>
    <row r="19" spans="3:11" x14ac:dyDescent="0.25">
      <c r="C19" t="s">
        <v>13</v>
      </c>
      <c r="D19">
        <v>192.4</v>
      </c>
      <c r="E19">
        <v>201.5</v>
      </c>
      <c r="G19" t="s">
        <v>1</v>
      </c>
      <c r="H19" s="3">
        <v>387.5</v>
      </c>
    </row>
    <row r="20" spans="3:11" x14ac:dyDescent="0.25">
      <c r="C20" t="s">
        <v>14</v>
      </c>
      <c r="D20">
        <v>186.3</v>
      </c>
      <c r="E20">
        <v>200.6</v>
      </c>
    </row>
    <row r="21" spans="3:11" x14ac:dyDescent="0.25">
      <c r="C21" t="s">
        <v>15</v>
      </c>
      <c r="D21">
        <v>194.2</v>
      </c>
      <c r="E21">
        <v>210.6</v>
      </c>
    </row>
    <row r="22" spans="3:11" x14ac:dyDescent="0.25">
      <c r="C22" t="s">
        <v>16</v>
      </c>
      <c r="D22">
        <v>199</v>
      </c>
      <c r="E22">
        <v>216.4</v>
      </c>
    </row>
    <row r="23" spans="3:11" x14ac:dyDescent="0.25">
      <c r="C23" t="s">
        <v>17</v>
      </c>
      <c r="D23">
        <v>205.2</v>
      </c>
      <c r="E23">
        <v>222.3</v>
      </c>
    </row>
    <row r="24" spans="3:11" x14ac:dyDescent="0.25">
      <c r="C24" t="s">
        <v>18</v>
      </c>
      <c r="D24">
        <v>204.3</v>
      </c>
      <c r="E24">
        <v>225.8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Input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juju Ari</cp:lastModifiedBy>
  <dcterms:created xsi:type="dcterms:W3CDTF">2023-01-30T08:37:14Z</dcterms:created>
  <dcterms:modified xsi:type="dcterms:W3CDTF">2026-03-09T12:07:16Z</dcterms:modified>
</cp:coreProperties>
</file>
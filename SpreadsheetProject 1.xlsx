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62619c3cef2610/Desktop/"/>
    </mc:Choice>
  </mc:AlternateContent>
  <xr:revisionPtr revIDLastSave="371" documentId="8_{649A40CF-E44B-45F6-8D8B-995B7533BC70}" xr6:coauthVersionLast="47" xr6:coauthVersionMax="47" xr10:uidLastSave="{29051CAF-CB88-4C09-ACA8-7F012DE44C79}"/>
  <bookViews>
    <workbookView xWindow="-120" yWindow="-120" windowWidth="29040" windowHeight="15720" xr2:uid="{7F7E1DDE-3781-814A-825E-072C922D74F6}"/>
  </bookViews>
  <sheets>
    <sheet name="Dashboard" sheetId="7" r:id="rId1"/>
    <sheet name="Clean data" sheetId="4" r:id="rId2"/>
    <sheet name="Pivot" sheetId="6" r:id="rId3"/>
    <sheet name="Raw data" sheetId="2" r:id="rId4"/>
  </sheets>
  <definedNames>
    <definedName name="_xlnm._FilterDatabase" localSheetId="1" hidden="1">'Clean data'!$A$1:$L$29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6" l="1"/>
  <c r="L29" i="4"/>
  <c r="E29" i="4"/>
  <c r="C29" i="4"/>
  <c r="L28" i="4"/>
  <c r="E28" i="4"/>
  <c r="C28" i="4"/>
  <c r="L27" i="4"/>
  <c r="E27" i="4"/>
  <c r="C27" i="4"/>
  <c r="L26" i="4"/>
  <c r="E26" i="4"/>
  <c r="C26" i="4"/>
  <c r="L25" i="4"/>
  <c r="E25" i="4"/>
  <c r="C25" i="4"/>
  <c r="L24" i="4"/>
  <c r="E24" i="4"/>
  <c r="C24" i="4"/>
  <c r="L23" i="4"/>
  <c r="E23" i="4"/>
  <c r="C23" i="4"/>
  <c r="L22" i="4"/>
  <c r="E22" i="4"/>
  <c r="C22" i="4"/>
  <c r="L21" i="4"/>
  <c r="E21" i="4"/>
  <c r="C21" i="4"/>
  <c r="L20" i="4"/>
  <c r="E20" i="4"/>
  <c r="C20" i="4"/>
  <c r="L19" i="4"/>
  <c r="E19" i="4"/>
  <c r="C19" i="4"/>
  <c r="L18" i="4"/>
  <c r="E18" i="4"/>
  <c r="C18" i="4"/>
  <c r="L17" i="4"/>
  <c r="E17" i="4"/>
  <c r="C17" i="4"/>
  <c r="L16" i="4"/>
  <c r="E16" i="4"/>
  <c r="C16" i="4"/>
  <c r="L15" i="4"/>
  <c r="E15" i="4"/>
  <c r="C15" i="4"/>
  <c r="L14" i="4"/>
  <c r="E14" i="4"/>
  <c r="C14" i="4"/>
  <c r="L13" i="4"/>
  <c r="E13" i="4"/>
  <c r="C13" i="4"/>
  <c r="L12" i="4"/>
  <c r="E12" i="4"/>
  <c r="C12" i="4"/>
  <c r="L11" i="4"/>
  <c r="E11" i="4"/>
  <c r="C11" i="4"/>
  <c r="L10" i="4"/>
  <c r="E10" i="4"/>
  <c r="C10" i="4"/>
  <c r="L9" i="4"/>
  <c r="E9" i="4"/>
  <c r="C9" i="4"/>
  <c r="L8" i="4"/>
  <c r="E8" i="4"/>
  <c r="C8" i="4"/>
  <c r="L7" i="4"/>
  <c r="E7" i="4"/>
  <c r="C7" i="4"/>
  <c r="L6" i="4"/>
  <c r="E6" i="4"/>
  <c r="C6" i="4"/>
  <c r="L5" i="4"/>
  <c r="E5" i="4"/>
  <c r="C5" i="4"/>
  <c r="L4" i="4"/>
  <c r="E4" i="4"/>
  <c r="C4" i="4"/>
  <c r="L3" i="4"/>
  <c r="E3" i="4"/>
  <c r="C3" i="4"/>
  <c r="L2" i="4"/>
  <c r="E2" i="4"/>
  <c r="C2" i="4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<sst xmlns="http://schemas.openxmlformats.org/spreadsheetml/2006/main" count="371" uniqueCount="150">
  <si>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</si>
  <si>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</si>
  <si>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</si>
  <si>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</si>
  <si>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</si>
  <si>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</si>
  <si>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</si>
  <si>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</si>
  <si>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</si>
  <si>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</si>
  <si>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</si>
  <si>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</si>
  <si>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</si>
  <si>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</si>
  <si>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</si>
  <si>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</si>
  <si>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</si>
  <si>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</si>
  <si>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</si>
  <si>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</si>
  <si>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</si>
  <si>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</si>
  <si>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</si>
  <si>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</si>
  <si>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</si>
  <si>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</si>
  <si>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</si>
  <si>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</si>
  <si>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</si>
  <si>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</si>
  <si>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</si>
  <si>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</si>
  <si>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</si>
  <si>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</si>
  <si>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</si>
  <si>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</si>
  <si>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</si>
  <si>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</si>
  <si>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</si>
  <si>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</si>
  <si>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</si>
  <si>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</si>
  <si>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</si>
  <si>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</si>
  <si>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</si>
  <si>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</si>
  <si>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</si>
  <si>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</si>
  <si>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</si>
  <si>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</si>
  <si>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</si>
  <si>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</si>
  <si>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</si>
  <si>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</si>
  <si>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</si>
  <si>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</si>
  <si>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</si>
  <si>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</si>
  <si>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</si>
  <si>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</si>
  <si>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</si>
  <si>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</si>
  <si>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</si>
  <si>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</si>
  <si>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</si>
  <si>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</si>
  <si>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</si>
  <si>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</si>
  <si>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</si>
  <si>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</si>
  <si>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</si>
  <si>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</si>
  <si>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 </t>
  </si>
  <si>
    <t xml:space="preserve">TESLA, INC.  </t>
  </si>
  <si>
    <t xml:space="preserve">NETFLIX, INC.  </t>
  </si>
  <si>
    <t xml:space="preserve">THE PROCTER &amp; GAMBLE COMPANY  </t>
  </si>
  <si>
    <t xml:space="preserve">THE GOLDMAN SACHS GROUP, INC.  </t>
  </si>
  <si>
    <t xml:space="preserve">JPMORGAN CHASE &amp; CO.  </t>
  </si>
  <si>
    <t xml:space="preserve">MORGAN STANLEY  </t>
  </si>
  <si>
    <t xml:space="preserve">CITIGROUP INC.  </t>
  </si>
  <si>
    <t xml:space="preserve">BANK OF AMERICA CORPORATION  </t>
  </si>
  <si>
    <t xml:space="preserve">WALMART INC.  </t>
  </si>
  <si>
    <t xml:space="preserve">TARGET CORPORATION  </t>
  </si>
  <si>
    <t xml:space="preserve">COSTCO WHOLESALE CORPORATION  </t>
  </si>
  <si>
    <t xml:space="preserve">MCDONALD'S CORPORATION  </t>
  </si>
  <si>
    <t xml:space="preserve">EXXON MOBIL CORPORATION  </t>
  </si>
  <si>
    <t xml:space="preserve">VERIZON COMMUNICATIONS INC.  </t>
  </si>
  <si>
    <t xml:space="preserve">THE HOME DEPOT, INC.  </t>
  </si>
  <si>
    <t xml:space="preserve">CISCO SYSTEMS, INC.  </t>
  </si>
  <si>
    <t xml:space="preserve">CHEVRON CORPORATION  </t>
  </si>
  <si>
    <t xml:space="preserve">AT&amp;T INC.  </t>
  </si>
  <si>
    <t xml:space="preserve">INTEL CORPORATION  </t>
  </si>
  <si>
    <t xml:space="preserve">GENERAL MOTORS COMPANY  </t>
  </si>
  <si>
    <t xml:space="preserve">MICROSOFT CORPORATION  </t>
  </si>
  <si>
    <t xml:space="preserve">COMCAST CORPORATION  </t>
  </si>
  <si>
    <t xml:space="preserve">DELL TECHNOLOGIES INC.  </t>
  </si>
  <si>
    <t xml:space="preserve">JOHNSON &amp; JOHNSON  </t>
  </si>
  <si>
    <t xml:space="preserve">FEDEX CORPORATION  </t>
  </si>
  <si>
    <t xml:space="preserve">GENERAL ELECTRIC COMPANY  </t>
  </si>
  <si>
    <t xml:space="preserve">LOCKHEED MARTIN CORPORATION  </t>
  </si>
  <si>
    <t>Client_clean</t>
  </si>
  <si>
    <t xml:space="preserve">amazon.com, inc.  </t>
  </si>
  <si>
    <t xml:space="preserve">tesla, inc.  </t>
  </si>
  <si>
    <t xml:space="preserve">netflix, inc.  </t>
  </si>
  <si>
    <t xml:space="preserve">the procter &amp; gamble company  </t>
  </si>
  <si>
    <t xml:space="preserve">the goldman sachs group, inc.  </t>
  </si>
  <si>
    <t xml:space="preserve">jpmorgan chase &amp; co.  </t>
  </si>
  <si>
    <t xml:space="preserve">morgan stanley  </t>
  </si>
  <si>
    <t xml:space="preserve">citigroup inc.  </t>
  </si>
  <si>
    <t xml:space="preserve">bank of america corporation  </t>
  </si>
  <si>
    <t xml:space="preserve">walmart inc.  </t>
  </si>
  <si>
    <t xml:space="preserve">target corporation  </t>
  </si>
  <si>
    <t xml:space="preserve">costco wholesale corporation  </t>
  </si>
  <si>
    <t xml:space="preserve">mcdonald's corporation  </t>
  </si>
  <si>
    <t xml:space="preserve">exxon mobil corporation  </t>
  </si>
  <si>
    <t xml:space="preserve">verizon communications inc.  </t>
  </si>
  <si>
    <t xml:space="preserve">the home depot, inc.  </t>
  </si>
  <si>
    <t xml:space="preserve">cisco systems, inc.  </t>
  </si>
  <si>
    <t xml:space="preserve">chevron corporation  </t>
  </si>
  <si>
    <t xml:space="preserve">at&amp;t inc.  </t>
  </si>
  <si>
    <t xml:space="preserve">intel corporation  </t>
  </si>
  <si>
    <t xml:space="preserve">general motors company  </t>
  </si>
  <si>
    <t xml:space="preserve">microsoft corporation  </t>
  </si>
  <si>
    <t xml:space="preserve">comcast corporation  </t>
  </si>
  <si>
    <t xml:space="preserve">dell technologies inc.  </t>
  </si>
  <si>
    <t xml:space="preserve">johnson &amp; johnson  </t>
  </si>
  <si>
    <t xml:space="preserve">fedex corporation  </t>
  </si>
  <si>
    <t xml:space="preserve">general electric company  </t>
  </si>
  <si>
    <t xml:space="preserve">lockheed martin corporation  </t>
  </si>
  <si>
    <t>Contact_clean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</si>
  <si>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</si>
  <si>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</si>
  <si>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</si>
  <si>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</si>
  <si>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</si>
  <si>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</si>
  <si>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</si>
  <si>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</si>
  <si>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Department_clean</t>
  </si>
  <si>
    <t>State_clean</t>
  </si>
  <si>
    <t>NA</t>
  </si>
  <si>
    <t>Sum of Revenue</t>
  </si>
  <si>
    <t>Sum of Profit</t>
  </si>
  <si>
    <t>Row Labels</t>
  </si>
  <si>
    <t>Grand Total</t>
  </si>
  <si>
    <t>Payment Method</t>
  </si>
  <si>
    <t>.</t>
  </si>
  <si>
    <t>Count of Profit Margin</t>
  </si>
  <si>
    <t>Count of Client</t>
  </si>
  <si>
    <t>Revebue per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</si>
</sst>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$&quot;#,##0_);[Red]\(&quot;$&quot;#,##0\)"/>
    <numFmt numFmtId="165" formatCode="0.0%"/>
    <numFmt numFmtId="166" formatCode="[$$-409]#,##0.00"/>
    <numFmt numFmtId="167" formatCode="\ #,###,,&quot;M&quot;"/>
    <numFmt numFmtId="168" formatCode="_-* #,##0_-;\-* #,##0_-;_-* &quot;-&quot;??_-;_-@_-"/>
    <numFmt numFmtId="169" formatCode="[$$-409]#,##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2" borderId="0" xfId="0" applyFill="1"/>
    <xf numFmtId="166" fontId="0" fillId="0" borderId="0" xfId="0" applyNumberFormat="1"/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/>
    <xf numFmtId="9" fontId="0" fillId="0" borderId="0" xfId="1" applyFont="1"/>
    <xf numFmtId="167" fontId="0" fillId="0" borderId="0" xfId="0" applyNumberFormat="1"/>
    <xf numFmtId="168" fontId="0" fillId="0" borderId="0" xfId="2" applyNumberFormat="1" applyFont="1"/>
    <xf numFmtId="169" fontId="0" fillId="0" borderId="0" xfId="0" applyNumberFormat="1"/>
    <xf numFmtId="0" fontId="2" fillId="0" borderId="0" xfId="0" applyFont="1"/>
    <xf numFmtId="166" fontId="0" fillId="0" borderId="1" xfId="0" applyNumberFormat="1" applyBorder="1"/>
    <xf numFmtId="2" fontId="0" fillId="0" borderId="0" xfId="0" applyNumberFormat="1"/>
  </cellXfs>
  <cellStyles count="3">
    <cellStyle name="Comma" xfId="2" builtinId="3"/>
    <cellStyle name="Normal" xfId="0" builtinId="0"/>
    <cellStyle name="Percent" xfId="1" builtinId="5"/>
  </cellStyles>
  <dxfs count="27">
    <dxf>
      <numFmt numFmtId="166" formatCode="[$$-409]#,##0.00"/>
    </dxf>
    <dxf>
      <numFmt numFmtId="166" formatCode="[$$-409]#,##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6" formatCode="[$$-409]#,##0.00"/>
    </dxf>
    <dxf>
      <numFmt numFmtId="2" formatCode="0.00"/>
    </dxf>
    <dxf>
      <numFmt numFmtId="166" formatCode="[$$-409]#,##0.00"/>
    </dxf>
    <dxf>
      <numFmt numFmtId="166" formatCode="[$$-409]#,##0.00"/>
    </dxf>
    <dxf>
      <numFmt numFmtId="166" formatCode="[$$-409]#,##0.00"/>
    </dxf>
    <dxf>
      <numFmt numFmtId="166" formatCode="[$$-409]#,##0.00"/>
    </dxf>
    <dxf>
      <numFmt numFmtId="166" formatCode="[$$-409]#,##0.00"/>
    </dxf>
    <dxf>
      <numFmt numFmtId="166" formatCode="[$$-409]#,##0.00"/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0.0%"/>
    </dxf>
    <dxf>
      <numFmt numFmtId="164" formatCode="&quot;$&quot;#,##0_);[Red]\(&quot;$&quot;#,##0\)"/>
      <alignment horizontal="center" vertical="bottom" textRotation="0" wrapText="0" indent="0" justifyLastLine="0" shrinkToFit="0" readingOrder="0"/>
    </dxf>
    <dxf>
      <numFmt numFmtId="164" formatCode="&quot;$&quot;#,##0_);[Red]\(&quot;$&quot;#,##0\)"/>
      <alignment horizontal="center" vertical="bottom" textRotation="0" wrapText="0" indent="0" justifyLastLine="0" shrinkToFit="0" readingOrder="0"/>
    </dxf>
    <dxf>
      <numFmt numFmtId="19" formatCode="dd/mm/yyyy"/>
    </dxf>
    <dxf>
      <alignment horizontal="center" vertical="bottom" textRotation="0" wrapText="0" indent="0" justifyLastLine="0" shrinkToFit="0" readingOrder="0"/>
    </dxf>
    <dxf>
      <numFmt numFmtId="166" formatCode="[$$-409]#,##0.00"/>
    </dxf>
    <dxf>
      <numFmt numFmtId="166" formatCode="[$$-409]#,##0.00"/>
    </dxf>
    <dxf>
      <numFmt numFmtId="166" formatCode="[$$-409]#,##0.00"/>
    </dxf>
    <dxf>
      <numFmt numFmtId="166" formatCode="[$$-409]#,##0.00"/>
    </dxf>
    <dxf>
      <numFmt numFmtId="14" formatCode="0.00%"/>
    </dxf>
    <dxf>
      <numFmt numFmtId="166" formatCode="[$$-409]#,##0.00"/>
    </dxf>
    <dxf>
      <numFmt numFmtId="166" formatCode="[$$-409]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pivotCacheDefinition" Target="pivotCache/pivotCacheDefinition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>
                    <a:lumMod val="50000"/>
                  </a:schemeClr>
                </a:solidFill>
              </a:rPr>
              <a:t>Revenue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4838145231846"/>
          <c:y val="0.17654692931633839"/>
          <c:w val="0.84596062992125987"/>
          <c:h val="0.720564228428572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Pivot!$E$20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Pivot!$D$21:$D$25</c:f>
              <c:strCache>
                <c:ptCount val="5"/>
                <c:pt idx="0">
                  <c:v>Card</c:v>
                </c:pt>
                <c:pt idx="1">
                  <c:v>Check</c:v>
                </c:pt>
                <c:pt idx="2">
                  <c:v>NA</c:v>
                </c:pt>
                <c:pt idx="3">
                  <c:v>PayPal</c:v>
                </c:pt>
                <c:pt idx="4">
                  <c:v>Transfer</c:v>
                </c:pt>
              </c:strCache>
            </c:strRef>
          </c:cat>
          <c:val>
            <c:numRef>
              <c:f>Pivot!$E$21:$E$25</c:f>
              <c:numCache>
                <c:formatCode>[$$-409]#,##0</c:formatCode>
                <c:ptCount val="5"/>
                <c:pt idx="0">
                  <c:v>13250</c:v>
                </c:pt>
                <c:pt idx="1">
                  <c:v>19350</c:v>
                </c:pt>
                <c:pt idx="2">
                  <c:v>3712.5</c:v>
                </c:pt>
                <c:pt idx="3">
                  <c:v>23050</c:v>
                </c:pt>
                <c:pt idx="4">
                  <c:v>69970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D3-46B0-A229-35580494D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2389776"/>
        <c:axId val="1432377296"/>
      </c:barChart>
      <c:catAx>
        <c:axId val="143238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377296"/>
        <c:crosses val="autoZero"/>
        <c:auto val="1"/>
        <c:lblAlgn val="ctr"/>
        <c:lblOffset val="100"/>
        <c:noMultiLvlLbl val="0"/>
      </c:catAx>
      <c:valAx>
        <c:axId val="1432377296"/>
        <c:scaling>
          <c:orientation val="minMax"/>
        </c:scaling>
        <c:delete val="1"/>
        <c:axPos val="l"/>
        <c:numFmt formatCode="[$$-409]#,##0" sourceLinked="1"/>
        <c:majorTickMark val="none"/>
        <c:minorTickMark val="none"/>
        <c:tickLblPos val="nextTo"/>
        <c:crossAx val="14323897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10582</xdr:colOff>
      <xdr:row>3</xdr:row>
      <xdr:rowOff>52917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B554E2C-C8BC-8EA7-ECA7-14065FA6D22E}"/>
            </a:ext>
          </a:extLst>
        </xdr:cNvPr>
        <xdr:cNvSpPr/>
      </xdr:nvSpPr>
      <xdr:spPr>
        <a:xfrm>
          <a:off x="0" y="0"/>
          <a:ext cx="10329332" cy="719667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 b="1"/>
            <a:t>KPI Dashboard</a:t>
          </a:r>
        </a:p>
      </xdr:txBody>
    </xdr:sp>
    <xdr:clientData/>
  </xdr:twoCellAnchor>
  <xdr:twoCellAnchor>
    <xdr:from>
      <xdr:col>0</xdr:col>
      <xdr:colOff>460374</xdr:colOff>
      <xdr:row>4</xdr:row>
      <xdr:rowOff>200380</xdr:rowOff>
    </xdr:from>
    <xdr:to>
      <xdr:col>2</xdr:col>
      <xdr:colOff>648757</xdr:colOff>
      <xdr:row>9</xdr:row>
      <xdr:rowOff>134058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F3F23F2-1789-98AD-7301-4E26B44CE91D}"/>
            </a:ext>
          </a:extLst>
        </xdr:cNvPr>
        <xdr:cNvSpPr/>
      </xdr:nvSpPr>
      <xdr:spPr>
        <a:xfrm>
          <a:off x="460374" y="1068213"/>
          <a:ext cx="1564216" cy="939095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Total Revenue</a:t>
          </a:r>
        </a:p>
        <a:p>
          <a:pPr algn="ctr"/>
          <a:r>
            <a:rPr lang="en-US" sz="14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$129,332.50</a:t>
          </a:r>
          <a:r>
            <a:rPr lang="en-US" sz="1400" b="1">
              <a:effectLst/>
            </a:rPr>
            <a:t> </a:t>
          </a:r>
          <a:endParaRPr lang="en-US" sz="1400" b="1"/>
        </a:p>
      </xdr:txBody>
    </xdr:sp>
    <xdr:clientData/>
  </xdr:twoCellAnchor>
  <xdr:twoCellAnchor editAs="oneCell">
    <xdr:from>
      <xdr:col>0</xdr:col>
      <xdr:colOff>201084</xdr:colOff>
      <xdr:row>14</xdr:row>
      <xdr:rowOff>3175</xdr:rowOff>
    </xdr:from>
    <xdr:to>
      <xdr:col>6</xdr:col>
      <xdr:colOff>615200</xdr:colOff>
      <xdr:row>26</xdr:row>
      <xdr:rowOff>140134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9E7D41E7-150D-BDA6-0EAE-CC8D83102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084" y="2881842"/>
          <a:ext cx="4541616" cy="2549959"/>
        </a:xfrm>
        <a:prstGeom prst="rect">
          <a:avLst/>
        </a:prstGeom>
      </xdr:spPr>
    </xdr:pic>
    <xdr:clientData/>
  </xdr:twoCellAnchor>
  <xdr:twoCellAnchor>
    <xdr:from>
      <xdr:col>8</xdr:col>
      <xdr:colOff>350308</xdr:colOff>
      <xdr:row>13</xdr:row>
      <xdr:rowOff>2117</xdr:rowOff>
    </xdr:from>
    <xdr:to>
      <xdr:col>14</xdr:col>
      <xdr:colOff>461433</xdr:colOff>
      <xdr:row>25</xdr:row>
      <xdr:rowOff>149225</xdr:rowOff>
    </xdr:to>
    <xdr:graphicFrame macro="">
      <xdr:nvGraphicFramePr>
        <xdr:cNvPr id="331" name="Chart 330">
          <a:extLst>
            <a:ext uri="{FF2B5EF4-FFF2-40B4-BE49-F238E27FC236}">
              <a16:creationId xmlns:a16="http://schemas.microsoft.com/office/drawing/2014/main" id="{4E6AEE35-D591-4630-A488-E47AF0842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373593</xdr:colOff>
      <xdr:row>5</xdr:row>
      <xdr:rowOff>7408</xdr:rowOff>
    </xdr:from>
    <xdr:to>
      <xdr:col>13</xdr:col>
      <xdr:colOff>677334</xdr:colOff>
      <xdr:row>9</xdr:row>
      <xdr:rowOff>116417</xdr:rowOff>
    </xdr:to>
    <xdr:sp macro="" textlink="">
      <xdr:nvSpPr>
        <xdr:cNvPr id="332" name="Rectangle: Rounded Corners 331">
          <a:extLst>
            <a:ext uri="{FF2B5EF4-FFF2-40B4-BE49-F238E27FC236}">
              <a16:creationId xmlns:a16="http://schemas.microsoft.com/office/drawing/2014/main" id="{1632A557-E8D9-6A3B-7292-16987D88F393}"/>
            </a:ext>
          </a:extLst>
        </xdr:cNvPr>
        <xdr:cNvSpPr/>
      </xdr:nvSpPr>
      <xdr:spPr>
        <a:xfrm>
          <a:off x="7940676" y="1076325"/>
          <a:ext cx="1679575" cy="913342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Average Profit Margin</a:t>
          </a:r>
        </a:p>
        <a:p>
          <a:pPr algn="ctr"/>
          <a:r>
            <a:rPr lang="en-US" sz="14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$4,619.02 </a:t>
          </a:r>
          <a:endParaRPr lang="en-US" sz="1400" b="1"/>
        </a:p>
      </xdr:txBody>
    </xdr:sp>
    <xdr:clientData/>
  </xdr:twoCellAnchor>
  <xdr:twoCellAnchor>
    <xdr:from>
      <xdr:col>4</xdr:col>
      <xdr:colOff>20108</xdr:colOff>
      <xdr:row>5</xdr:row>
      <xdr:rowOff>14110</xdr:rowOff>
    </xdr:from>
    <xdr:to>
      <xdr:col>6</xdr:col>
      <xdr:colOff>208491</xdr:colOff>
      <xdr:row>9</xdr:row>
      <xdr:rowOff>148872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16FAC36-5748-05B9-D7D1-82FA2267A40E}"/>
            </a:ext>
          </a:extLst>
        </xdr:cNvPr>
        <xdr:cNvSpPr/>
      </xdr:nvSpPr>
      <xdr:spPr>
        <a:xfrm>
          <a:off x="2771775" y="1083027"/>
          <a:ext cx="1564216" cy="939095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Total Profit</a:t>
          </a:r>
        </a:p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ea"/>
              <a:cs typeface="+mn-cs"/>
            </a:rPr>
            <a:t>$28,845.00 </a:t>
          </a:r>
        </a:p>
      </xdr:txBody>
    </xdr:sp>
    <xdr:clientData/>
  </xdr:twoCellAnchor>
  <xdr:twoCellAnchor>
    <xdr:from>
      <xdr:col>7</xdr:col>
      <xdr:colOff>585257</xdr:colOff>
      <xdr:row>5</xdr:row>
      <xdr:rowOff>7759</xdr:rowOff>
    </xdr:from>
    <xdr:to>
      <xdr:col>10</xdr:col>
      <xdr:colOff>85723</xdr:colOff>
      <xdr:row>9</xdr:row>
      <xdr:rowOff>142521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D75D224E-76FF-D89C-9D45-26C024751FC2}"/>
            </a:ext>
          </a:extLst>
        </xdr:cNvPr>
        <xdr:cNvSpPr/>
      </xdr:nvSpPr>
      <xdr:spPr>
        <a:xfrm>
          <a:off x="5400674" y="1076676"/>
          <a:ext cx="1564216" cy="939095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Total Transactions</a:t>
          </a:r>
        </a:p>
        <a:p>
          <a:pPr algn="ctr"/>
          <a:r>
            <a:rPr lang="en-US" sz="14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28</a:t>
          </a:r>
          <a:endParaRPr lang="en-US" sz="14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ju Ari" refreshedDate="46083.868644097223" createdVersion="8" refreshedVersion="8" minRefreshableVersion="3" recordCount="28" xr:uid="{94C0426A-2F85-452E-8596-FBFFA735DF62}">
  <cacheSource type="worksheet">
    <worksheetSource name="Table2"/>
  </cacheSource>
  <cacheFields count="16">
    <cacheField name="Date" numFmtId="14">
      <sharedItems containsSemiMixedTypes="0" containsNonDate="0" containsDate="1" containsString="0" minDate="2023-05-30T00:00:00" maxDate="2023-06-03T00:00:00" count="4">
        <d v="2023-05-30T00:00:00"/>
        <d v="2023-05-31T00:00:00"/>
        <d v="2023-06-01T00:00:00"/>
        <d v="2023-06-02T00:00:00"/>
      </sharedItems>
      <fieldGroup par="13"/>
    </cacheField>
    <cacheField name="Client" numFmtId="0">
      <sharedItems/>
    </cacheField>
    <cacheField name="Client_clean" numFmtId="0">
      <sharedItems count="28">
        <s v="amazon.com, inc.  "/>
        <s v="tesla, inc.  "/>
        <s v="netflix, inc.  "/>
        <s v="the procter &amp; gamble company  "/>
        <s v="the goldman sachs group, inc.  "/>
        <s v="jpmorgan chase &amp; co.  "/>
        <s v="morgan stanley  "/>
        <s v="citigroup inc.  "/>
        <s v="bank of america corporation  "/>
        <s v="walmart inc.  "/>
        <s v="target corporation  "/>
        <s v="costco wholesale corporation  "/>
        <s v="mcdonald's corporation  "/>
        <s v="exxon mobil corporation  "/>
        <s v="verizon communications inc.  "/>
        <s v="the home depot, inc.  "/>
        <s v="cisco systems, inc.  "/>
        <s v="chevron corporation  "/>
        <s v="at&amp;t inc.  "/>
        <s v="intel corporation  "/>
        <s v="general motors company  "/>
        <s v="microsoft corporation  "/>
        <s v="comcast corporation  "/>
        <s v="dell technologies inc.  "/>
        <s v="johnson &amp; johnson  "/>
        <s v="fedex corporation  "/>
        <s v="general electric company  "/>
        <s v="lockheed martin corporation  "/>
      </sharedItems>
    </cacheField>
    <cacheField name="Contact" numFmtId="0">
      <sharedItems/>
    </cacheField>
    <cacheField name="Contact_clean" numFmtId="0">
      <sharedItems count="28">
        <s v="Bill Smith"/>
        <s v="Ken Singh"/>
        <s v="Harley Fritz"/>
        <s v="Nyla Novak"/>
        <s v="David Rasmussen"/>
        <s v="Ivan Hiney"/>
        <s v="Jonha Ma"/>
        <s v="Jordan Boone"/>
        <s v="Kylee Townsend"/>
        <s v="Nora Rollins"/>
        <s v="Brendan Wallace"/>
        <s v="Conor Wise"/>
        <s v="Steven Michael"/>
        <s v="Lucia Mckay"/>
        <s v="Jose Roach"/>
        <s v="Franklin Wrigt"/>
        <s v="Alia Thornton"/>
        <s v="Denzel Flores"/>
        <s v="Bruno Cordova"/>
        <s v="Jaylynn Napp"/>
        <s v="Bruce Rich"/>
        <s v="Arturo Moore"/>
        <s v="Bryce Carpenter"/>
        <s v="Jaidyn Andersen"/>
        <s v="Mark Walm"/>
        <s v="Harry Lee"/>
        <s v="Josh Johnson"/>
        <s v="Mik Naam"/>
      </sharedItems>
    </cacheField>
    <cacheField name="Department" numFmtId="0">
      <sharedItems count="4">
        <s v="Cloud Tech_Texas"/>
        <s v="Strategy_New York"/>
        <s v="Operations_Florida"/>
        <s v="Big Data_California"/>
      </sharedItems>
    </cacheField>
    <cacheField name="Department_clean" numFmtId="0">
      <sharedItems count="4">
        <s v="Cloud Tech"/>
        <s v="Strategy"/>
        <s v="Operations"/>
        <s v="Big Data"/>
      </sharedItems>
    </cacheField>
    <cacheField name="State_clean" numFmtId="0">
      <sharedItems/>
    </cacheField>
    <cacheField name="Payment" numFmtId="0">
      <sharedItems count="5">
        <s v="Transfer"/>
        <s v="PayPal"/>
        <s v="NA"/>
        <s v="Check"/>
        <s v="Card"/>
      </sharedItems>
    </cacheField>
    <cacheField name="Revenue" numFmtId="164">
      <sharedItems containsMixedTypes="1" containsNumber="1" minValue="3600" maxValue="7500" count="20">
        <n v="4500"/>
        <n v="3800"/>
        <n v="3712.5"/>
        <s v="NA"/>
        <n v="5000"/>
        <n v="6100"/>
        <n v="4625"/>
        <n v="3600"/>
        <n v="5100"/>
        <n v="4750"/>
        <n v="6000"/>
        <n v="4950"/>
        <n v="7320"/>
        <n v="5087.5"/>
        <n v="4250"/>
        <n v="5250"/>
        <n v="6500"/>
        <n v="7500"/>
        <n v="5500"/>
        <n v="5400"/>
      </sharedItems>
    </cacheField>
    <cacheField name="Profit" numFmtId="164">
      <sharedItems containsSemiMixedTypes="0" containsString="0" containsNumber="1" containsInteger="1" minValue="540" maxValue="2045"/>
    </cacheField>
    <cacheField name="Profit Margin" numFmtId="165">
      <sharedItems containsMixedTypes="1" containsNumber="1" minValue="8.9180327868852466E-2" maxValue="0.53815789473684206" count="27">
        <n v="0.13288888888888889"/>
        <n v="0.27500000000000002"/>
        <n v="0.2717845117845118"/>
        <s v="NA"/>
        <n v="0.1368"/>
        <n v="8.9180327868852466E-2"/>
        <n v="0.14486486486486486"/>
        <n v="0.53815789473684206"/>
        <n v="0.43444444444444447"/>
        <n v="0.23921568627450981"/>
        <n v="0.30210526315789471"/>
        <n v="0.16633333333333333"/>
        <n v="0.17333333333333334"/>
        <n v="0.32915824915824915"/>
        <n v="0.21515151515151515"/>
        <n v="0.17052631578947369"/>
        <n v="0.12745901639344262"/>
        <n v="0.12874692874692875"/>
        <n v="0.16044444444444445"/>
        <n v="0.21199999999999999"/>
        <n v="0.25695238095238093"/>
        <n v="0.19815384615384615"/>
        <n v="0.22186666666666666"/>
        <n v="0.24"/>
        <n v="0.21643243243243243"/>
        <n v="0.21333333333333335"/>
        <n v="0.1"/>
      </sharedItems>
    </cacheField>
    <cacheField name="Days (Date)" numFmtId="0" databaseField="0">
      <fieldGroup base="0">
        <rangePr groupBy="days" startDate="2023-05-30T00:00:00" endDate="2023-06-03T00:00:00"/>
        <groupItems count="368">
          <s v="&lt;30/05/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3/06/2023"/>
        </groupItems>
      </fieldGroup>
    </cacheField>
    <cacheField name="Months (Date)" numFmtId="0" databaseField="0">
      <fieldGroup base="0">
        <rangePr groupBy="months" startDate="2023-05-30T00:00:00" endDate="2023-06-03T00:00:00"/>
        <groupItems count="14">
          <s v="&lt;30/05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/06/2023"/>
        </groupItems>
      </fieldGroup>
    </cacheField>
    <cacheField name="Revenue per Client" numFmtId="0" formula="Revenue /Contact" databaseField="0"/>
    <cacheField name="No. of Clients" numFmtId="0" formula=" SUM(Client_clean 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s v="AMAZON.COM, INC.  "/>
    <x v="0"/>
    <s v="     Bill SmITH"/>
    <x v="0"/>
    <x v="0"/>
    <x v="0"/>
    <s v="Texas"/>
    <x v="0"/>
    <x v="0"/>
    <n v="598"/>
    <x v="0"/>
  </r>
  <r>
    <x v="0"/>
    <s v="TESLA, INC.  "/>
    <x v="1"/>
    <s v="KEN Singh"/>
    <x v="1"/>
    <x v="1"/>
    <x v="1"/>
    <s v="New York"/>
    <x v="1"/>
    <x v="1"/>
    <n v="1045"/>
    <x v="1"/>
  </r>
  <r>
    <x v="0"/>
    <s v="NETFLIX, INC.  "/>
    <x v="2"/>
    <s v="  Harley        Fritz"/>
    <x v="2"/>
    <x v="1"/>
    <x v="1"/>
    <s v="New York"/>
    <x v="2"/>
    <x v="2"/>
    <n v="1009"/>
    <x v="2"/>
  </r>
  <r>
    <x v="0"/>
    <s v="THE PROCTER &amp; GAMBLE COMPANY  "/>
    <x v="3"/>
    <s v="Nyla Novak"/>
    <x v="3"/>
    <x v="2"/>
    <x v="2"/>
    <s v="Florida"/>
    <x v="2"/>
    <x v="3"/>
    <n v="779"/>
    <x v="3"/>
  </r>
  <r>
    <x v="0"/>
    <s v="THE GOLDMAN SACHS GROUP, INC.  "/>
    <x v="4"/>
    <s v="David    Rasmussen"/>
    <x v="4"/>
    <x v="2"/>
    <x v="2"/>
    <s v="Florida"/>
    <x v="3"/>
    <x v="4"/>
    <n v="684"/>
    <x v="4"/>
  </r>
  <r>
    <x v="1"/>
    <s v="JPMORGAN CHASE &amp; CO.  "/>
    <x v="5"/>
    <s v="IVAN HINEY"/>
    <x v="5"/>
    <x v="0"/>
    <x v="0"/>
    <s v="Texas"/>
    <x v="0"/>
    <x v="5"/>
    <n v="544"/>
    <x v="5"/>
  </r>
  <r>
    <x v="1"/>
    <s v="MORGAN STANLEY  "/>
    <x v="6"/>
    <s v="JONha Ma"/>
    <x v="6"/>
    <x v="0"/>
    <x v="0"/>
    <s v="Texas"/>
    <x v="0"/>
    <x v="6"/>
    <n v="670"/>
    <x v="6"/>
  </r>
  <r>
    <x v="1"/>
    <s v="CITIGROUP INC.  "/>
    <x v="7"/>
    <s v="     Jordan Boone"/>
    <x v="7"/>
    <x v="0"/>
    <x v="0"/>
    <s v="Texas"/>
    <x v="0"/>
    <x v="1"/>
    <n v="2045"/>
    <x v="7"/>
  </r>
  <r>
    <x v="1"/>
    <s v="BANK OF AMERICA CORPORATION  "/>
    <x v="8"/>
    <s v="Kylee Townsend"/>
    <x v="8"/>
    <x v="0"/>
    <x v="0"/>
    <s v="Texas"/>
    <x v="4"/>
    <x v="7"/>
    <n v="1564"/>
    <x v="8"/>
  </r>
  <r>
    <x v="1"/>
    <s v="WALMART INC.  "/>
    <x v="9"/>
    <s v="Nora Rollins"/>
    <x v="9"/>
    <x v="0"/>
    <x v="0"/>
    <s v="Texas"/>
    <x v="3"/>
    <x v="8"/>
    <n v="1220"/>
    <x v="9"/>
  </r>
  <r>
    <x v="1"/>
    <s v="TARGET CORPORATION  "/>
    <x v="10"/>
    <s v="BRENDAN Wallace"/>
    <x v="10"/>
    <x v="0"/>
    <x v="0"/>
    <s v="Texas"/>
    <x v="3"/>
    <x v="9"/>
    <n v="1435"/>
    <x v="10"/>
  </r>
  <r>
    <x v="1"/>
    <s v="COSTCO WHOLESALE CORPORATION  "/>
    <x v="11"/>
    <s v="     Conor Wise"/>
    <x v="11"/>
    <x v="2"/>
    <x v="2"/>
    <s v="Florida"/>
    <x v="0"/>
    <x v="10"/>
    <n v="998"/>
    <x v="11"/>
  </r>
  <r>
    <x v="1"/>
    <s v="MCDONALD'S CORPORATION  "/>
    <x v="12"/>
    <s v="Steven     MIChael"/>
    <x v="12"/>
    <x v="3"/>
    <x v="3"/>
    <s v="California"/>
    <x v="3"/>
    <x v="0"/>
    <n v="780"/>
    <x v="12"/>
  </r>
  <r>
    <x v="2"/>
    <s v="EXXON MOBIL CORPORATION  "/>
    <x v="13"/>
    <s v="Lucia Mckay"/>
    <x v="13"/>
    <x v="3"/>
    <x v="3"/>
    <s v="California"/>
    <x v="4"/>
    <x v="3"/>
    <n v="1044"/>
    <x v="3"/>
  </r>
  <r>
    <x v="2"/>
    <s v="VERIZON COMMUNICATIONS INC.  "/>
    <x v="14"/>
    <s v="JoSE   Roach"/>
    <x v="14"/>
    <x v="3"/>
    <x v="3"/>
    <s v="California"/>
    <x v="0"/>
    <x v="2"/>
    <n v="1222"/>
    <x v="13"/>
  </r>
  <r>
    <x v="2"/>
    <s v="THE HOME DEPOT, INC.  "/>
    <x v="15"/>
    <s v="Franklin WRIGT"/>
    <x v="15"/>
    <x v="3"/>
    <x v="3"/>
    <s v="California"/>
    <x v="0"/>
    <x v="11"/>
    <n v="1065"/>
    <x v="14"/>
  </r>
  <r>
    <x v="2"/>
    <s v="CISCO SYSTEMS, INC.  "/>
    <x v="16"/>
    <s v="   Alia       Thornton"/>
    <x v="16"/>
    <x v="2"/>
    <x v="2"/>
    <s v="Florida"/>
    <x v="0"/>
    <x v="9"/>
    <n v="810"/>
    <x v="15"/>
  </r>
  <r>
    <x v="2"/>
    <s v="CHEVRON CORPORATION  "/>
    <x v="17"/>
    <s v="Denzel        Flores"/>
    <x v="17"/>
    <x v="2"/>
    <x v="2"/>
    <s v="Florida"/>
    <x v="0"/>
    <x v="12"/>
    <n v="933"/>
    <x v="16"/>
  </r>
  <r>
    <x v="2"/>
    <s v="AT&amp;T INC.  "/>
    <x v="18"/>
    <s v="Bruno CordOVA"/>
    <x v="18"/>
    <x v="3"/>
    <x v="3"/>
    <s v="California"/>
    <x v="0"/>
    <x v="13"/>
    <n v="655"/>
    <x v="17"/>
  </r>
  <r>
    <x v="2"/>
    <s v="INTEL CORPORATION  "/>
    <x v="19"/>
    <s v="jaylynn   napp"/>
    <x v="19"/>
    <x v="3"/>
    <x v="3"/>
    <s v="California"/>
    <x v="0"/>
    <x v="0"/>
    <n v="722"/>
    <x v="18"/>
  </r>
  <r>
    <x v="2"/>
    <s v="GENERAL MOTORS COMPANY  "/>
    <x v="20"/>
    <s v="Bruce RICH"/>
    <x v="20"/>
    <x v="3"/>
    <x v="3"/>
    <s v="California"/>
    <x v="4"/>
    <x v="14"/>
    <n v="901"/>
    <x v="19"/>
  </r>
  <r>
    <x v="3"/>
    <s v="MICROSOFT CORPORATION  "/>
    <x v="21"/>
    <s v="     Arturo Moore"/>
    <x v="21"/>
    <x v="3"/>
    <x v="3"/>
    <s v="California"/>
    <x v="1"/>
    <x v="15"/>
    <n v="1349"/>
    <x v="20"/>
  </r>
  <r>
    <x v="3"/>
    <s v="COMCAST CORPORATION  "/>
    <x v="22"/>
    <s v="Bryce     Carpenter"/>
    <x v="22"/>
    <x v="1"/>
    <x v="1"/>
    <s v="New York"/>
    <x v="1"/>
    <x v="16"/>
    <n v="1288"/>
    <x v="21"/>
  </r>
  <r>
    <x v="3"/>
    <s v="DELL TECHNOLOGIES INC.  "/>
    <x v="23"/>
    <s v="Jaidyn ANDERSEN"/>
    <x v="23"/>
    <x v="1"/>
    <x v="1"/>
    <s v="New York"/>
    <x v="1"/>
    <x v="17"/>
    <n v="1664"/>
    <x v="22"/>
  </r>
  <r>
    <x v="3"/>
    <s v="JOHNSON &amp; JOHNSON  "/>
    <x v="24"/>
    <s v="MARK WALM"/>
    <x v="24"/>
    <x v="1"/>
    <x v="1"/>
    <s v="New York"/>
    <x v="0"/>
    <x v="18"/>
    <n v="1320"/>
    <x v="23"/>
  </r>
  <r>
    <x v="3"/>
    <s v="FEDEX CORPORATION  "/>
    <x v="25"/>
    <s v="HARRY LEE"/>
    <x v="25"/>
    <x v="1"/>
    <x v="1"/>
    <s v="New York"/>
    <x v="0"/>
    <x v="6"/>
    <n v="1001"/>
    <x v="24"/>
  </r>
  <r>
    <x v="3"/>
    <s v="GENERAL ELECTRIC COMPANY  "/>
    <x v="26"/>
    <s v="JOSH JOHNSON"/>
    <x v="26"/>
    <x v="1"/>
    <x v="1"/>
    <s v="New York"/>
    <x v="0"/>
    <x v="0"/>
    <n v="960"/>
    <x v="25"/>
  </r>
  <r>
    <x v="3"/>
    <s v="LOCKHEED MARTIN CORPORATION  "/>
    <x v="27"/>
    <s v="Mik Naam"/>
    <x v="27"/>
    <x v="1"/>
    <x v="1"/>
    <s v="New York"/>
    <x v="4"/>
    <x v="19"/>
    <n v="540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91A500-B1CB-4CB9-8852-8D87F8D7ABB7}" name="PivotTable9" cacheId="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C3:C4" firstHeaderRow="1" firstDataRow="1" firstDataCol="0"/>
  <pivotFields count="16">
    <pivotField numFmtId="14" showAll="0">
      <items count="5">
        <item x="0"/>
        <item x="1"/>
        <item x="2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Count of Client" fld="1" subtotal="count" baseField="0" baseItem="0" numFmtId="2"/>
  </dataFields>
  <formats count="3">
    <format dxfId="7">
      <pivotArea type="all" dataOnly="0" outline="0" fieldPosition="0"/>
    </format>
    <format dxfId="4">
      <pivotArea outline="0" collapsedLevelsAreSubtotals="1" fieldPosition="0"/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B4BB3C-02A2-4948-9AD1-A9036CA717CA}" name="PivotTable8" cacheId="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C6" firstHeaderRow="0" firstDataRow="0" firstDataCol="0"/>
  <pivotFields count="16">
    <pivotField numFmtId="14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>
      <items count="29">
        <item x="16"/>
        <item x="21"/>
        <item x="0"/>
        <item x="10"/>
        <item x="20"/>
        <item x="18"/>
        <item x="22"/>
        <item x="11"/>
        <item x="4"/>
        <item x="17"/>
        <item x="15"/>
        <item x="2"/>
        <item x="25"/>
        <item x="5"/>
        <item x="23"/>
        <item x="19"/>
        <item x="6"/>
        <item x="7"/>
        <item x="14"/>
        <item x="26"/>
        <item x="1"/>
        <item x="8"/>
        <item x="13"/>
        <item x="24"/>
        <item x="27"/>
        <item x="9"/>
        <item x="3"/>
        <item x="12"/>
        <item t="default"/>
      </items>
    </pivotField>
    <pivotField showAll="0"/>
    <pivotField showAll="0"/>
    <pivotField showAll="0"/>
    <pivotField showAll="0"/>
    <pivotField showAll="0"/>
    <pivotField numFmtId="164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  <pivotField dragToRow="0" dragToCol="0" dragToPage="0" showAll="0" defaultSubtotal="0"/>
  </pivot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40F5DA-7EE9-45C7-9396-1F425172B52D}" name="PivotTable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2:A63" firstHeaderRow="1" firstDataRow="1" firstDataCol="0"/>
  <pivotFields count="16">
    <pivotField numFmtId="14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 of Profit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6321E9-1932-4E79-85F5-43084DE72A9D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A7" firstHeaderRow="1" firstDataRow="1" firstDataCol="0"/>
  <pivotFields count="16">
    <pivotField numFmtId="14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 of Profit" fld="10" baseField="0" baseItem="0" numFmtId="164"/>
  </dataFields>
  <formats count="1"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83E28-1CB7-423F-84BD-DF75FC538DD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6">
    <pivotField numFmtId="14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4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 of Revenue" fld="9" baseField="0" baseItem="0" numFmtId="166"/>
  </dataFields>
  <formats count="1">
    <format dxfId="2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ABADC6-F402-4F45-86A0-0D9D6C7031BE}" name="PivotTable6" cacheId="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29:B58" firstHeaderRow="1" firstDataRow="1" firstDataCol="1"/>
  <pivotFields count="16">
    <pivotField numFmtId="14" showAll="0">
      <items count="5">
        <item x="0"/>
        <item x="1"/>
        <item x="2"/>
        <item x="3"/>
        <item t="default"/>
      </items>
    </pivotField>
    <pivotField showAll="0"/>
    <pivotField axis="axisRow" showAll="0" sortType="descending">
      <items count="29">
        <item x="9"/>
        <item x="14"/>
        <item x="3"/>
        <item x="15"/>
        <item x="4"/>
        <item x="1"/>
        <item x="10"/>
        <item x="2"/>
        <item x="6"/>
        <item x="21"/>
        <item x="12"/>
        <item x="27"/>
        <item x="5"/>
        <item x="24"/>
        <item x="19"/>
        <item x="20"/>
        <item x="26"/>
        <item x="25"/>
        <item x="13"/>
        <item x="23"/>
        <item x="11"/>
        <item x="22"/>
        <item x="7"/>
        <item x="16"/>
        <item x="17"/>
        <item x="8"/>
        <item x="18"/>
        <item x="0"/>
        <item t="default"/>
      </items>
    </pivotField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dataField="1" showAll="0">
      <items count="21">
        <item x="7"/>
        <item x="2"/>
        <item x="1"/>
        <item x="14"/>
        <item x="0"/>
        <item x="6"/>
        <item x="9"/>
        <item x="11"/>
        <item x="4"/>
        <item x="13"/>
        <item x="8"/>
        <item x="15"/>
        <item x="19"/>
        <item x="18"/>
        <item x="10"/>
        <item x="5"/>
        <item x="16"/>
        <item x="12"/>
        <item x="17"/>
        <item x="3"/>
        <item t="default"/>
      </items>
    </pivotField>
    <pivotField numFmtId="164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of Revenue" fld="9" baseField="0" baseItem="0"/>
  </dataFields>
  <formats count="1">
    <format dxfId="22">
      <pivotArea outline="0" collapsedLevelsAreSubtotals="1" fieldPosition="0"/>
    </format>
  </format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28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471749-E8DE-4CE4-8374-22DC5498FF05}" name="PivotTable4" cacheId="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6">
  <location ref="A20:B26" firstHeaderRow="1" firstDataRow="1" firstDataCol="1"/>
  <pivotFields count="16">
    <pivotField numFmtId="14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axis="axisRow" showAll="0">
      <items count="6">
        <item x="4"/>
        <item x="3"/>
        <item x="2"/>
        <item x="1"/>
        <item x="0"/>
        <item t="default"/>
      </items>
    </pivotField>
    <pivotField dataField="1" showAll="0">
      <items count="21">
        <item x="7"/>
        <item x="2"/>
        <item x="1"/>
        <item x="14"/>
        <item x="0"/>
        <item x="6"/>
        <item x="9"/>
        <item x="11"/>
        <item x="4"/>
        <item x="13"/>
        <item x="8"/>
        <item x="15"/>
        <item x="19"/>
        <item x="18"/>
        <item x="10"/>
        <item x="5"/>
        <item x="16"/>
        <item x="12"/>
        <item x="17"/>
        <item x="3"/>
        <item t="default"/>
      </items>
    </pivotField>
    <pivotField numFmtId="164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." fld="9" baseField="0" baseItem="0"/>
  </dataFields>
  <formats count="1">
    <format dxfId="23">
      <pivotArea outline="0" collapsedLevelsAreSubtotals="1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A172C1-F7B1-4AAB-9E95-0A8E039D4793}" name="PivotTable3" cacheId="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2:B17" firstHeaderRow="1" firstDataRow="1" firstDataCol="1"/>
  <pivotFields count="16">
    <pivotField numFmtId="14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dataField="1" showAll="0">
      <items count="21">
        <item x="7"/>
        <item x="2"/>
        <item x="1"/>
        <item x="14"/>
        <item x="0"/>
        <item x="6"/>
        <item x="9"/>
        <item x="11"/>
        <item x="4"/>
        <item x="13"/>
        <item x="8"/>
        <item x="15"/>
        <item x="19"/>
        <item x="18"/>
        <item x="10"/>
        <item x="5"/>
        <item x="16"/>
        <item x="12"/>
        <item x="17"/>
        <item x="3"/>
        <item t="default"/>
      </items>
    </pivotField>
    <pivotField numFmtId="164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9" showDataAs="percentOfTotal" baseField="0" baseItem="0" numFmtId="10"/>
  </dataFields>
  <formats count="2">
    <format dxfId="25">
      <pivotArea outline="0" collapsedLevelsAreSubtotals="1" fieldPosition="0"/>
    </format>
    <format dxfId="2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63EE8E-8C43-4B65-BE73-9AAAD4A740DC}" name="PivotTable5" cacheId="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9:A10" firstHeaderRow="1" firstDataRow="1" firstDataCol="0"/>
  <pivotFields count="16">
    <pivotField numFmtId="14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showAll="0">
      <items count="28">
        <item x="5"/>
        <item x="26"/>
        <item x="16"/>
        <item x="17"/>
        <item x="0"/>
        <item x="4"/>
        <item x="6"/>
        <item x="18"/>
        <item x="11"/>
        <item x="15"/>
        <item x="12"/>
        <item x="21"/>
        <item x="19"/>
        <item x="25"/>
        <item x="14"/>
        <item x="24"/>
        <item x="22"/>
        <item x="9"/>
        <item x="23"/>
        <item x="20"/>
        <item x="2"/>
        <item x="1"/>
        <item x="10"/>
        <item x="13"/>
        <item x="8"/>
        <item x="7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Count of Profit Margin" fld="11" subtotal="count" baseField="0" baseItem="0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8</v>
    <v>17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E5A066-2276-4DB1-A8B9-94829B398B38}" name="Table2" displayName="Table2" ref="A1:L29" totalsRowShown="0" headerRowDxfId="19">
  <autoFilter ref="A1:L29" xr:uid="{CD40D385-2055-45F7-8D7F-254F712A1B1F}"/>
  <tableColumns count="12">
    <tableColumn id="1" xr3:uid="{2B725F90-AA7B-45E5-8763-4ED5D7EE1C6C}" name="Date" dataDxfId="18"/>
    <tableColumn id="2" xr3:uid="{4CC7E5F0-D7B2-4144-A52F-732F03BDF099}" name="Client"/>
    <tableColumn id="3" xr3:uid="{56C86A7D-884F-4DAF-8956-88FBD596C0FC}" name="Client_clean">
      <calculatedColumnFormula>LOWER(B2)</calculatedColumnFormula>
    </tableColumn>
    <tableColumn id="4" xr3:uid="{D95BD28E-7B12-4B80-8567-FEB5D4D5FA90}" name="Contact"/>
    <tableColumn id="5" xr3:uid="{BD82E58D-C350-4BCE-A857-F6E41D3DB24C}" name="Contact_clean">
      <calculatedColumnFormula>PROPER(TRIM(D2))</calculatedColumnFormula>
    </tableColumn>
    <tableColumn id="6" xr3:uid="{77D872A8-5F3A-4FB8-8722-F4B382CFF4A4}" name="Department"/>
    <tableColumn id="7" xr3:uid="{8F0AA87C-22D0-4C71-B882-DD993E5D4CC8}" name="Department_clean"/>
    <tableColumn id="8" xr3:uid="{A1710A0B-408B-4ECA-A8CB-81914909EFDE}" name="State_clean"/>
    <tableColumn id="9" xr3:uid="{2712D180-6153-402C-B6AD-3B5D1CDBB6E4}" name="Payment"/>
    <tableColumn id="10" xr3:uid="{955D3B56-F075-4BC0-9A41-FA87A092F544}" name="Revenue" dataDxfId="17"/>
    <tableColumn id="11" xr3:uid="{FABC3759-6EFA-402A-A858-8B3BEF8AC3B3}" name="Profit" dataDxfId="16"/>
    <tableColumn id="12" xr3:uid="{70558738-F694-482E-B923-C37C91B04653}" name="Profit Margin" dataDxfId="15" dataCellStyle="Percent">
      <calculatedColumnFormula>IFERROR(K2/J2, "NA")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7D692-4845-4ECC-96CC-DF2EB4A17B4E}">
  <sheetPr>
    <tabColor rgb="FFFFFF00"/>
  </sheetPr>
  <dimension ref="D1"/>
  <sheetViews>
    <sheetView showGridLines="0" tabSelected="1" zoomScale="90" zoomScaleNormal="90" workbookViewId="0">
      <selection activeCell="Q11" sqref="Q11"/>
    </sheetView>
  </sheetViews>
  <sheetFormatPr defaultRowHeight="15.75" x14ac:dyDescent="0.25"/>
  <sheetData>
    <row r="1" spans="4:4" ht="21" x14ac:dyDescent="0.35">
      <c r="D1" s="1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0D385-2055-45F7-8D7F-254F712A1B1F}">
  <dimension ref="A1:L41"/>
  <sheetViews>
    <sheetView showGridLines="0" topLeftCell="C1" workbookViewId="0">
      <selection activeCell="G11" sqref="G11"/>
    </sheetView>
  </sheetViews>
  <sheetFormatPr defaultColWidth="11" defaultRowHeight="15.75" x14ac:dyDescent="0.25"/>
  <cols>
    <col min="1" max="1" width="10.375" bestFit="1" customWidth="1"/>
    <col min="2" max="2" width="43.125" bestFit="1" customWidth="1"/>
    <col min="3" max="3" width="27.75" customWidth="1"/>
    <col min="4" max="4" width="16.875" bestFit="1" customWidth="1"/>
    <col min="5" max="5" width="16.875" customWidth="1"/>
    <col min="6" max="6" width="16.875" bestFit="1" customWidth="1"/>
    <col min="7" max="7" width="18.25" customWidth="1"/>
    <col min="8" max="8" width="16.875" customWidth="1"/>
    <col min="9" max="9" width="10.125" customWidth="1"/>
    <col min="10" max="10" width="9.875" customWidth="1"/>
    <col min="11" max="11" width="7.375" customWidth="1"/>
    <col min="12" max="12" width="13.875" customWidth="1"/>
  </cols>
  <sheetData>
    <row r="1" spans="1:12" x14ac:dyDescent="0.25">
      <c r="A1" t="s">
        <v>0</v>
      </c>
      <c r="B1" t="s">
        <v>5</v>
      </c>
      <c r="C1" s="5" t="s">
        <v>100</v>
      </c>
      <c r="D1" s="3" t="s">
        <v>1</v>
      </c>
      <c r="E1" s="5" t="s">
        <v>129</v>
      </c>
      <c r="F1" s="3" t="s">
        <v>6</v>
      </c>
      <c r="G1" s="3" t="s">
        <v>138</v>
      </c>
      <c r="H1" s="5" t="s">
        <v>139</v>
      </c>
      <c r="I1" s="5" t="s">
        <v>47</v>
      </c>
      <c r="J1" s="3" t="s">
        <v>2</v>
      </c>
      <c r="K1" s="3" t="s">
        <v>3</v>
      </c>
      <c r="L1" s="3" t="s">
        <v>4</v>
      </c>
    </row>
    <row r="2" spans="1:12" x14ac:dyDescent="0.25">
      <c r="A2" s="4">
        <v>45076</v>
      </c>
      <c r="B2" t="s">
        <v>72</v>
      </c>
      <c r="C2" t="str">
        <f t="shared" ref="C2:C29" si="0">LOWER(B2)</f>
        <v xml:space="preserve">amazon.com, inc.  </v>
      </c>
      <c r="D2" t="s">
        <v>40</v>
      </c>
      <c r="E2" t="str">
        <f t="shared" ref="E2:E29" si="1">PROPER(TRIM(D2))</f>
        <v>Bill Smith</v>
      </c>
      <c r="F2" t="s">
        <v>68</v>
      </c>
      <c r="G2" t="s">
        <v>130</v>
      </c>
      <c r="H2" t="s">
        <v>131</v>
      </c>
      <c r="I2" t="s">
        <v>51</v>
      </c>
      <c r="J2" s="1">
        <v>4500</v>
      </c>
      <c r="K2" s="1">
        <v>598</v>
      </c>
      <c r="L2" s="2">
        <f>K2/J2</f>
        <v>0.13288888888888889</v>
      </c>
    </row>
    <row r="3" spans="1:12" x14ac:dyDescent="0.25">
      <c r="A3" s="4">
        <v>45076</v>
      </c>
      <c r="B3" t="s">
        <v>73</v>
      </c>
      <c r="C3" t="str">
        <f t="shared" si="0"/>
        <v xml:space="preserve">tesla, inc.  </v>
      </c>
      <c r="D3" t="s">
        <v>41</v>
      </c>
      <c r="E3" t="str">
        <f t="shared" si="1"/>
        <v>Ken Singh</v>
      </c>
      <c r="F3" t="s">
        <v>69</v>
      </c>
      <c r="G3" t="s">
        <v>132</v>
      </c>
      <c r="H3" t="s">
        <v>133</v>
      </c>
      <c r="I3" t="s">
        <v>49</v>
      </c>
      <c r="J3" s="1">
        <v>3800</v>
      </c>
      <c r="K3" s="1">
        <v>1045</v>
      </c>
      <c r="L3" s="2">
        <f>K3/J3</f>
        <v>0.27500000000000002</v>
      </c>
    </row>
    <row r="4" spans="1:12" x14ac:dyDescent="0.25">
      <c r="A4" s="4">
        <v>45076</v>
      </c>
      <c r="B4" t="s">
        <v>74</v>
      </c>
      <c r="C4" t="str">
        <f t="shared" si="0"/>
        <v xml:space="preserve">netflix, inc.  </v>
      </c>
      <c r="D4" t="s">
        <v>42</v>
      </c>
      <c r="E4" t="str">
        <f t="shared" si="1"/>
        <v>Harley Fritz</v>
      </c>
      <c r="F4" t="s">
        <v>69</v>
      </c>
      <c r="G4" t="s">
        <v>132</v>
      </c>
      <c r="H4" t="s">
        <v>133</v>
      </c>
      <c r="I4" t="s">
        <v>140</v>
      </c>
      <c r="J4" s="1">
        <v>3712.5</v>
      </c>
      <c r="K4" s="1">
        <v>1009</v>
      </c>
      <c r="L4" s="2">
        <f>K4/J4</f>
        <v>0.2717845117845118</v>
      </c>
    </row>
    <row r="5" spans="1:12" x14ac:dyDescent="0.25">
      <c r="A5" s="4">
        <v>45076</v>
      </c>
      <c r="B5" t="s">
        <v>75</v>
      </c>
      <c r="C5" t="str">
        <f t="shared" si="0"/>
        <v xml:space="preserve">the procter &amp; gamble company  </v>
      </c>
      <c r="D5" t="s">
        <v>35</v>
      </c>
      <c r="E5" t="str">
        <f t="shared" si="1"/>
        <v>Nyla Novak</v>
      </c>
      <c r="F5" t="s">
        <v>70</v>
      </c>
      <c r="G5" t="s">
        <v>134</v>
      </c>
      <c r="H5" t="s">
        <v>135</v>
      </c>
      <c r="I5" t="s">
        <v>140</v>
      </c>
      <c r="J5" s="1" t="s">
        <v>140</v>
      </c>
      <c r="K5" s="1">
        <v>779</v>
      </c>
      <c r="L5" s="2" t="str">
        <f>IFERROR(K5/J5, "NA")</f>
        <v>NA</v>
      </c>
    </row>
    <row r="6" spans="1:12" x14ac:dyDescent="0.25">
      <c r="A6" s="4">
        <v>45076</v>
      </c>
      <c r="B6" t="s">
        <v>76</v>
      </c>
      <c r="C6" t="str">
        <f t="shared" si="0"/>
        <v xml:space="preserve">the goldman sachs group, inc.  </v>
      </c>
      <c r="D6" t="s">
        <v>43</v>
      </c>
      <c r="E6" t="str">
        <f t="shared" si="1"/>
        <v>David Rasmussen</v>
      </c>
      <c r="F6" t="s">
        <v>70</v>
      </c>
      <c r="G6" t="s">
        <v>134</v>
      </c>
      <c r="H6" t="s">
        <v>135</v>
      </c>
      <c r="I6" t="s">
        <v>50</v>
      </c>
      <c r="J6" s="1">
        <v>5000</v>
      </c>
      <c r="K6" s="1">
        <v>684</v>
      </c>
      <c r="L6" s="2">
        <f t="shared" ref="L6:L29" si="2">IFERROR(K6/J6, "NA")</f>
        <v>0.1368</v>
      </c>
    </row>
    <row r="7" spans="1:12" x14ac:dyDescent="0.25">
      <c r="A7" s="4">
        <v>45077</v>
      </c>
      <c r="B7" t="s">
        <v>77</v>
      </c>
      <c r="C7" t="str">
        <f t="shared" si="0"/>
        <v xml:space="preserve">jpmorgan chase &amp; co.  </v>
      </c>
      <c r="D7" t="s">
        <v>44</v>
      </c>
      <c r="E7" t="str">
        <f t="shared" si="1"/>
        <v>Ivan Hiney</v>
      </c>
      <c r="F7" t="s">
        <v>68</v>
      </c>
      <c r="G7" t="s">
        <v>130</v>
      </c>
      <c r="H7" t="s">
        <v>131</v>
      </c>
      <c r="I7" t="s">
        <v>51</v>
      </c>
      <c r="J7" s="1">
        <v>6100</v>
      </c>
      <c r="K7" s="1">
        <v>544</v>
      </c>
      <c r="L7" s="2">
        <f t="shared" si="2"/>
        <v>8.9180327868852466E-2</v>
      </c>
    </row>
    <row r="8" spans="1:12" x14ac:dyDescent="0.25">
      <c r="A8" s="4">
        <v>45077</v>
      </c>
      <c r="B8" t="s">
        <v>78</v>
      </c>
      <c r="C8" t="str">
        <f t="shared" si="0"/>
        <v xml:space="preserve">morgan stanley  </v>
      </c>
      <c r="D8" t="s">
        <v>45</v>
      </c>
      <c r="E8" t="str">
        <f t="shared" si="1"/>
        <v>Jonha Ma</v>
      </c>
      <c r="F8" t="s">
        <v>68</v>
      </c>
      <c r="G8" t="s">
        <v>130</v>
      </c>
      <c r="H8" t="s">
        <v>131</v>
      </c>
      <c r="I8" t="s">
        <v>51</v>
      </c>
      <c r="J8" s="1">
        <v>4625</v>
      </c>
      <c r="K8" s="1">
        <v>670</v>
      </c>
      <c r="L8" s="2">
        <f t="shared" si="2"/>
        <v>0.14486486486486486</v>
      </c>
    </row>
    <row r="9" spans="1:12" x14ac:dyDescent="0.25">
      <c r="A9" s="4">
        <v>45077</v>
      </c>
      <c r="B9" t="s">
        <v>79</v>
      </c>
      <c r="C9" t="str">
        <f t="shared" si="0"/>
        <v xml:space="preserve">citigroup inc.  </v>
      </c>
      <c r="D9" t="s">
        <v>46</v>
      </c>
      <c r="E9" t="str">
        <f t="shared" si="1"/>
        <v>Jordan Boone</v>
      </c>
      <c r="F9" t="s">
        <v>68</v>
      </c>
      <c r="G9" t="s">
        <v>130</v>
      </c>
      <c r="H9" t="s">
        <v>131</v>
      </c>
      <c r="I9" t="s">
        <v>51</v>
      </c>
      <c r="J9" s="1">
        <v>3800</v>
      </c>
      <c r="K9" s="1">
        <v>2045</v>
      </c>
      <c r="L9" s="2">
        <f t="shared" si="2"/>
        <v>0.53815789473684206</v>
      </c>
    </row>
    <row r="10" spans="1:12" x14ac:dyDescent="0.25">
      <c r="A10" s="4">
        <v>45077</v>
      </c>
      <c r="B10" t="s">
        <v>80</v>
      </c>
      <c r="C10" t="str">
        <f t="shared" si="0"/>
        <v xml:space="preserve">bank of america corporation  </v>
      </c>
      <c r="D10" t="s">
        <v>36</v>
      </c>
      <c r="E10" t="str">
        <f t="shared" si="1"/>
        <v>Kylee Townsend</v>
      </c>
      <c r="F10" t="s">
        <v>68</v>
      </c>
      <c r="G10" t="s">
        <v>130</v>
      </c>
      <c r="H10" t="s">
        <v>131</v>
      </c>
      <c r="I10" t="s">
        <v>48</v>
      </c>
      <c r="J10" s="1">
        <v>3600</v>
      </c>
      <c r="K10" s="1">
        <v>1564</v>
      </c>
      <c r="L10" s="2">
        <f t="shared" si="2"/>
        <v>0.43444444444444447</v>
      </c>
    </row>
    <row r="11" spans="1:12" x14ac:dyDescent="0.25">
      <c r="A11" s="4">
        <v>45077</v>
      </c>
      <c r="B11" t="s">
        <v>81</v>
      </c>
      <c r="C11" t="str">
        <f t="shared" si="0"/>
        <v xml:space="preserve">walmart inc.  </v>
      </c>
      <c r="D11" t="s">
        <v>37</v>
      </c>
      <c r="E11" t="str">
        <f t="shared" si="1"/>
        <v>Nora Rollins</v>
      </c>
      <c r="F11" t="s">
        <v>68</v>
      </c>
      <c r="G11" t="s">
        <v>130</v>
      </c>
      <c r="H11" t="s">
        <v>131</v>
      </c>
      <c r="I11" t="s">
        <v>50</v>
      </c>
      <c r="J11" s="1">
        <v>5100</v>
      </c>
      <c r="K11" s="1">
        <v>1220</v>
      </c>
      <c r="L11" s="2">
        <f t="shared" si="2"/>
        <v>0.23921568627450981</v>
      </c>
    </row>
    <row r="12" spans="1:12" x14ac:dyDescent="0.25">
      <c r="A12" s="4">
        <v>45077</v>
      </c>
      <c r="B12" t="s">
        <v>82</v>
      </c>
      <c r="C12" t="str">
        <f t="shared" si="0"/>
        <v xml:space="preserve">target corporation  </v>
      </c>
      <c r="D12" t="s">
        <v>52</v>
      </c>
      <c r="E12" t="str">
        <f t="shared" si="1"/>
        <v>Brendan Wallace</v>
      </c>
      <c r="F12" t="s">
        <v>68</v>
      </c>
      <c r="G12" t="s">
        <v>130</v>
      </c>
      <c r="H12" t="s">
        <v>131</v>
      </c>
      <c r="I12" t="s">
        <v>50</v>
      </c>
      <c r="J12" s="1">
        <v>4750</v>
      </c>
      <c r="K12" s="1">
        <v>1435</v>
      </c>
      <c r="L12" s="2">
        <f t="shared" si="2"/>
        <v>0.30210526315789471</v>
      </c>
    </row>
    <row r="13" spans="1:12" x14ac:dyDescent="0.25">
      <c r="A13" s="4">
        <v>45077</v>
      </c>
      <c r="B13" t="s">
        <v>83</v>
      </c>
      <c r="C13" t="str">
        <f t="shared" si="0"/>
        <v xml:space="preserve">costco wholesale corporation  </v>
      </c>
      <c r="D13" t="s">
        <v>53</v>
      </c>
      <c r="E13" t="str">
        <f t="shared" si="1"/>
        <v>Conor Wise</v>
      </c>
      <c r="F13" t="s">
        <v>70</v>
      </c>
      <c r="G13" t="s">
        <v>134</v>
      </c>
      <c r="H13" t="s">
        <v>135</v>
      </c>
      <c r="I13" t="s">
        <v>51</v>
      </c>
      <c r="J13" s="1">
        <v>6000</v>
      </c>
      <c r="K13" s="1">
        <v>998</v>
      </c>
      <c r="L13" s="2">
        <f t="shared" si="2"/>
        <v>0.16633333333333333</v>
      </c>
    </row>
    <row r="14" spans="1:12" x14ac:dyDescent="0.25">
      <c r="A14" s="4">
        <v>45077</v>
      </c>
      <c r="B14" t="s">
        <v>84</v>
      </c>
      <c r="C14" t="str">
        <f t="shared" si="0"/>
        <v xml:space="preserve">mcdonald's corporation  </v>
      </c>
      <c r="D14" t="s">
        <v>54</v>
      </c>
      <c r="E14" t="str">
        <f t="shared" si="1"/>
        <v>Steven Michael</v>
      </c>
      <c r="F14" t="s">
        <v>71</v>
      </c>
      <c r="G14" t="s">
        <v>136</v>
      </c>
      <c r="H14" t="s">
        <v>137</v>
      </c>
      <c r="I14" t="s">
        <v>50</v>
      </c>
      <c r="J14" s="1">
        <v>4500</v>
      </c>
      <c r="K14" s="1">
        <v>780</v>
      </c>
      <c r="L14" s="2">
        <f t="shared" si="2"/>
        <v>0.17333333333333334</v>
      </c>
    </row>
    <row r="15" spans="1:12" x14ac:dyDescent="0.25">
      <c r="A15" s="4">
        <v>45078</v>
      </c>
      <c r="B15" t="s">
        <v>85</v>
      </c>
      <c r="C15" t="str">
        <f t="shared" si="0"/>
        <v xml:space="preserve">exxon mobil corporation  </v>
      </c>
      <c r="D15" t="s">
        <v>38</v>
      </c>
      <c r="E15" t="str">
        <f t="shared" si="1"/>
        <v>Lucia Mckay</v>
      </c>
      <c r="F15" t="s">
        <v>71</v>
      </c>
      <c r="G15" t="s">
        <v>136</v>
      </c>
      <c r="H15" t="s">
        <v>137</v>
      </c>
      <c r="I15" t="s">
        <v>48</v>
      </c>
      <c r="J15" s="1" t="s">
        <v>140</v>
      </c>
      <c r="K15" s="1">
        <v>1044</v>
      </c>
      <c r="L15" s="2" t="str">
        <f t="shared" si="2"/>
        <v>NA</v>
      </c>
    </row>
    <row r="16" spans="1:12" x14ac:dyDescent="0.25">
      <c r="A16" s="4">
        <v>45078</v>
      </c>
      <c r="B16" t="s">
        <v>86</v>
      </c>
      <c r="C16" t="str">
        <f t="shared" si="0"/>
        <v xml:space="preserve">verizon communications inc.  </v>
      </c>
      <c r="D16" t="s">
        <v>55</v>
      </c>
      <c r="E16" t="str">
        <f t="shared" si="1"/>
        <v>Jose Roach</v>
      </c>
      <c r="F16" t="s">
        <v>71</v>
      </c>
      <c r="G16" t="s">
        <v>136</v>
      </c>
      <c r="H16" t="s">
        <v>137</v>
      </c>
      <c r="I16" t="s">
        <v>51</v>
      </c>
      <c r="J16" s="1">
        <v>3712.5</v>
      </c>
      <c r="K16" s="1">
        <v>1222</v>
      </c>
      <c r="L16" s="2">
        <f t="shared" si="2"/>
        <v>0.32915824915824915</v>
      </c>
    </row>
    <row r="17" spans="1:12" x14ac:dyDescent="0.25">
      <c r="A17" s="4">
        <v>45078</v>
      </c>
      <c r="B17" t="s">
        <v>87</v>
      </c>
      <c r="C17" t="str">
        <f t="shared" si="0"/>
        <v xml:space="preserve">the home depot, inc.  </v>
      </c>
      <c r="D17" t="s">
        <v>56</v>
      </c>
      <c r="E17" t="str">
        <f t="shared" si="1"/>
        <v>Franklin Wrigt</v>
      </c>
      <c r="F17" t="s">
        <v>71</v>
      </c>
      <c r="G17" t="s">
        <v>136</v>
      </c>
      <c r="H17" t="s">
        <v>137</v>
      </c>
      <c r="I17" t="s">
        <v>51</v>
      </c>
      <c r="J17" s="1">
        <v>4950</v>
      </c>
      <c r="K17" s="1">
        <v>1065</v>
      </c>
      <c r="L17" s="2">
        <f t="shared" si="2"/>
        <v>0.21515151515151515</v>
      </c>
    </row>
    <row r="18" spans="1:12" x14ac:dyDescent="0.25">
      <c r="A18" s="4">
        <v>45078</v>
      </c>
      <c r="B18" t="s">
        <v>88</v>
      </c>
      <c r="C18" t="str">
        <f t="shared" si="0"/>
        <v xml:space="preserve">cisco systems, inc.  </v>
      </c>
      <c r="D18" t="s">
        <v>57</v>
      </c>
      <c r="E18" t="str">
        <f t="shared" si="1"/>
        <v>Alia Thornton</v>
      </c>
      <c r="F18" t="s">
        <v>70</v>
      </c>
      <c r="G18" t="s">
        <v>134</v>
      </c>
      <c r="H18" t="s">
        <v>135</v>
      </c>
      <c r="I18" t="s">
        <v>51</v>
      </c>
      <c r="J18" s="1">
        <v>4750</v>
      </c>
      <c r="K18" s="1">
        <v>810</v>
      </c>
      <c r="L18" s="2">
        <f t="shared" si="2"/>
        <v>0.17052631578947369</v>
      </c>
    </row>
    <row r="19" spans="1:12" x14ac:dyDescent="0.25">
      <c r="A19" s="4">
        <v>45078</v>
      </c>
      <c r="B19" t="s">
        <v>89</v>
      </c>
      <c r="C19" t="str">
        <f t="shared" si="0"/>
        <v xml:space="preserve">chevron corporation  </v>
      </c>
      <c r="D19" t="s">
        <v>58</v>
      </c>
      <c r="E19" t="str">
        <f t="shared" si="1"/>
        <v>Denzel Flores</v>
      </c>
      <c r="F19" t="s">
        <v>70</v>
      </c>
      <c r="G19" t="s">
        <v>134</v>
      </c>
      <c r="H19" t="s">
        <v>135</v>
      </c>
      <c r="I19" t="s">
        <v>51</v>
      </c>
      <c r="J19" s="1">
        <v>7320</v>
      </c>
      <c r="K19" s="1">
        <v>933</v>
      </c>
      <c r="L19" s="2">
        <f t="shared" si="2"/>
        <v>0.12745901639344262</v>
      </c>
    </row>
    <row r="20" spans="1:12" x14ac:dyDescent="0.25">
      <c r="A20" s="4">
        <v>45078</v>
      </c>
      <c r="B20" t="s">
        <v>90</v>
      </c>
      <c r="C20" t="str">
        <f t="shared" si="0"/>
        <v xml:space="preserve">at&amp;t inc.  </v>
      </c>
      <c r="D20" t="s">
        <v>59</v>
      </c>
      <c r="E20" t="str">
        <f t="shared" si="1"/>
        <v>Bruno Cordova</v>
      </c>
      <c r="F20" t="s">
        <v>71</v>
      </c>
      <c r="G20" t="s">
        <v>136</v>
      </c>
      <c r="H20" t="s">
        <v>137</v>
      </c>
      <c r="I20" t="s">
        <v>51</v>
      </c>
      <c r="J20" s="1">
        <v>5087.5</v>
      </c>
      <c r="K20" s="1">
        <v>655</v>
      </c>
      <c r="L20" s="2">
        <f t="shared" si="2"/>
        <v>0.12874692874692875</v>
      </c>
    </row>
    <row r="21" spans="1:12" x14ac:dyDescent="0.25">
      <c r="A21" s="4">
        <v>45078</v>
      </c>
      <c r="B21" t="s">
        <v>91</v>
      </c>
      <c r="C21" t="str">
        <f t="shared" si="0"/>
        <v xml:space="preserve">intel corporation  </v>
      </c>
      <c r="D21" t="s">
        <v>60</v>
      </c>
      <c r="E21" t="str">
        <f t="shared" si="1"/>
        <v>Jaylynn Napp</v>
      </c>
      <c r="F21" t="s">
        <v>71</v>
      </c>
      <c r="G21" t="s">
        <v>136</v>
      </c>
      <c r="H21" t="s">
        <v>137</v>
      </c>
      <c r="I21" t="s">
        <v>51</v>
      </c>
      <c r="J21" s="1">
        <v>4500</v>
      </c>
      <c r="K21" s="1">
        <v>722</v>
      </c>
      <c r="L21" s="2">
        <f t="shared" si="2"/>
        <v>0.16044444444444445</v>
      </c>
    </row>
    <row r="22" spans="1:12" x14ac:dyDescent="0.25">
      <c r="A22" s="4">
        <v>45078</v>
      </c>
      <c r="B22" t="s">
        <v>92</v>
      </c>
      <c r="C22" t="str">
        <f t="shared" si="0"/>
        <v xml:space="preserve">general motors company  </v>
      </c>
      <c r="D22" t="s">
        <v>61</v>
      </c>
      <c r="E22" t="str">
        <f t="shared" si="1"/>
        <v>Bruce Rich</v>
      </c>
      <c r="F22" t="s">
        <v>71</v>
      </c>
      <c r="G22" t="s">
        <v>136</v>
      </c>
      <c r="H22" t="s">
        <v>137</v>
      </c>
      <c r="I22" t="s">
        <v>48</v>
      </c>
      <c r="J22" s="1">
        <v>4250</v>
      </c>
      <c r="K22" s="1">
        <v>901</v>
      </c>
      <c r="L22" s="2">
        <f t="shared" si="2"/>
        <v>0.21199999999999999</v>
      </c>
    </row>
    <row r="23" spans="1:12" x14ac:dyDescent="0.25">
      <c r="A23" s="4">
        <v>45079</v>
      </c>
      <c r="B23" t="s">
        <v>93</v>
      </c>
      <c r="C23" t="str">
        <f t="shared" si="0"/>
        <v xml:space="preserve">microsoft corporation  </v>
      </c>
      <c r="D23" t="s">
        <v>62</v>
      </c>
      <c r="E23" t="str">
        <f t="shared" si="1"/>
        <v>Arturo Moore</v>
      </c>
      <c r="F23" t="s">
        <v>71</v>
      </c>
      <c r="G23" t="s">
        <v>136</v>
      </c>
      <c r="H23" t="s">
        <v>137</v>
      </c>
      <c r="I23" t="s">
        <v>49</v>
      </c>
      <c r="J23" s="1">
        <v>5250</v>
      </c>
      <c r="K23" s="1">
        <v>1349</v>
      </c>
      <c r="L23" s="2">
        <f t="shared" si="2"/>
        <v>0.25695238095238093</v>
      </c>
    </row>
    <row r="24" spans="1:12" x14ac:dyDescent="0.25">
      <c r="A24" s="4">
        <v>45079</v>
      </c>
      <c r="B24" t="s">
        <v>94</v>
      </c>
      <c r="C24" t="str">
        <f t="shared" si="0"/>
        <v xml:space="preserve">comcast corporation  </v>
      </c>
      <c r="D24" t="s">
        <v>63</v>
      </c>
      <c r="E24" t="str">
        <f t="shared" si="1"/>
        <v>Bryce Carpenter</v>
      </c>
      <c r="F24" t="s">
        <v>69</v>
      </c>
      <c r="G24" t="s">
        <v>132</v>
      </c>
      <c r="H24" t="s">
        <v>133</v>
      </c>
      <c r="I24" t="s">
        <v>49</v>
      </c>
      <c r="J24" s="1">
        <v>6500</v>
      </c>
      <c r="K24" s="1">
        <v>1288</v>
      </c>
      <c r="L24" s="2">
        <f t="shared" si="2"/>
        <v>0.19815384615384615</v>
      </c>
    </row>
    <row r="25" spans="1:12" x14ac:dyDescent="0.25">
      <c r="A25" s="4">
        <v>45079</v>
      </c>
      <c r="B25" t="s">
        <v>95</v>
      </c>
      <c r="C25" t="str">
        <f t="shared" si="0"/>
        <v xml:space="preserve">dell technologies inc.  </v>
      </c>
      <c r="D25" t="s">
        <v>64</v>
      </c>
      <c r="E25" t="str">
        <f t="shared" si="1"/>
        <v>Jaidyn Andersen</v>
      </c>
      <c r="F25" t="s">
        <v>69</v>
      </c>
      <c r="G25" t="s">
        <v>132</v>
      </c>
      <c r="H25" t="s">
        <v>133</v>
      </c>
      <c r="I25" t="s">
        <v>49</v>
      </c>
      <c r="J25" s="1">
        <v>7500</v>
      </c>
      <c r="K25" s="1">
        <v>1664</v>
      </c>
      <c r="L25" s="2">
        <f t="shared" si="2"/>
        <v>0.22186666666666666</v>
      </c>
    </row>
    <row r="26" spans="1:12" x14ac:dyDescent="0.25">
      <c r="A26" s="4">
        <v>45079</v>
      </c>
      <c r="B26" t="s">
        <v>96</v>
      </c>
      <c r="C26" t="str">
        <f t="shared" si="0"/>
        <v xml:space="preserve">johnson &amp; johnson  </v>
      </c>
      <c r="D26" t="s">
        <v>65</v>
      </c>
      <c r="E26" t="str">
        <f t="shared" si="1"/>
        <v>Mark Walm</v>
      </c>
      <c r="F26" t="s">
        <v>69</v>
      </c>
      <c r="G26" t="s">
        <v>132</v>
      </c>
      <c r="H26" t="s">
        <v>133</v>
      </c>
      <c r="I26" t="s">
        <v>51</v>
      </c>
      <c r="J26" s="1">
        <v>5500</v>
      </c>
      <c r="K26" s="1">
        <v>1320</v>
      </c>
      <c r="L26" s="2">
        <f t="shared" si="2"/>
        <v>0.24</v>
      </c>
    </row>
    <row r="27" spans="1:12" x14ac:dyDescent="0.25">
      <c r="A27" s="4">
        <v>45079</v>
      </c>
      <c r="B27" t="s">
        <v>97</v>
      </c>
      <c r="C27" t="str">
        <f t="shared" si="0"/>
        <v xml:space="preserve">fedex corporation  </v>
      </c>
      <c r="D27" t="s">
        <v>66</v>
      </c>
      <c r="E27" t="str">
        <f t="shared" si="1"/>
        <v>Harry Lee</v>
      </c>
      <c r="F27" t="s">
        <v>69</v>
      </c>
      <c r="G27" t="s">
        <v>132</v>
      </c>
      <c r="H27" t="s">
        <v>133</v>
      </c>
      <c r="I27" t="s">
        <v>51</v>
      </c>
      <c r="J27" s="1">
        <v>4625</v>
      </c>
      <c r="K27" s="1">
        <v>1001</v>
      </c>
      <c r="L27" s="2">
        <f t="shared" si="2"/>
        <v>0.21643243243243243</v>
      </c>
    </row>
    <row r="28" spans="1:12" x14ac:dyDescent="0.25">
      <c r="A28" s="4">
        <v>45079</v>
      </c>
      <c r="B28" t="s">
        <v>98</v>
      </c>
      <c r="C28" t="str">
        <f t="shared" si="0"/>
        <v xml:space="preserve">general electric company  </v>
      </c>
      <c r="D28" t="s">
        <v>67</v>
      </c>
      <c r="E28" t="str">
        <f t="shared" si="1"/>
        <v>Josh Johnson</v>
      </c>
      <c r="F28" t="s">
        <v>69</v>
      </c>
      <c r="G28" t="s">
        <v>132</v>
      </c>
      <c r="H28" t="s">
        <v>133</v>
      </c>
      <c r="I28" t="s">
        <v>51</v>
      </c>
      <c r="J28" s="1">
        <v>4500</v>
      </c>
      <c r="K28" s="1">
        <v>960</v>
      </c>
      <c r="L28" s="2">
        <f t="shared" si="2"/>
        <v>0.21333333333333335</v>
      </c>
    </row>
    <row r="29" spans="1:12" x14ac:dyDescent="0.25">
      <c r="A29" s="4">
        <v>45079</v>
      </c>
      <c r="B29" t="s">
        <v>99</v>
      </c>
      <c r="C29" t="str">
        <f t="shared" si="0"/>
        <v xml:space="preserve">lockheed martin corporation  </v>
      </c>
      <c r="D29" t="s">
        <v>39</v>
      </c>
      <c r="E29" t="str">
        <f t="shared" si="1"/>
        <v>Mik Naam</v>
      </c>
      <c r="F29" t="s">
        <v>69</v>
      </c>
      <c r="G29" t="s">
        <v>132</v>
      </c>
      <c r="H29" t="s">
        <v>133</v>
      </c>
      <c r="I29" t="s">
        <v>48</v>
      </c>
      <c r="J29" s="1">
        <v>5400</v>
      </c>
      <c r="K29" s="1">
        <v>540</v>
      </c>
      <c r="L29" s="2">
        <f t="shared" si="2"/>
        <v>0.1</v>
      </c>
    </row>
    <row r="33" spans="10:10" x14ac:dyDescent="0.25">
      <c r="J33" s="1"/>
    </row>
    <row r="34" spans="10:10" x14ac:dyDescent="0.25">
      <c r="J34" s="1"/>
    </row>
    <row r="35" spans="10:10" x14ac:dyDescent="0.25">
      <c r="J35" s="1"/>
    </row>
    <row r="36" spans="10:10" x14ac:dyDescent="0.25">
      <c r="J36" s="1"/>
    </row>
    <row r="37" spans="10:10" x14ac:dyDescent="0.25">
      <c r="J37" s="1"/>
    </row>
    <row r="38" spans="10:10" x14ac:dyDescent="0.25">
      <c r="J38" s="1"/>
    </row>
    <row r="39" spans="10:10" x14ac:dyDescent="0.25">
      <c r="J39" s="1"/>
    </row>
    <row r="40" spans="10:10" x14ac:dyDescent="0.25">
      <c r="J40" s="1"/>
    </row>
    <row r="41" spans="10:10" x14ac:dyDescent="0.25">
      <c r="J41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2E95D-875B-4B89-B7F2-DBAED65137BA}">
  <dimension ref="A3:G63"/>
  <sheetViews>
    <sheetView workbookViewId="0">
      <selection activeCell="H19" sqref="H19"/>
    </sheetView>
  </sheetViews>
  <sheetFormatPr defaultRowHeight="15.75" x14ac:dyDescent="0.25"/>
  <cols>
    <col min="1" max="1" width="14.875" bestFit="1" customWidth="1"/>
    <col min="2" max="2" width="12.25" bestFit="1" customWidth="1"/>
    <col min="3" max="4" width="19" bestFit="1" customWidth="1"/>
    <col min="5" max="5" width="9.875" bestFit="1" customWidth="1"/>
    <col min="7" max="7" width="10.125" bestFit="1" customWidth="1"/>
  </cols>
  <sheetData>
    <row r="3" spans="1:7" x14ac:dyDescent="0.25">
      <c r="A3" t="s">
        <v>141</v>
      </c>
      <c r="C3" s="17" t="s">
        <v>148</v>
      </c>
      <c r="E3" t="s">
        <v>149</v>
      </c>
    </row>
    <row r="4" spans="1:7" x14ac:dyDescent="0.25">
      <c r="A4" s="6">
        <v>129332.5</v>
      </c>
      <c r="C4" s="17">
        <v>28</v>
      </c>
      <c r="E4" s="6">
        <f>GETPIVOTDATA("Revenue",$A$3)/GETPIVOTDATA("Client",$C$3)</f>
        <v>4619.0178571428569</v>
      </c>
    </row>
    <row r="6" spans="1:7" x14ac:dyDescent="0.25">
      <c r="A6" t="s">
        <v>142</v>
      </c>
      <c r="C6" s="16" t="e" vm="1">
        <v>#VALUE!</v>
      </c>
    </row>
    <row r="7" spans="1:7" x14ac:dyDescent="0.25">
      <c r="A7" s="6">
        <v>28845</v>
      </c>
    </row>
    <row r="8" spans="1:7" x14ac:dyDescent="0.25">
      <c r="A8" s="6"/>
    </row>
    <row r="9" spans="1:7" x14ac:dyDescent="0.25">
      <c r="A9" t="s">
        <v>147</v>
      </c>
    </row>
    <row r="10" spans="1:7" x14ac:dyDescent="0.25">
      <c r="A10" s="6">
        <v>28</v>
      </c>
    </row>
    <row r="12" spans="1:7" x14ac:dyDescent="0.25">
      <c r="A12" s="7" t="s">
        <v>143</v>
      </c>
      <c r="B12" t="s">
        <v>141</v>
      </c>
    </row>
    <row r="13" spans="1:7" x14ac:dyDescent="0.25">
      <c r="A13" s="9" t="s">
        <v>136</v>
      </c>
      <c r="B13" s="10">
        <v>0.24935727678657724</v>
      </c>
    </row>
    <row r="14" spans="1:7" x14ac:dyDescent="0.25">
      <c r="A14" s="9" t="s">
        <v>130</v>
      </c>
      <c r="B14" s="10">
        <v>0.25109697871764636</v>
      </c>
      <c r="G14" s="11"/>
    </row>
    <row r="15" spans="1:7" x14ac:dyDescent="0.25">
      <c r="A15" s="9" t="s">
        <v>134</v>
      </c>
      <c r="B15" s="10">
        <v>0.17837743799895617</v>
      </c>
      <c r="G15" s="11"/>
    </row>
    <row r="16" spans="1:7" x14ac:dyDescent="0.25">
      <c r="A16" s="9" t="s">
        <v>132</v>
      </c>
      <c r="B16" s="10">
        <v>0.32116830649682021</v>
      </c>
      <c r="G16" s="11"/>
    </row>
    <row r="17" spans="1:7" x14ac:dyDescent="0.25">
      <c r="A17" s="9" t="s">
        <v>144</v>
      </c>
      <c r="B17" s="10">
        <v>1</v>
      </c>
      <c r="G17" s="11"/>
    </row>
    <row r="20" spans="1:7" x14ac:dyDescent="0.25">
      <c r="A20" s="7" t="s">
        <v>143</v>
      </c>
      <c r="B20" t="s">
        <v>146</v>
      </c>
      <c r="D20" t="s">
        <v>145</v>
      </c>
      <c r="E20" t="s">
        <v>2</v>
      </c>
    </row>
    <row r="21" spans="1:7" x14ac:dyDescent="0.25">
      <c r="A21" s="9" t="s">
        <v>48</v>
      </c>
      <c r="B21" s="6">
        <v>13250</v>
      </c>
      <c r="D21" t="s">
        <v>48</v>
      </c>
      <c r="E21" s="14">
        <v>13250</v>
      </c>
    </row>
    <row r="22" spans="1:7" x14ac:dyDescent="0.25">
      <c r="A22" s="9" t="s">
        <v>50</v>
      </c>
      <c r="B22" s="6">
        <v>19350</v>
      </c>
      <c r="D22" t="s">
        <v>50</v>
      </c>
      <c r="E22" s="14">
        <v>19350</v>
      </c>
      <c r="G22" s="12"/>
    </row>
    <row r="23" spans="1:7" x14ac:dyDescent="0.25">
      <c r="A23" s="9" t="s">
        <v>140</v>
      </c>
      <c r="B23" s="6">
        <v>3712.5</v>
      </c>
      <c r="D23" t="s">
        <v>140</v>
      </c>
      <c r="E23" s="14">
        <v>3712.5</v>
      </c>
      <c r="G23" s="12"/>
    </row>
    <row r="24" spans="1:7" x14ac:dyDescent="0.25">
      <c r="A24" s="9" t="s">
        <v>49</v>
      </c>
      <c r="B24" s="6">
        <v>23050</v>
      </c>
      <c r="D24" t="s">
        <v>49</v>
      </c>
      <c r="E24" s="14">
        <v>23050</v>
      </c>
      <c r="G24" s="12"/>
    </row>
    <row r="25" spans="1:7" x14ac:dyDescent="0.25">
      <c r="A25" s="9" t="s">
        <v>51</v>
      </c>
      <c r="B25" s="6">
        <v>69970</v>
      </c>
      <c r="D25" t="s">
        <v>51</v>
      </c>
      <c r="E25" s="14">
        <v>69970</v>
      </c>
      <c r="G25" s="12"/>
    </row>
    <row r="26" spans="1:7" x14ac:dyDescent="0.25">
      <c r="A26" s="9" t="s">
        <v>144</v>
      </c>
      <c r="B26" s="6">
        <v>129332.5</v>
      </c>
      <c r="G26" s="12"/>
    </row>
    <row r="29" spans="1:7" x14ac:dyDescent="0.25">
      <c r="A29" s="7" t="s">
        <v>143</v>
      </c>
      <c r="B29" t="s">
        <v>141</v>
      </c>
    </row>
    <row r="30" spans="1:7" x14ac:dyDescent="0.25">
      <c r="A30" s="9" t="s">
        <v>110</v>
      </c>
      <c r="B30" s="6">
        <v>5100</v>
      </c>
      <c r="G30" s="13"/>
    </row>
    <row r="31" spans="1:7" x14ac:dyDescent="0.25">
      <c r="A31" s="9" t="s">
        <v>115</v>
      </c>
      <c r="B31" s="6">
        <v>3712.5</v>
      </c>
      <c r="G31" s="13"/>
    </row>
    <row r="32" spans="1:7" x14ac:dyDescent="0.25">
      <c r="A32" s="9" t="s">
        <v>104</v>
      </c>
      <c r="B32" s="6">
        <v>0</v>
      </c>
      <c r="G32" s="13"/>
    </row>
    <row r="33" spans="1:7" x14ac:dyDescent="0.25">
      <c r="A33" s="9" t="s">
        <v>116</v>
      </c>
      <c r="B33" s="6">
        <v>4950</v>
      </c>
      <c r="G33" s="13"/>
    </row>
    <row r="34" spans="1:7" x14ac:dyDescent="0.25">
      <c r="A34" s="9" t="s">
        <v>105</v>
      </c>
      <c r="B34" s="6">
        <v>5000</v>
      </c>
      <c r="G34" s="13"/>
    </row>
    <row r="35" spans="1:7" x14ac:dyDescent="0.25">
      <c r="A35" s="9" t="s">
        <v>102</v>
      </c>
      <c r="B35" s="6">
        <v>3800</v>
      </c>
    </row>
    <row r="36" spans="1:7" x14ac:dyDescent="0.25">
      <c r="A36" s="9" t="s">
        <v>111</v>
      </c>
      <c r="B36" s="6">
        <v>4750</v>
      </c>
    </row>
    <row r="37" spans="1:7" x14ac:dyDescent="0.25">
      <c r="A37" s="9" t="s">
        <v>103</v>
      </c>
      <c r="B37" s="6">
        <v>3712.5</v>
      </c>
    </row>
    <row r="38" spans="1:7" x14ac:dyDescent="0.25">
      <c r="A38" s="9" t="s">
        <v>107</v>
      </c>
      <c r="B38" s="6">
        <v>4625</v>
      </c>
    </row>
    <row r="39" spans="1:7" x14ac:dyDescent="0.25">
      <c r="A39" s="9" t="s">
        <v>122</v>
      </c>
      <c r="B39" s="6">
        <v>5250</v>
      </c>
    </row>
    <row r="40" spans="1:7" x14ac:dyDescent="0.25">
      <c r="A40" s="9" t="s">
        <v>113</v>
      </c>
      <c r="B40" s="6">
        <v>4500</v>
      </c>
    </row>
    <row r="41" spans="1:7" x14ac:dyDescent="0.25">
      <c r="A41" s="9" t="s">
        <v>128</v>
      </c>
      <c r="B41" s="6">
        <v>5400</v>
      </c>
    </row>
    <row r="42" spans="1:7" x14ac:dyDescent="0.25">
      <c r="A42" s="9" t="s">
        <v>106</v>
      </c>
      <c r="B42" s="6">
        <v>6100</v>
      </c>
    </row>
    <row r="43" spans="1:7" x14ac:dyDescent="0.25">
      <c r="A43" s="9" t="s">
        <v>125</v>
      </c>
      <c r="B43" s="6">
        <v>5500</v>
      </c>
    </row>
    <row r="44" spans="1:7" x14ac:dyDescent="0.25">
      <c r="A44" s="9" t="s">
        <v>120</v>
      </c>
      <c r="B44" s="6">
        <v>4500</v>
      </c>
    </row>
    <row r="45" spans="1:7" x14ac:dyDescent="0.25">
      <c r="A45" s="9" t="s">
        <v>121</v>
      </c>
      <c r="B45" s="6">
        <v>4250</v>
      </c>
    </row>
    <row r="46" spans="1:7" x14ac:dyDescent="0.25">
      <c r="A46" s="9" t="s">
        <v>127</v>
      </c>
      <c r="B46" s="6">
        <v>4500</v>
      </c>
    </row>
    <row r="47" spans="1:7" x14ac:dyDescent="0.25">
      <c r="A47" s="9" t="s">
        <v>126</v>
      </c>
      <c r="B47" s="6">
        <v>4625</v>
      </c>
    </row>
    <row r="48" spans="1:7" x14ac:dyDescent="0.25">
      <c r="A48" s="9" t="s">
        <v>114</v>
      </c>
      <c r="B48" s="6">
        <v>0</v>
      </c>
    </row>
    <row r="49" spans="1:2" x14ac:dyDescent="0.25">
      <c r="A49" s="9" t="s">
        <v>124</v>
      </c>
      <c r="B49" s="6">
        <v>7500</v>
      </c>
    </row>
    <row r="50" spans="1:2" x14ac:dyDescent="0.25">
      <c r="A50" s="9" t="s">
        <v>112</v>
      </c>
      <c r="B50" s="6">
        <v>6000</v>
      </c>
    </row>
    <row r="51" spans="1:2" x14ac:dyDescent="0.25">
      <c r="A51" s="9" t="s">
        <v>123</v>
      </c>
      <c r="B51" s="6">
        <v>6500</v>
      </c>
    </row>
    <row r="52" spans="1:2" x14ac:dyDescent="0.25">
      <c r="A52" s="9" t="s">
        <v>108</v>
      </c>
      <c r="B52" s="6">
        <v>3800</v>
      </c>
    </row>
    <row r="53" spans="1:2" x14ac:dyDescent="0.25">
      <c r="A53" s="9" t="s">
        <v>117</v>
      </c>
      <c r="B53" s="6">
        <v>4750</v>
      </c>
    </row>
    <row r="54" spans="1:2" x14ac:dyDescent="0.25">
      <c r="A54" s="9" t="s">
        <v>118</v>
      </c>
      <c r="B54" s="6">
        <v>7320</v>
      </c>
    </row>
    <row r="55" spans="1:2" x14ac:dyDescent="0.25">
      <c r="A55" s="9" t="s">
        <v>109</v>
      </c>
      <c r="B55" s="6">
        <v>3600</v>
      </c>
    </row>
    <row r="56" spans="1:2" x14ac:dyDescent="0.25">
      <c r="A56" s="9" t="s">
        <v>119</v>
      </c>
      <c r="B56" s="6">
        <v>5087.5</v>
      </c>
    </row>
    <row r="57" spans="1:2" x14ac:dyDescent="0.25">
      <c r="A57" s="9" t="s">
        <v>101</v>
      </c>
      <c r="B57" s="6">
        <v>4500</v>
      </c>
    </row>
    <row r="58" spans="1:2" x14ac:dyDescent="0.25">
      <c r="A58" s="9" t="s">
        <v>144</v>
      </c>
      <c r="B58" s="6">
        <v>129332.5</v>
      </c>
    </row>
    <row r="62" spans="1:2" x14ac:dyDescent="0.25">
      <c r="A62" t="s">
        <v>142</v>
      </c>
    </row>
    <row r="63" spans="1:2" x14ac:dyDescent="0.25">
      <c r="A63" s="8">
        <v>28845</v>
      </c>
    </row>
  </sheetData>
  <conditionalFormatting pivot="1" sqref="B30:B57">
    <cfRule type="top10" dxfId="14" priority="1" rank="5"/>
  </conditionalFormatting>
  <pageMargins left="0.7" right="0.7" top="0.75" bottom="0.75" header="0.3" footer="0.3"/>
  <pageSetup paperSize="9" orientation="portrait"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I42"/>
  <sheetViews>
    <sheetView zoomScale="93" zoomScaleNormal="93" workbookViewId="0">
      <selection sqref="A1:XFD1048576"/>
    </sheetView>
  </sheetViews>
  <sheetFormatPr defaultColWidth="11" defaultRowHeight="15.75" x14ac:dyDescent="0.25"/>
  <cols>
    <col min="1" max="1" width="6.625" customWidth="1"/>
    <col min="2" max="2" width="7.125" customWidth="1"/>
    <col min="3" max="3" width="11" customWidth="1"/>
    <col min="6" max="6" width="15" customWidth="1"/>
    <col min="7" max="7" width="6.625" customWidth="1"/>
    <col min="9" max="9" width="5.5" customWidth="1"/>
  </cols>
  <sheetData>
    <row r="2" spans="2:9" x14ac:dyDescent="0.25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25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25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25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25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25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25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25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25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25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4.1" customHeight="1" x14ac:dyDescent="0.25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25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25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25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25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25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8.1" customHeight="1" x14ac:dyDescent="0.25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25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25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25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>H21/G21</f>
        <v>0.16633333333333333</v>
      </c>
    </row>
    <row r="22" spans="2:9" x14ac:dyDescent="0.25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>H22/G22</f>
        <v>0.17333333333333334</v>
      </c>
    </row>
    <row r="23" spans="2:9" ht="8.1" customHeight="1" x14ac:dyDescent="0.25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25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25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25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25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25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25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25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25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25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25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>H33/G33</f>
        <v>0.1368</v>
      </c>
    </row>
    <row r="34" spans="2:9" x14ac:dyDescent="0.25">
      <c r="G34" s="1"/>
    </row>
    <row r="35" spans="2:9" x14ac:dyDescent="0.25">
      <c r="G35" s="1"/>
    </row>
    <row r="36" spans="2:9" x14ac:dyDescent="0.25">
      <c r="G36" s="1"/>
    </row>
    <row r="37" spans="2:9" x14ac:dyDescent="0.25">
      <c r="G37" s="1"/>
    </row>
    <row r="38" spans="2:9" x14ac:dyDescent="0.25">
      <c r="G38" s="1"/>
    </row>
    <row r="39" spans="2:9" x14ac:dyDescent="0.25">
      <c r="G39" s="1"/>
    </row>
    <row r="40" spans="2:9" x14ac:dyDescent="0.25">
      <c r="G40" s="1"/>
    </row>
    <row r="41" spans="2:9" x14ac:dyDescent="0.25">
      <c r="G41" s="1"/>
    </row>
    <row r="42" spans="2:9" x14ac:dyDescent="0.25">
      <c r="G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Clean data</vt:lpstr>
      <vt:lpstr>Pivot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juju Ari</cp:lastModifiedBy>
  <dcterms:created xsi:type="dcterms:W3CDTF">2023-05-29T07:26:35Z</dcterms:created>
  <dcterms:modified xsi:type="dcterms:W3CDTF">2026-03-03T19:19:19Z</dcterms:modified>
</cp:coreProperties>
</file>
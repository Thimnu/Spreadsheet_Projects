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a\Downloads\"/>
    </mc:Choice>
  </mc:AlternateContent>
  <xr:revisionPtr revIDLastSave="0" documentId="13_ncr:1_{115725E9-B376-4679-BEA7-8E1FE3C3B4A9}" xr6:coauthVersionLast="47" xr6:coauthVersionMax="47" xr10:uidLastSave="{00000000-0000-0000-0000-000000000000}"/>
  <bookViews>
    <workbookView xWindow="-120" yWindow="-120" windowWidth="29040" windowHeight="15720" activeTab="1" xr2:uid="{810B916D-8AC5-B94F-AAD8-02E834047D22}"/>
  </bookViews>
  <sheets>
    <sheet name="Dashboard" sheetId="1" r:id="rId1"/>
    <sheet name="Input Data" sheetId="3" r:id="rId2"/>
  </sheets>
  <definedNames>
    <definedName name="_xlchart.v5.0" hidden="1">'Input Data'!$G$12</definedName>
    <definedName name="_xlchart.v5.1" hidden="1">'Input Data'!$G$13:$G$19</definedName>
    <definedName name="_xlchart.v5.10" hidden="1">'Input Data'!$H$12</definedName>
    <definedName name="_xlchart.v5.11" hidden="1">'Input Data'!$H$13:$H$19</definedName>
    <definedName name="_xlchart.v5.2" hidden="1">'Input Data'!$H$12</definedName>
    <definedName name="_xlchart.v5.3" hidden="1">'Input Data'!$H$13:$H$19</definedName>
    <definedName name="_xlchart.v5.4" hidden="1">'Input Data'!$G$12</definedName>
    <definedName name="_xlchart.v5.5" hidden="1">'Input Data'!$G$13:$G$19</definedName>
    <definedName name="_xlchart.v5.6" hidden="1">'Input Data'!$H$12</definedName>
    <definedName name="_xlchart.v5.7" hidden="1">'Input Data'!$H$13:$H$19</definedName>
    <definedName name="_xlchart.v5.8" hidden="1">'Input Data'!$G$12</definedName>
    <definedName name="_xlchart.v5.9" hidden="1">'Input Data'!$G$13:$G$19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3" l="1"/>
  <c r="D8" i="3" s="1"/>
  <c r="J7" i="3"/>
  <c r="J8" i="3" s="1"/>
  <c r="G7" i="3"/>
  <c r="G8" i="3" s="1"/>
</calcChain>
</file>

<file path=xl/sharedStrings.xml><?xml version="1.0" encoding="utf-8"?>
<sst xmlns="http://schemas.openxmlformats.org/spreadsheetml/2006/main" count="50" uniqueCount="38">
  <si>
    <t>Argentina</t>
  </si>
  <si>
    <t>Bolivia</t>
  </si>
  <si>
    <t>Chile</t>
  </si>
  <si>
    <t>Colombia</t>
  </si>
  <si>
    <t>Ecuador</t>
  </si>
  <si>
    <t>Peru</t>
  </si>
  <si>
    <t>May</t>
  </si>
  <si>
    <t>Figures in $M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</si>
  <si>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</si>
  <si>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</si>
  <si>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</si>
  <si>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</si>
  <si>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</si>
  <si>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</si>
  <si>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</si>
  <si>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</si>
  <si>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</si>
  <si>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</si>
  <si>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</si>
  <si>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Customer Satisfaction</t>
  </si>
  <si>
    <t>Sales by country 2022</t>
  </si>
  <si>
    <t>Brazil</t>
  </si>
  <si>
    <t>Score</t>
  </si>
  <si>
    <t>Customers</t>
  </si>
  <si>
    <t>Availability (95%)</t>
  </si>
  <si>
    <t>Service (53%)</t>
  </si>
  <si>
    <t>Hygene (93%)</t>
  </si>
  <si>
    <t>Quality (86%)</t>
  </si>
  <si>
    <t>Speed (54%)</t>
  </si>
  <si>
    <t>Amount</t>
  </si>
  <si>
    <t>Actual</t>
  </si>
  <si>
    <t>Target</t>
  </si>
  <si>
    <t>Profit</t>
  </si>
  <si>
    <t>Sales (M)</t>
  </si>
  <si>
    <t>% Complete</t>
  </si>
  <si>
    <t>Remainder</t>
  </si>
  <si>
    <t>KPIs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</si>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</sst>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-* #,##0.0_-;\-* #,##0.0_-;_-* &quot;-&quot;??_-;_-@_-"/>
    <numFmt numFmtId="165" formatCode="_-[$$-409]* #,##0_ ;_-[$$-409]* \-#,##0\ ;_-[$$-409]* &quot;-&quot;??_ ;_-@_ "/>
  </numFmts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164" fontId="0" fillId="0" borderId="0" xfId="1" applyNumberFormat="1" applyFont="1" applyAlignment="1">
      <alignment horizontal="center"/>
    </xf>
    <xf numFmtId="9" fontId="0" fillId="0" borderId="0" xfId="2" applyFont="1"/>
    <xf numFmtId="0" fontId="3" fillId="0" borderId="1" xfId="0" applyFont="1" applyBorder="1"/>
    <xf numFmtId="165" fontId="0" fillId="0" borderId="0" xfId="1" applyNumberFormat="1" applyFont="1" applyAlignment="1">
      <alignment horizontal="center"/>
    </xf>
    <xf numFmtId="165" fontId="0" fillId="0" borderId="0" xfId="3" applyNumberFormat="1" applyFont="1" applyAlignment="1">
      <alignment horizontal="center"/>
    </xf>
    <xf numFmtId="0" fontId="0" fillId="3" borderId="0" xfId="0" applyFill="1"/>
  </cellXfs>
  <cellStyles count="6">
    <cellStyle name="Comma" xfId="1" builtinId="3"/>
    <cellStyle name="Currency" xfId="3" builtinId="4"/>
    <cellStyle name="Hyperlink 2 2" xfId="5" xr:uid="{267E623E-6B15-4CCC-B9BC-250C77BAA95E}"/>
    <cellStyle name="Normal" xfId="0" builtinId="0"/>
    <cellStyle name="Normal 2" xfId="4" xr:uid="{E02C944C-12D6-4A93-B617-B69D0B1006BB}"/>
    <cellStyle name="Percent" xfId="2" builtinId="5"/>
  </cellStyles>
  <dxfs count="0"/>
  <tableStyles count="0" defaultTableStyle="TableStyleMedium2" defaultPivotStyle="PivotStyleLight16"/>
  <colors>
    <mruColors>
      <color rgb="FFD9FDFF"/>
      <color rgb="FF073673"/>
      <color rgb="FFEFCB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spc="0" baseline="0">
                <a:solidFill>
                  <a:srgbClr val="484848"/>
                </a:solidFill>
                <a:latin typeface="Roboto"/>
                <a:ea typeface="+mn-ea"/>
                <a:cs typeface="+mn-cs"/>
              </a:defRPr>
            </a:pPr>
            <a:r>
              <a:rPr lang="en-US" sz="1800" b="1" i="0" u="none" strike="noStrike" kern="1200" baseline="0" dirty="0">
                <a:solidFill>
                  <a:srgbClr val="484848"/>
                </a:solidFill>
                <a:latin typeface="Roboto"/>
                <a:ea typeface="+mn-ea"/>
                <a:cs typeface="+mn-cs"/>
              </a:rPr>
              <a:t>Customer Satisfaction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spc="0" baseline="0">
              <a:solidFill>
                <a:srgbClr val="484848"/>
              </a:solidFill>
              <a:latin typeface="Roboto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'Input Data'!$K$12</c:f>
              <c:strCache>
                <c:ptCount val="1"/>
                <c:pt idx="0">
                  <c:v>Score</c:v>
                </c:pt>
              </c:strCache>
            </c:strRef>
          </c:tx>
          <c:spPr>
            <a:ln w="85725" cap="sq" cmpd="sng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11"/>
            <c:spPr>
              <a:solidFill>
                <a:schemeClr val="accent2">
                  <a:lumMod val="75000"/>
                </a:schemeClr>
              </a:solidFill>
              <a:ln w="9525" cap="rnd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cat>
            <c:strRef>
              <c:f>'Input Data'!$J$13:$J$17</c:f>
              <c:strCache>
                <c:ptCount val="5"/>
                <c:pt idx="0">
                  <c:v>Speed (54%)</c:v>
                </c:pt>
                <c:pt idx="1">
                  <c:v>Quality (86%)</c:v>
                </c:pt>
                <c:pt idx="2">
                  <c:v>Hygene (93%)</c:v>
                </c:pt>
                <c:pt idx="3">
                  <c:v>Service (53%)</c:v>
                </c:pt>
                <c:pt idx="4">
                  <c:v>Availability (95%)</c:v>
                </c:pt>
              </c:strCache>
            </c:strRef>
          </c:cat>
          <c:val>
            <c:numRef>
              <c:f>'Input Data'!$K$13:$K$17</c:f>
              <c:numCache>
                <c:formatCode>0%</c:formatCode>
                <c:ptCount val="5"/>
                <c:pt idx="0">
                  <c:v>0.54</c:v>
                </c:pt>
                <c:pt idx="1">
                  <c:v>0.86</c:v>
                </c:pt>
                <c:pt idx="2">
                  <c:v>0.93</c:v>
                </c:pt>
                <c:pt idx="3">
                  <c:v>0.53</c:v>
                </c:pt>
                <c:pt idx="4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78-4900-8386-46E947DE5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0977008"/>
        <c:axId val="290982288"/>
      </c:radarChart>
      <c:catAx>
        <c:axId val="290977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rgbClr val="484848"/>
                </a:solidFill>
                <a:latin typeface="Roboto"/>
                <a:ea typeface="+mn-ea"/>
                <a:cs typeface="+mn-cs"/>
              </a:defRPr>
            </a:pPr>
            <a:endParaRPr lang="en-US"/>
          </a:p>
        </c:txPr>
        <c:crossAx val="290982288"/>
        <c:crosses val="autoZero"/>
        <c:auto val="1"/>
        <c:lblAlgn val="ctr"/>
        <c:lblOffset val="100"/>
        <c:noMultiLvlLbl val="0"/>
      </c:catAx>
      <c:valAx>
        <c:axId val="29098228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290977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_xlchart.v5.7</cx:f>
        <cx:nf>_xlchart.v5.6</cx:nf>
      </cx:numDim>
    </cx:data>
  </cx:chartData>
  <cx:chart>
    <cx:title pos="t" align="ctr" overlay="0">
      <cx:tx>
        <cx:txData>
          <cx:v>Sales by Country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1" kern="1200">
              <a:solidFill>
                <a:srgbClr val="484848"/>
              </a:solidFill>
              <a:latin typeface="Roboto"/>
              <a:ea typeface="+mn-ea"/>
              <a:cs typeface="+mn-cs"/>
            </a:rPr>
            <a:t>Sales by Country</a:t>
          </a:r>
        </a:p>
      </cx:txPr>
    </cx:title>
    <cx:plotArea>
      <cx:plotAreaRegion>
        <cx:series layoutId="regionMap" uniqueId="{8D6C15F2-C1FA-46CC-A8D8-EE95C1A272BF}">
          <cx:tx>
            <cx:txData>
              <cx:f>_xlchart.v5.6</cx:f>
              <cx:v>Figures in $M</cx:v>
            </cx:txData>
          </cx:tx>
          <cx:dataLabels>
            <cx:visibility seriesName="0" categoryName="1" value="0"/>
            <cx:separator>, </cx:separator>
            <cx:dataLabel idx="3">
              <cx:visibility seriesName="0" categoryName="1" value="0"/>
              <cx:separator>, </cx:separator>
            </cx:dataLabel>
          </cx:dataLabels>
          <cx:dataId val="0"/>
          <cx:layoutPr>
            <cx:regionLabelLayout val="none"/>
            <cx:geography cultureLanguage="en-US" cultureRegion="IT" attribution="Powered by Bing">
              <cx:geoCache provider="{E9337A44-BEBE-4D9F-B70C-5C5E7DAFC167}">
                <cx:binary>zHxrj924kfZfGcznVx6KdwXJAiudS3e723b77vkitNttURRF6kJJlH79Wz3OzNqMEyfCALtGgGDO
adUpFeupKhYf1l/vw1/uzcPd8FNojR3/ch/+9rPyvvvLL7+M9+qhvRuftPX94Eb32T+5d+0v7vPn
+v7hl0/D3VLb6heMUvrLvbob/EP4+b/+CtKqB3ft7u987ezt9DCsLx/GyfjxX3z33a9+uneT9Y+P
VyDpbz8f76e7T274+acH62u/vl67h7/9/M3f/PzTL7Gkf/jVnwwo5qdP8GySPiEkE5wL+vNPxtnq
989F9oRwzrMMY/Tbv/T3H31218KD/4Ymv+lx9+nT8DCOP/39/7968Bu1v/q8Hl3x5a0L96jisfjt
nX751qr/9dfoA3jL6JOvDB+b5EdfxXb/76F6tLi9+90If4LlCX2SZZxmMkXZb//EtyvA4XsusGQp
/7IC5Pcf/7IC/5ZO31+Drx6NVuGrb+J1+O+X//vrkDtTz/WfuQqpeIIYlzxjf1+F7B9XIUsx5vhb
6/8bmnzf9n88GFn+j89ju+fP//ftXjjj2o9/puHpk0d7pzwDr/4m7uAnGZIyJVR+8Xr+rd3/HU2+
b/j/eTKy/P98EZu++D9g+ny422rzuxH+hLiTIgj5j/8QuPTXpmfkyZdYL/4ecGKX/6Em3zf8728Q
mf33j2Oj5/8H4syLh2H6E03On0CAyXgm6RefRnGyZU8QZZJhzr6kAvj+S4b/Eup/pM737f7lqcjq
Xz6Mbf7i+H8gxqjaPPz+3n+Cn5P0ieApIQKLL0aNIruA0ieVQqQkDjE/UuT75i6+PBbZ+++fxgYv
rv8Mg//zguePmu9w5++OvxWLX9U8//rb314PCtjo0X9Vc35x1stPf/s5hTrxjwr0UcI3jvxVefHt
Iw93o4dqFEIQp1APSYQx5Sgj8uefloffvhLkCWOSApCIpIKzx4Rs3eAVPIZhqWUG4EoREggSBzw2
uum37xhgiwnBMyEYyRDH7I8K/YUza+XsH9b4+3//ZKf2hautH//2MwCx+/JXjy8HP0QFFSgTCD6/
v3sJxT/8Ufr/aD+50pXKHCszvduy9WM5vf3KEP++ZA5e+rVkwyrk6QSSUy5yXYd8G2S+TzRY5WvR
9bZ62gfSHNdMvEAkeWFSkuyUDcXr17K7SWBbNmVzRAvZbhzDoShXww/7NAeEfi29TFMxmlo2x3Q+
IceKqh6+RLAvm4T/wNzsW8lOIx1WmTbHLdj5arNoOphmzV7t0/vRfb5yE1wO22KFM8duGURRU70d
eELf7RMOldPXwsWqxEJ5aI5T2/CLyvq7BTVyp10AXV8L3+RY014gcyRjn5fVdl0P1cU+vSFCfC2a
2RCkR94cTXbOxjtT70ROhElYtq7LKGuOYzXiZyOz0z3RNQrFLrVZBMxSzkLqejLHaSWXsEd/3TCx
U3QETNEv/cKNNUctp/DU6Sm9KWXybJ/eETKZF3QaVjCLwvd9VxW8Yvswz2JUcl4GoTEspLY576TJ
adKancIjYNbz2IzUieZYd/3zEs/VBesCOu2zSYRLRKTrxrQzx2Fdzf02tNXlqHF2uU96BExqaBPc
PJoje791Bel2WiSCZAn14lprELuMnc2HtNcF3dJ9eGcRKC2RvBcWvKQK+jxUC87bOezVPELm3KS+
6+vBHGdRjbkJdVkscur3mZtGwFTWlFu1QHKQmYGAIusCulvDPqPTCJpb225LNW7mKKq6PVDGbb4K
73eqHmGT42lqNwfSO309Tq9dd7XLA2mETIqp1VuymmON55u2NDofbPdlc/ufZkwaAZOTTaFso/oo
Kbl0TdveKcfIr/sUj4DZczmOYSH6qDlvfh04Gps8Gwe7D/c0QubWorqvKdfHcqxP2+LoxZom4bxP
9wifxq1TWiEwDDbGHUpmm4uZ+505gkYA1SlF3uq2PAxDlyO6FHj+tE/vCJ3Qc+y1qr0+jhMdczbR
T6Sc98GHRNi0ftOJUbI+yg4d2tD9qlK97JQdQTMtmeg30utjijnN62G8aEXbHXYZhUTI9LPw6zCA
4s1SXbWE6dzo5naf7Aids1S2xQwU1yAWEftmbNsX+0RH4LSBiExaED0ILy49EVdoCGIfekgEzsas
ig4jCG+Vzhk7DHSn1hEsw0jHoYV8dlzNUigMwZsLne50kwiWo3bDirgCN+kTWowK0SPP1jf77B2h
0pRJZ5up1UeuDTXnMs1W9kG4xXX7qjcSgVMI5zvljT6qzRcyeacGsm81cQTNVSRTKAlIdsl65asu
zdtxe73LLDiCZseUnmaxqaNul49JMl2XrOv3Fcs4QqZDYgpBEXWcSeAvNQpvKKvwl/7Kf5rccATN
0vZ1TbKpPlapurGJh30PWsZ9WRk6D99sfDLsE0TrVsFu8GGoLqW92GftCJcjUaafK5BbLqhAWXII
U7PP/XCETOsNbCnTRh0Xe1y0yTO5s7DCESxxRVO99kYdUS3DgVj7ATa0ah/mcQTLsmtAbc/UsfaN
PcpkzHLXDvsKIBxB0ibQp6pTEN7VHzLVHZVC+8rBNIJkgjqtK0IVeF+Q+dClGbQLUrfPt9MIlEgj
1i0SpJdVdw0AusXe4X0GTyNQ+mGpkikBUIbqDpJyk5dTs3Mx0wiTRtbpMrWPnmKwO8rKvx2rTO7D
ThphcpnrFuMKhAvPcs3O2O0sfdIIlRPDsHdYwU0W7QuWoSWfeKP3BcE0wmUKjUmvZrB3K3uU69bh
osqSZacfRtjUOiR6TbA64nVuc7RUuuhCPe+rkx87xN/0f+Z5moME6Q4tz0yzPPRbwnf6YYRNXQ7l
jBWEwiGRNM8oPTbbWO4zOorgSSu5zL3i6sh7rA9wju+LtO3VPng+9qy/NgseqqlCK6guk67Yuhe8
e78rPaAIm0MrN19VQh1JnehcL9l8Oy9S7pQeoTNZcKcb5SCqrFuuTJlXcl+ZjCJoVm6xS9ODZN3r
wzpcmG3b5yWPx29fm3pYy2zpM5DcJk7linwME3Sw9lk7QqYQaDXJY15rliE9qJXZYgrtzT7hETC7
XhLj3AjQmbKQz9t8mDO5M4ajCJdqNLxVSQ/C/XW9ntt5X9mDIkwKDCcz8zapo3frdWfMzTYf95hD
ZhEg0SC3IDMPGps8rfJxV4KXWYRES5dpVOMA1YMMlzz1T0mpDvs0jrCY9d5KpWbA4sav2uWGrPXT
fZIjHJqVoCVQSDe90vqlIuMbO9lmV2ySWQTF0A5VIwIsoTP01SBvur7cFT7g0O5bKAZKhB8oJDK6
vq6mo1W7nE4+0kq+hnhqaDIMI8Awpen9mm75tpF9pavMIhT6jFfet+B2oSunc9msfUGWrNoVQGQW
wbCtTDOi8OjULhmOG3blQU7JrhQmswiLpBVkdb0F4ZXt7oTs0mvFtmTcp7uMAGkyPsw6A/FTv8l8
VuHsq4Ts011GsOwqj2TvoH5lzdC/20o38RMREwv7ECQjbFYINYmuOqgdjL5t0pBruV7sAqeMwOlm
ocw8An7aNr1QZrVF3Tb7uutSRuB0PZ/FsDyCsz0Luj5fQ7cr3UgZgXPVhNUUAziJlReN3fozIkGf
9tkkQmjTNnrkBKLs6nG3nkS1rWMu9BT2OmME0wG1K+zS4AeGhG5PGzN90j2mL/dpH6F06raO4AVB
3EpfMzHmadh31i1lBNGpNHihjxERq6xQpBwLnrVoH0BFBFDRuzoJAYSbxV2o+mZL6l1VvRQROo3E
HlqZELYaOb4wMklPXK1iX9oUETTFuqW4tJM4zpmfryeE7HUPZ0n7yggRoZOjrmpav/FTrYfqMMzU
Xq5Lz3ZKj+DZ2FRDKvL8VM1de84Gv12Wvlp3mj2CqBCdD6mvIRKWy1wQUa1HxXXYqXuM0URu65IN
/NRk43QxVFt6CrDN3xfQRQRQVLZJNtien+TUtc8yVm0Hs2q/U/cIoZaV9VqWFT+pZkY5I6M5Jyr9
kbs/+sY/EoBkTACykOgsSzQ/tdrpe7GF7YUeyZa7vtentKv5vhAc04F4o4LvkGAnUQ7pU8jeKC/r
qtyHKx6B1q0Kh2V18BYZt7c97cllY7JmX7DhEWoR1Ix92Dp+8lOYblnShwujRHixKwLzCLU11HyC
UctPyyR5oWcv37d0mnbaPULt0G4qNJPhJ7tifZE0iryYe+9v9+keo7ZtM489eI9rsMstatqbBbNk
XyHDI9QmNiE9EmCZVk/S5R3vtxvkWbJT+Ri2Y0mTNQHxEqfu1CcyPbSy2kdSkzyCrUhXKXkNTrP0
6rZPQnvdzXLZt7PjUW41BDqHuoJVbeq2viIjCxcl4jsLjpghxFDaZraCeMZo6F8zZ/Fn5WqxD00s
wmo9V3UfKjBM8FN7KJFwFxNUfft8hkVYzdBIhHuMlq1c/SksjucD3/i+LBUzhVqyNq1aSnaqpkmd
gzT0OEvUXO5CE4uwSoGvpwcKGdbrBp/GmfjjSNudDskirNYLNOQnlYDurA8Hj5b26cTZPtKaZBFW
edP3oxYt+Ayb8QWUY7LY8Nrsq7FZBNWw9XyUEwIw1eP0XLGqOmwkdfsybMwZaimRQHRa+GlY7Ms+
YfRqspTv2zKxCKpT09gOLzM/Ie8+NWOXXRKv3T7hMWWoaqVRaJPsNBnGDxVpprNKkn1cWOAof9t7
IFNfbw0P/LRapH7tqSFnLbp615EccJ+/ld5QPRDTEn5KvUzObUnFVbKSad9pi4ypQ1YlWafpCKmp
n9ailGTNjQjtPqjG5KGS+9WkNmMnrFtUtHblhdx0uS/M0Aiqc9l1mmCAKm3a5FUJRNND2sms3ReB
Y/aQFBMNMwGXHOBo+6m2dShQG+Z91TCNsIpN5tvQAJr6GvMctU19SqSiP/D4x1j4nXo1pg9JjWvX
woWT06TGMQ9jPz5tWJgvG9fLfcUkjRAbhGq3soNQRlO8vu9SNNxmbbbWP7D+P3mDmEpUUyrgZB7e
YMicfTaUxhbQxALn70UXfvAbj47yHSs9Xjf4umuoOi7BaTg7kS7wy0wl1XtI48v9rjwVc4rsXNsU
/sdOXE71RZfW4jz6dGdr+fEWy9e6t0LXOJkpO22b1Ocw0PaUzbzcl0lIlGNxBYpD2mMnWdUCNoGl
OAMvwOzrL8fMIsOaCTaY4DqKJvxIR1wfgcyN9yGLRDmWKZT0nm7stHK1HK1dl4I0fbZTeoRbhqTi
4wY78GSs2gtXD2W+sW7bV2yTqBxWj/dYRG3EaWUQK4GtKC+ElPsOwmTMLkp9udSVhqoP+bb7FLqR
P10qu77e5e8xw8izppzTDqo+TzA+4mTJLgZfi30Va8wxmlEPkE6g2tZ+Xs0h0WJ46CqH9zEAZcwz
CoIPC1tB/riumOZyE+JczjTZGWtiqlFIusZaCXgFOoZ/J9FYX2/GzT+I94/VwHciWcw1AhbtXPNH
rxxJM1eFgRO4Istc9rwlNTmUzbjlExxVVvtAgOPMCycUGotGnAgcBx9GOnTP3JLqfVv9mIUEm7ZN
2hIadJXp+xxrqoo0hbP9fW4aAZiHhQfUQZG8AiHhDWT1IQfmBn21T3oEYAYOs9IA9dSIlvkpnCr6
0zb4ffRAGXOR4PRoaELF+IkDQyYtLMys6AuIQaTcd44WU5JSOHQ3FYSeU9/i7e0kS/p5yOTOHk5M
SWosWeaZCdifzCG8mi1Nn9OxMj/AwD/J5jEpqcUONyKRYHqc+hdzsqaFaI3blxFjWpJELFGJHcUp
84srL0uZulceHDXZ55YxMymB210dwm12YsOU5SVcgDslK9Q7u9wyZifpnk6Sdi47jaMmz1rTouts
bMT7fdKjjEsbJq1SMjvJES7UJZPI3lRDt+zrzaURYEcEVyLTiWQnQXt92a2qzasuzPuCTUxPsqXb
Jpnw7FRuDZCfGGnvVUXcwz7LREXyCncOsnnCYHeerG+BEObbXAN58+Uu8TFFiQvVZLVYs1PS4N4f
2GZ4U2Rltu5roMUkJYbsGJR05WmFI5kb1/gsR2gg+1w+ZioxMi0eW1ueDEvDuUdLeXBM+8M+20QF
sqtZ5ijcGz6Rxif51KLkovMm22l59m35XY+kNnBbuXxsR5uni1fkCsgpfh9cY8ZSa+DKWtUM5Ul1
UBtzRMkzbye6k3OAIrzWqsxaqeby1DuEjglJ9F1rW/9xn+EjvA5kXKsJ2+RUL0An5LPGJzbD+eM+
6VGCFSFzJTQskpPK2vQNJ84cukWNn/ZJj/C6dQ1BUBwnp7Jdw3GSaXlefJLuWlaYS/Ct07Q2GfSY
mfJUjcYUybA2LwRpyP0e3eHix7fS1+Ca8HjIdjLE4BuVJv1r2KKbYp/0qA+1IdV6Pq3Jae7n8B6H
qrkqBdp2NYpEFoGVCt3hZurKk902fFo6/awuW7erTyRiOlPZLmk/uqU8CZZ0x3QNZR42pXZFMRFT
msqZ2y5p5uREZ9YdgfOvzwse9pGPRExswiWZKrax5OStqbbL3nT9K1Lybl8MFjG5qWo9nJRWJDml
oiFA+FiWLi3wVKNdgBIxvUkLItOegv4t8vwALeTyHaF1vRNQEVwbNtkwKgg10zr0T9W66ktahR9t
qr5fUEKq+BZQkKexWCWDKLxO5hLDfbm3DV/aH+0IH337H/dssI3/VnzXwU5tdUtykmpiVVFOAZ3h
ltt0anrV1Dl3XGz7wBtznYDCJk1LQ3JaR7HkriIYLhi5caf0CLy148jU1QYhmQRyhWhF8wH26LvK
PxHznWrgUmVJW1XncWELvUKE8TcOGiPDaVdgi1lPKnOrDxL1Zz+l5YkRtlzobtwZHST5dpF9gqlr
hRvPrqnMYVrnxuabq7fP+5SPci2dmKpTuNx+FlkYDl6x8dCqRu8LbTLKtVqtCa9xm5zpBNWlcmY5
95rtu9klYuZTqbKkTAgrz2y1s4J9fsIf6DxUuxpGIuY+Ibh0oMbGVxcNTpA9dBaOxXkzhJ1eHzOg
5rF3rpQwJkN0FOUznqdr3zXVPq+MKVAbTG2sKcLDxTh5mhw6U3UwTES1+65Gw4Ccb/2ymSxpm0n2
F0vDhqKTsKoW5pXscxwRVcc9kxyVTcUuOg1TP4A/0N02xC+72sficXbl161v10wL+GVILuq+e7cu
zD4YsYwfdiFKRIAd5KyXtm67y5lQ8ytLdfep8/ZH5E3+27ndd6J+zIJqJoRXiqfuUq2eVE8ZdIvK
9Cw8Icxer1hNSQYXfEaNnnbSCXrTLEsizzgla/mwYIIeD+isHmqVo9F1k85VsiX+JqHCzrZImpWI
k+CJ0h97u6xtLjAKK8mTteX4Srmp6dqCbGWGTrqeSfMxCaSDe2Eb5Uv6QTw+EqCArPvtJQ/rYK5s
mdXtjVBC2ytWya76MNmpn+q8c2MYXqG+n0xXNKv3VOfwEmX1McFLWpV5g7DTn5Il8ctWhGwK1Zty
VUs/55QmCpzOrUP53KVUh+vWh40PxZjO0h9S2jbly26GIRU3Ds5tt+SggTOqX4p+atI5X0KFgjis
3cqGt2YYjDrDnQPbXWZykiyv/NzO7jAjY1p4fzVt/eU20AwuDaBE9e9xZ4h9Jl2a9XWxDJT7a5fN
uG+LZQlSfmppl/bPhGI9et96M2N0mNO2ht2Xg1E2YigsVlUFL+tls06XM8js+8PYS5p+3Axiqs8X
2eu6K1YSStTmwFnGwuUZhlJxgNZOOXfHqlxK90yv1rPboWIjSJAsSTDLDcMZW48VkAfYcz3aRj/L
8Dabiwz2Jh28UEndevJjCvvOTcra3OrQdgs+QIJ321mxlY0340RMb/I6AZ7Bqy1j2JvCwyDYqs9Z
2KruQqGUJR9a4tfR5jWwCoXK59Da4KAHEtiy5F52yzgdgM9IhqWAK3krIU9XbWZoq6F09VteBiuY
PsNUKVONRb+NCYPDECtLXhcpyWh3N5NxWd5MNZbqTV+yfh5gMgDMu6kLynGAYQkJqYi65JNj/Nd6
xEZ/9kgkmz4BkXzDNp95Ao8VXM06XOgAb5We17YcTZJrmI6Qojy1An73aDOgyQEmFjfJz2isFNF5
rfsS7ib2crLJ+2TzE9PFoDay3acwWyX5RJEw7QFuUfi+ULrL2iPplj7Yp3ZtHgEmeq/6I9wnd1k4
KOvmLDyltSPpcNJIcG+PSaY8QQWbiCrtQci6XR4w9Buml7Kt1no8eOdLXjRT9YGHwYmjHr3sczQg
cPOhF7W/T0ew0adej7irwHhtul5ZZFtxDZfYR/xS9nDemeawbzS3Lef11ZI26EWGM0M/uWV2TQEj
vrZ7vI36QOgqYOxPWm2vaZMu1aeKc0LPlciU2PKKBNWXN8E431wvvlnpMhWBlllTvZ8UOFVzQzeV
4foKptmE2hRLkw3q3QjRgbrjoIOo1QGXfHFXRlfr3B+AClnp/kDNypd3PEHj9hCSYe7e8DFLhM69
giYyyidC/Xar0hLS8cFAZkhtYRbR6C2H6JGEPncIjhm70wzn+AO+EGiGCVdnuOrIxzJvYepQ/xku
h3XrklcwkcV3QCGHwSwy93SVeM7FpHX/AQa6AXvhFKCYM1kBE4Sa2eWjzaYqy7eE9gjMvsKIq/cM
Qmn2csB24R/ImvgK59ncDhR0W+aFfjZ+IO62VqPs3wfXurTNaaDd9KxEGoe7pZq1gVFtK+rqsynZ
PMAEqr6DSVE5mlRbp6el4gJoAs06kAZfN3OK5jQ31PZkPgyyJMAjMDgZ0/dhWlZ0FLTh9POUwCbM
XI6uypw5iQYa/acU4XF41s96si5v6jBvJwYHIeKVgskM6CMs67SUuQyS1W0OqWHJXkzWYwFsKwec
FHhG2LB81MQNFXizDigd8qSyAU/npu980sNEoY5Xz7kiSX/Anm3oEtXUQ74QfJZVnvRL+WltzKxu
G2GW6bkre4bPYJuK3htJ2xRuGEomqzeQ6Cfd5EY2bTXnamztcil7uvUB+OxyQVUO50NwBl54Olu8
FGIyU/WGZqnzF2jA4/J+NAu1SdGzWjXL0fjQ+6XoloDm26mHOHMzamUeB/OgOi1SKCebQ2W2TLb5
6Fx6KxT1U27NWmOdd3QJ5l1STnxzt1Dba7MeBpZx3T1dRbeJ45KOXXgKJ30JQznGdpzOQNdO6ZqX
0BszMm+RW9uPzARas9xmaoHmpOoH2ul8UjARqIHpDJV6rsU0QMguy0DvYPiYse1hm7VPlxzu3gwd
zy0GGe9GKbLxeds02tmzQlo18mzTeZDomFZpUj/FzqJxfb7IucG2yMYVV9sN2TZYq7xPvRmAQOBX
VKKDw0mr24PlsLi26LvHzXXuN5J0t52XI8AObmauuD9uCzT5bO4HVln53PRL9aFMHIOSIAweh4cU
3n0rc0Gwnj/RZcmAlBbG1C65SYL1FxTLhRRVgsqlz2GW4CJfoikF6mqVjfWc5cyssKX/XJfbvPan
Dk6OsjcQARGu85nWWXJCmE8TPw+8mxudW6vw+nHtt254WuJmRVe6F9vy2pptnG8oWp1Hhe+bmhGo
LTYIAk3eAR439SYsIzhIgUcv0qEgjMDc9WINuA1vIarr5NdJrAJXucYt8BQqnRH1oDNjh9eDnIir
ztQRJdOiN7zPrhnqZcWLaXLNPBZ12rn6YrWhRtkhm1PbzXmfQHR6uSRihpBMaU/tC8IXPl2WWfD8
dkMNmiuYWVKzTRfY+8qOxQA2kXmSVgRYHlCSTkvRqMrBtSKRYmJeZdZBKs8dU8z/moRlrh46XdKx
Azpwu0xrPsNpvP6QNR1MismTxWjyLp0zTVTeDw42MHkppy1xeVAwQyo9jpvtGsDbCgUhy2dDV/2U
8XngL2d45+xVvbHeeFgJnPbQhOV9baH9JTnI41vVdFeSlky/NdvE7L3AdYfXnFoS0j432ZDy+5pV
kAZyXHNTv6vWqhwquOubQO2Th46V/WU7Kl3WOSXAKn87mr5GTV7PSCVgQO49uFa51qI6sxrqWFzU
MLZTQxycWZLCvQ6YATNBBTXAtjivW9OVl0pNI1iwWUN6DTUHlW+Jgdh46rb0cYyY3WBE3PvVkaY5
hR4vQ5PTsSXlh3bL3HgLqjAIcuVk2vHpgtyIX/CWyiTPgJmX5qK1kyuSrPGpKTTM3itfupKG4TIN
xuDTRmF9oOCeXfbGCxUGuPI4VuuHchNDM+WrSkjr81QhR2+SDTBxi1YN5LO867OtcXldcWZqCLHG
Z/D6q6s0g6wx29ZCSUJr2hxJNlbiYWxgOlqXd4hl8PethgPWC9ZClnq3raUQV0FLx95XKcST+82B
wW6bwbP5uXItmZ8FILaoK6BCCbhuB9vnRV55Ow7+c9ptdj4imFzKpnyeUuUuypno6X3TwdiNVwRI
ierlvCRkcrmDi8rr26Yem/4CzmPVkuYSceHeDgjOTD9trUxteiTDHPiSYzgkXF43WY+hoJ+rpWOX
a///OfuSLbtxJNlf6fPWj30IECDIRb8Fh3vjxqwYJIU2PEpJQQKcQIIASXz9s6vK7ipFVmV0lnYa
QpwAh7uZublapbjoa9Wh8VQ2ge0zUmnLfxDbKo7zta37jyuCCN4PEDnJ8Q62oMJXwH6epqvN953/
GkK892FHqcWvhQ1mtDcvNrzfRoumk0jOMn2WUirX56iQZn4TtGnbvlC4S6m7FiAEPcwK+/BrbSbs
ybzlVcrRlUXSCD2UhP1w1RikH3Y4BGwontYg5BdDCKOeE0joZHkaO7o0v+3pnODxEerb/U6sQ9dj
t3X7MtzUwa5sRutmHT5HG9LITOtYhCelaz1dz2GzRUdnZds+ca6bvs1cu9P+otNsnBAFTPTRQo2l
72zlXHs0agmCKXPhkARPjZ5q+qPtltUecfJNWzZAQEcyHIsCq5IoaopwcSq8npmt0o+DHjqGmJ1w
XRBpE/28DQx4JN6yxyYwXixoKrAxUrIPgVkXQM+2rQZVOj4FbeESt4iHoDYbvZxdzcSF8mvXoRVh
S7vbqPOtr7PeI/o8bem+8XwcZjvitKkrk/lYGXsVhmsTP8DHr3dtXg2iW+oyIYllD4DhuDmozbWI
hCuDk9uBecHDozZ9IspQG1ebAi3KbC1h1NAM10g+hbsUSU3isje2rg8qwg697P0QVyVnXqHYFZJM
15Vrw7MZqR1leyV7tnbQgpC1XU7hvtikoKh3u1sH8ZU52caDY40b2NjXmcUdxhcCwy7i240nSXTd
h6BECh4HSuNm0f4lsqhOfHhVzXE7fqvjPjGfrSATuSMdsmgUcGhRiu9qbdq5nM0yu+t4pbE+sWpa
EPOJdeFJspls1+gghQNFFquFpV/aUertkEjvhqcWuxi2DsqT6ThHKGruYmeYRmqVKNE4IEY07W+6
dqD+1sV40UOX22ALqTrxvWaBLyDnk4PMq2AXKVw3aRxE2b8HcrwB9ng/kWBUrD5tOBHh3tKPE1Qw
4I2//Hv//xtcfqIV9pWbm1O3hdMV6PXwth3Gf68BAN7Ov+I/tF+sQJ7kT3xsTLYaMj3tia4+/Fv3
/rZJSnA/T0M0rqcpluSSNp36dM6Y3yG6fiqy/gn+87ZLql7JXO+7bE/d2DValSz28GskbK5OHFok
tK7BzLEulpgGWPZ7Dx1jCIPvHzJtUWupsea3EgtpAWCK1MtvOdPpvGcBm/cIB1GC9sOC2T7BPzCa
1dWRTmOqM9VqKrKug8b1JkjFYC5rJ0mDZW3AiYV+795zcj0jiP/sAd8gixBL70uttvWUCpQPBzen
y3ZhKrK+juFC2qKFicp7XPC/YGjiNzjjNrVR4MxuTg6+d8FlJ8c04EUkSTgW6egBw2S88owXQBOC
xOYNS4GfQSJHAg5IzId7hhNjNSXhSzAftq4y80XaR5Rfx64K2lwP6JizJVvaILUABGbMD7qVtIuR
kGGCkE0WuCUbo+c7CAZXewuLgAbFg2mS6fKsLxuDQlQtqupSqsC2vOy2UYmCzs2+ImIi7tBjG9d0
O7p6JutTjyFEJMi62PXNllVdBUMuVLOo3/fjFHECIGbytWnysNqnsaArXIfKvg424y5ZsqXutk/i
Gn5g7WrWQRY/t8TvPvL3f/t6f/ND/zbqfZZ18/vQov/57f+7+e9JSD/n7fz9z89jj/7+uzv3Y17s
/OM/br5q8x8HO3z/OQzp7c+cr/w/P4QL/34nZ+P4X37zBwv7f2FS/7c5S//iL/93DvbntpZ/7WD/
92EhfzewP//E7wb2MUY9cMYJR4tmnET8TAb/bmCfwKSeJjSFwwWFk/3Pv/rdwJ7w/0STW4RhS3FK
QvjY46f+27+e/SeOAfxVfJ4TRKIQXgL//Xi/fC8Y9v/++3/0r/91T3L8whAKwaJYwCofJlRvwG0Y
nKxdYk1/CIH/DglwoE0cSbPdAtV7+If38r+5FHCcOEGnLI1hQonRFr8G6cpEkQ1bLg8iQSHXIBGH
e36oLsb5r3mW45neXOlNwIlXQBZ+xpVc9LCyx257/vMn+Skc/HskO18AlqIYJZHi4yWp+IP0zyq5
9DMAGTaqZvq0GxdT8PHIJj8lbdBPtxjyNPIDD3w1vfY62eLH2PBUn1rTme2j7tYJ5v7Cj7u50n2w
uItxs0LkDAb97iOaCKOoBPFV2fs/v/HzK35z31iFPwdIMYw+eMtQhdsYaNT76iDd894jFUmyQf8l
Dubnu4lFBDQ3DlOOhfXmLO62CFmhwTWsA5rIL/n4XnslOScLbx4DeymmhNCEMfZWV27FAtzNV/JQ
8eW7JkMZAXVql+pyrdxzGrKsRfY8saoIhnfW8K/HyvnhQDdjGg7jFCY4ydseFKtHLVJlG6Dt49Dc
hDyZHxQBkPaXKMrzdbAVCeIGYCs84FvrqzHoqoZCHHiQo926Yu+obYEvACks/+qKwPvgHMQJUAfy
Bwcl4ChTv65oWZfA7+LeJrkDo5Rb79/zLf5DpBGQqCUREZRhqk30tsEUcSgYEr0HZT0Fx7SPS5pe
DrLNo+G9QPP2I8UU00JCigE6CDhp+tZvisTSo3Ze5WHAlIhZ5hDLFH/+1v5wBQY+AHuYYMYIgajv
jfQJKpBoEntwNksH8gsDnTRjy6rf+TYEx8CblR7zhOAJsJEIRjEBYPs1ZorWSdOlsi1gZIDaDO1O
tLmLzbDsiSymXs99hiZ40efI7HAnvK29KTYe9EEWLGp96oDswFShn8Pw0PLQI+GrG+PyOY3qPddi
jV+XXUd3mDVCTnzolvBYO0N+i5oRfnFoDwjvVRzpsWgEeiaLPWn0IQmFXzLFOCAvNlGkmt3Ixjpf
LEidTDaRXbJmd/wpnhtiMwWt7gUq07W7gs9fuhQpaJethHJM9di0Foh+DKDUX4keE6qKoVGwgaBd
OG0f1QRhU963Ubo9RjHMJ9KsIY1dcoBgYHOSbmlEzvt+s7iR1n0wTUBo4WEXd9+1sd2OBDDOnbdy
fQIxhxtFLyDYt2ZjuMXNzd3XydZIsE3SgdBqq8o8xBBX3UxVuJiyEz0TudOCuCK2nSFHvEwUdsC/
qjv4tssuw9cbdNFF6HIplsDtNuOhdt+jWkcig+OjuI21dUMJ1FKpTAwy/uC08iz3yof9gTfEdVnj
3Xg74KZ0nuLc/FRNEap4Cc0xUskxnCSsrRe9HlAL9Ab/GrMbc7JwiYUt5DoUoKfb69F7fp/oZB1y
0Mge+GwaRRsIEQAkGeunQV/uncbVVl/XS9bbUEd5rOOBZHG66i9TtPeSXpBdhHNWh514pbwxOhde
hcAShAUW65QZlwwN9H7NgYwHe96qOaixzYLqvvVLtZSNmCspT51waY0xAqueviq6g3QdSL/IUgQp
vLJ2Guk0I37fblIzJqaAF99iMguivS6s4mDFDFOwsU0BOb00rR/A7W1hNxcAcvtHVMtjC/LKjlvZ
6DYBJBkGDKLPYV32XMlhrzIkwfNzrZ3UGWU28tduZwqVoa20vBDxViUlR8tBVzYDVmA2Ta0GkzJS
UInDmmSJIXAUB0Njdb6eW/qxm3z0SZBh+AguuvtOk55/FbAi1sWIbvwoXzhwmkyIYLxYUW08Yk97
fjHHkSKlwr/+2se9mvNAiOSblSnI39oI94q15afCDxUjEAGdeyX7dlldBng7NFm68QYm3gNLukMd
RShkFKgs0MdYTnuxC0PwvtZwekn5uGF5pxq6qLxJTPI8UY7tNS28r0EJtOFwQUFJLWBtMS4JvFc1
JkVDXXqlu2qvwaq60Ob7oGeQDA6jAhRGKCVAKpduO6KYQOF+7jJBusCj8JtRvazLcOqCxzCCy25m
GhkGBR0F3wAmqwo+wb5JonyKp86BZlZdd5QRKs68ArJGUWg5IkulkvAF/heU4r1s4pmu0r1oDkQN
1RmDDDnoW5f3ddQdh6Czt4nYQ47N2vNr3nNl85Evy7ONqHtIlsERvMcYNdnUh5s5TkwtV6hkO58J
THD6QTc7oVYSRtwqjeSoiAJ0HILNmNB40mxg2+KCVDVvTlNDMUJCYdTGa4vzOSxpy8D1YL3NVTHR
1O0FAf0/l9zynRbjVvegY2UF5H6fR6aKNLSTLqq+v9xAqzzygQQfqHFrXzgJ+Re4uID/qIOBpSfd
sma+gIVhHGV1beQCkQJhA8gu2m1FPEjDsmruaQhc2ZNbaqRu8nRIB5dtg1mbDBLNAQ6WC1r3IGbA
AI/CdqCGs6BKqvlQj/PkS8w66evjXpOaFouaK56bwDWYINJUNigZMAd7Ek1VHU2tW1IsVHZ7HjWp
/DJ7gAxlCuipv61F2z922FFtBsnG7vNkncFpqLMrSgZaVM554s58nvdmq3NVj+Yr3B4YL7ceHfBX
dm9GesEmsjV5o5sE2pWQYaspM9sCfG2s8mSfrct5NM314dy99ik1OiV5sKdTk4tW6+tu1pTkADPg
E6+SrgN7SVy13qyukm05bUQ3t7ZOiMtZb11Q2CTSVbajJwLMu6Lscz1YyuHWZ+XrpIImLrHTqySz
C6nbExtAcRYqmRHaV2+DLt/rxACzdqH5oXd42YAJ8mOQ8X2L7gE8BzpbK4YdSZJQxplC2vHdJr2M
cyRdbga6sPIEIq0aHp0UksI5G6StceyxgXtsZmERn3ZoULLRACnOUfFNY276dHyBAf4SZU1ENpft
Va1kFsBRWIPYoeIKAcVhYeh+YfjzpCXTmTSZU/dS22gb4bqewGKuQeuELXQ1oQXEjLP8fIZax6xa
6/F7ZX094FjrNblstjjxOYZAhOKCiJgCzlw79mFEAv/kU7dgBBky1e/w9bNXabKAZAJsClgVdV5A
cRL0651LdN/k8GuIvkMx7/VxRRY95araUweMeoYQY+utfJrQtQkya44iViSQObRZtNbsa88H8QOY
ZrXh0o0VSGfqLQILPyOBAPuyH8fp/Mer5eNvKbiOGITJOS0xZA8JWKN1R/SK0QmUN70hpOxGbN2L
bcD0iSaPYhe8gCkEAaUNaSM0CujhSzAKC/wY9s8Y0TPN6vPCZkTeMJ6Qc4AIUl8c9PMunyZ/Zvcr
jF4Gfo9Oc7+Gi79YOjZu+eQmz0oe8vA1dhTgNCZyzTQ3KBrrnIV+eZn7qEcHVABmCswhtR876sH3
90nkWcEVmR8VDlqClg7lHqvNpmFZMbb5PPaIcwJ10Vcmq/PmEJjIhc3Qyf27Cjfw5wZ+4XENS/Zu
0LezhLzxiNN3NAfIa+TXeeuJzyNsqZOdleU5Aiv/1LVMWnSDLs3NtPR7mos59Q+7qIE1i5XE3+Hg
toLqg2A95+0yD/miOEiIbquwvqtVPMmY70VYR4k8SNLy5cCMHOBcUoFLgAGwRG18PUGI8MVNeCEf
BhuKV4/SpSlNFPcUmoqlt0fjHCHZWK2ROXrEiqgc4bNynU4T8kE6h7zPdcOlL0PUP88ppEf+GAU1
/9zaZdtA0JimOYxzXHEQHR2EIFHtExCWBvZSnWPJkLc9m77Vu/FLoYNNA+3fIvo6NTtIQShv0qGM
YUgzZ6FScJQjXKWZ3nvUqyu60bNmitLlCpYMyRUWu5MFiRUQced1GkHPgb6nkneReq0SDXe0xg5V
OcoFNobwHa3uQ5BNotzJ3n+Mo8SSe7mroK0vqn2dp9dlksH+jKo/2lWOxCi8tGjMBWoXTIk5yEjz
9sFHi1sLj+R/PQY09vZiGtFE+jJ5p+PbpprQTOeGMNG3UV9X7QdwZfFyYZqFroAPVxdlZqrWz40E
hFGaBJ2K2TLOAzDDOYmWQrXYgaA9pxD5wqq2Nm9lK+SHJJiRO+7dEIaAZ8h+Vh5WbV/QqG6+idol
P7bN42Sqt7Ehx2DqW/ZxEUOl816w8IXhduvTQAYf3kST8eQScIdkJt/TugvylhqKFWCXatquZQW+
iednmufaowJGYt6p3qWlcDJgcaEIh+YFkbVK0rKN5f6bo9uZzFus/7LMNfsYAX7QxxaFjsuIbKfg
RinE2wv0Y1ZzjgDO4Qk8Epz2G5RYC5R0rQysPDJX1/Ja652sp8AgjLTZWnv1iBM2QJXdoeH1SLXv
6zvnXLRewD0SMRuZvujL2fIYohuYoa+XApiuy9p6mIZLZqZ5OApd1QhBkFB1iK1V+rSAopefB7TU
f4awmabHCuMA/eWGGQLfUjChExhfdFhcxGgsr3PT8dlhAk/TrPyoPHQtoBxC0hzOBP9YmmXbyQeU
507c0gEGBmDQgrMHCQx0A5BIDnpyMXSEPcBbRY+ZMxUG4mRpz8wPWrfDdpxnZDsQcNKqu1TEE1kM
A47oO8wr6+lZyU3548TFDJas25IPAdGWFakJeLtmEBe0/JQgT4xfZIhvU/gVE+Oh+cMuuUGbJwLx
FNkoLOZ1s7IQWxC2x3RCR18ZsRCkUhufvf46OrD6fsYsmQ2llLdQ9oC3TbLUdhhlGK5DBVLD06Au
QdBHGFdH4h07KjJjl5OYzAZvdmuhcur0UOWz2ndXLnhV9ZcohM4ho/ANMg8+YX645skiE0zA8T3J
Y3h9syKOBvE44E8eXGqT+82aaDz2cTh/473w9pJDAdt9GFW0fppqmwZHBIkU0sd0hsX0bvqF3Nhw
dGE5ic3jIORLvb7QdWdQlTs6wl2itxN0EQwjKx+WVg5fYM0vyZEmVfpKpNfdJfMom25NiG9XCHzf
8FK0FNYX6zzX5A5Wrq0/QX42ItkOE7DtOGf5tvdFoKHuKpeFD0sWDzB2K1ZkaluO1KV7JZ0MxssJ
ZANUqdaver0aYSYVFItkGgliCG76qd4h9LmF5+rSZVFgsPqWEcLVkqxJw+8wap3UV9BU+S3rJMCi
nFkpSZJVw3jOfMKK9C6TvrfVZUSh9fo4MrS0Z5BquN8YOpAyJ6PkI8hJGAxImNI+h4YL9xhA4tTn
dF+DH7pCIX3w6WS+0SAJUIoPu7/EgIegPUa19Y+jdhoaNNXUP5aQrXNxHigYfe/N6KqP86r6z/vU
NLLwXuqbVHpa53xsIXFq5xUFDAOq8B3+ZZs69eEgX6nxU5APjebjZzqGkS2gTBPDFWaBBC8BUqz0
tE0jtNzc696hRJE2vhqgSz7r6mz7zIYlTfJ2hbjknmFiwXPHu3q8JJC+tSf0R6oAsjCXfJpgjfvJ
6WpxB1SuU5UtPJxg25wwCSEAD2iAmpptaxa7FfloHIPxvziHrP5ugQS4yymao0nezw7FBXRM23XX
I55kjep4lHc4dPBsUIoI5P4jeW56hIg8wH/+2IY1UoCm5Wa5YfCgHR43swzyPoSxJr1U3i/m2gWo
UeYsArNbX+uAjb/xMBIAWRbtwLkPqCSKuteQB0Iq6IfDSOPmQ48yYskwu3SPDkx6xXOAd73KHZ+D
oJwmMGlAghyEgWacGL1ph2YnV7JGDfsNaVubXuxTktQ51J9uuYYR73BvMQjM5SDbYxR4PraszdCl
NXwzcx3fxzG0WkeFxpsJOQklr4BjQLvjRFzmI0sURsOomCG6eAvxchnh9F0QCaKhy/QS8TbvJ8hZ
b2BaBS01XHOn4ALNF74Bc4Y0Jqv31WFkg6hC9FGhIL3f6Tj76842IeR6Lujj5kU0tX7aoXxUF64O
UHPt2KocihUemktRwysl2wNdQw5H93jJkcQ7l0H/jj240UpPhVD1OmZnpP8LVL2Qq80B0o0MPpLR
x7VR/iXuKP28um7C8B8MuGKAi3ZssKBWAXqM6qaWuV5a393vUHRgB0SQWzvu2Qgsool9xlpVpzle
OvxOqiCmHtrwFcKDGsVVlG3LlHwb0wj7t576+oZKC7GzqQayw48bdpMXaDbi99UciC+Vb6qHWFVV
dcWaoN0KaPrU0TfBqjNmMbqgaKM2STKUOGY4zijpL1MGgfYlGmiae4kxGG3G3eAvmzrVQdHEaPeH
rndDFa3xrlnWdwYo32b9/CRdOyI1m2CGhvTamC+Qx/FHhvlQj1Xfetw4pt2YnKYG4rhEre6rZnr7
LWp7PhcNoEtII3ppTmTCiK3cE2yiklTj9KxFEL5EFb5daSjHpEDtNpzITgT4j+Tu4Ag4o3vLXSdz
Z1ao1CY1ZzTZyX0kBtheBQoWMpnZJ/24TmMC2X3T320DQN1sXsL2cwpP/Q3rexumYsZEAJOFTSXu
daSGLcOktfoBim2hirGBTGroYtNlA7S+N2jpQBEA3QCQPthwxreyqxZ+dOfxCgejLOzWDaQ6PIdd
+ny/cofDfZtCBenOFrzKGrLQLGmiOijHZKe0wDjLrskg8wa5rJLBNqcKenFe8gZiL4jQgBugSqoB
2BhN9JajvErXS2wfv+MjEUQWMzAhc2BQ7JpbI+qiDTt0DoTzrucMdpuCYkBk2qC8mOqfepsBEoQ4
ThvwWc36hfQRafJpGOsL5se4yc1M2eNYxeKLdVCKFZti+LhJvE6vog4Q9NTgh6XoaQUs4iyI/KEc
M9/SeZp12dtGvqJPG8LTiKz986LT7WVqwv4unbpNH4KVL3cb1DzN+XwyP4Y5Cl6cXSdIBUa1d8Cw
Y/5hTBLyzNGJg3qS9MJmM7Ve46QOLMJDvELGy7q12a/iah8/LwBiw0KSLryUbYU2D9dVKMdpVSXf
ppU5gKxS+qt4mkBOplKnl/AKhY52QlrQZ8vgdwYDI8wYLHxk088A8ADoJqnpvsSGyXNJO5AN+cmc
pDlr0ZSSd/U8fjN7O+w5kjE0qSRbNe2Z5EDAIKaOJ4JvuTudQRo+/AY77vSEcTVO5XGCcJ1HHbQH
pd+H4cMuw37G7h6RO8N7ZZEFdHdIqpHu2CZfCeLqZTq6/pEKwBpWxTjwp7ART6pm65O1tN+zGfrD
EnPqQlJsPkLxGC19GgBf7tx3GHWAKpvEimxwrL82aM5A9m8C9Uj6ipYdxIKX8Qxh1hQNjYWkM4gg
vB9TaOA6qP8/CaR0kA2vSt31SZK+LAAmXnW1mgtKITAsATgvS07RxpGfS074mh/qOLZxHqV6vcME
UfbkG9fdAX6rrhf0/vFsgl3+F8oAJUH5PvWXvt7Edx7CBwvjwlg0XjGlEWT8qDwkvUt4BUUzuQnW
UC95EHT+e9Ak2ERAbs3n2m/2ZbRQUmfnsUZf03bboZWZBUgSybi6RpXfgZUG8FzDJrpbk1yl3nwl
YOawaUW0vaZAM/C/wZv+Gcq2CARjiGQiD32Y/sYWh42HfTdrNE+AlywgnRu/sEB2PidrFTl4QjcN
QQBcxWNkUdviVNP2pg8aP2CNIpnIQifiDsl1gtGHdhknyKTMgNzazf13qNXFxxDc3Z5Zt/dPMjTD
M0W7D0Ff1NabQuybgFxYKuryrTJ9UwxswWwi1crqFlMsDZSnWkIL1HRD+iWF6E4ANKoAc0SQoj1E
otG/1cifNITF6oxeBGr44aN5e4aRyPyZr9uAncmaH4AvEeIqHqZopkrZfK1CP3zrwbcNGR/7aoNg
mEQnRZyaynQa5LNqjMVIupGKB1YrlMfSV8uIxQcpQFGHSUcOXAToy5jjVYhsSNZIl3oiHMkvGogh
ytaMfd9ruvhcoB/nuwcKgr26Ck/zVqsapzmmaaKLZ24ibCX4Wn0TmIlOcX9uvBHwEYGaH+h+UJxl
jTaDFFTCs7iSnYJFCl5OqaD0RYbT4iwPYkWx52Lq7teJICuCOBjNHsvcpx8EKvRnH+qJZdhEFSYG
zcuQJUiELdguiPkzTll4t0cDf2H0nJThOLNxZhRZebZCymHolsGXYvs4bkGCWY6o2iCtxjyLOpvs
ec9GDBBfSYitfLmiUw6dSHaVYTYCXsAzQ8/cFx1e4pLJwao9T1tDI7QVwHCg2OLdoFXB6UaWsg8r
ewG9NTV5wlCO3CD6x+9NCXqjV+NcQDQCTwkg4OiTIH/wR6tBenEotzC7WCTl1h6V4ic/3WGs36Vh
zzFRRwonYfCw5ciSok7TPOCmtOQKON0toUMxsVtMb0VKkBS8trAEOTlAnjPbTn2CwQTtX2pGx/1y
AqFLQkFlxhgI+7bxOmjjubN7T4odgu1DNE3NVZvI5T3l2RvGVkDHQ4SIcNfnqvate5BCbIQxeduV
dAr0jRKkeqjhOfWXjCvwLDHkOiEuQCMI1KLoTZd32q3GLfvYlylAlgxt6jafEtATf43mPl+FYp4I
TlI8lXhLpINycCgYh77cKhBbSIHA7qO9IQzf0wa8pbnPF0qgP0INxSHreNu/u6xpWld07svBjSIj
dBpyz/oVQ1JC9ldXAS6VYiVEhABTSt9OYnFdBxwswJtrMIH3OQAPetsN9V+zVTh/nyjEF2Ikoqlg
yVt/4SlZHEnt0pV+xKQkaB/ELRNBcPjz7/NWUiEAm8Z4aQDlOZq43qpElBGMEs9VyZfOP4Xr7G6A
UYlTgjKjTFq+/kVVys/rAW9JoO2Bw9BbB3LIypHQ9ZieraMZ0NGuUMDEhL8jQf6nTwWVEn6SJSGE
br9qHixYfwhWMEZ7WMKgRK++vmAcxQsDVnehoSJ7Z5WfxRr/qCbCwiMEDwVBHRYGi89ij29fH+RQ
m//6P+T/7tp3HFYnSdGfT7eNsdtwjVHGoXwE9BLcDU33ns3S2/WOS6bndREmOIwYC988IoxauwYD
3HgxjrK6GIMeLMdioFMNh+Gdp/vjpbAOoVYLkawkMYvfCK8D4/c43iwvApoOOZs0xB81EM/Nde99
uPOL+vVF0pSeYyulEWVYI7++SBxh8b7gcYugagDJNnMSF/NEUCr/+bL/Z9dh0D1iOWIDiLeTYzHp
DD2RlWRFu0bRBUfvXT5ugr4TyPnbN8d5KhIEchwXAnT9Wztj7iBtSdFmczBQ+173H8eH5RqdOA/k
4A/VcSv23B/aWyKz7Xo+JUd98oU+2Nvpy/wwm8y9tk8Tzfr80pVr4cq9eF6Lx2ud0yI9gs7NwJqf
ZC4LWA9lkFj0/uCz/dB+//N39dNB8R8/yt+egom/PcUfrI7W8ykOXWJ/6D7bUhfzyRyhR96QFd1T
6PM+wj61rIvm1F+xd7RyP1WQf7h0AqUEpHqxQPrz63owMgXnzKb+QI/+sL0oIFmfk5v+Y0KO7RUA
m5NP8k6Atb8d3nH/OWsMf7nyOUhBZPpTIIgj/82VwzkGVxFCIBjf1A/7TXW/XMr77bh+euflvg1V
iFG4TgovB8qTs9XCr0/IjRnUSFN5iLIvU6avoyzM19wVY56W/lg/pUd4A7yz+sn5bP/DwyHpgmKX
Upyc53X7D/FqSEWFLmbkr+zYncZbfrFcVAd/qW7ji+BE3utKODd+vL1aClFHxNCfn7C38wmCoOVD
BOHhYc3jI7sM7sbb+cTyLfuxlNDyl66ElUNZZVE+Z5gq9c7D/rRm/uPl/z9557FcN7Kl61e50XNU
wJtBD3oD29OTMqUJgpRE+ETCJoCnvx/IfbpLrL5HcQY96LhRAxUlkhsmzcq1/v9bSODwpZsOeYtf
b5aA3otNypk7mACnhpudzvHRPfpRfxgP7A7X3oPz4JDyrsNxs4QaZ7ef+U/th3Xn37g33jE4JlEQ
6Wfv6Pzmybw9539yaR/XByUTXS1Q/3ZTQgvobYIMtTv0xt4vQ1luRuwz1NpxuskNmiVyO79r/fsG
Z/7bBSCnNmzCWeSiH4JAj7R8TtenbAf+8mDtgghw1MkM1cHfFjfwDb5m5/42lugENvZdfGvvzLN2
1CN1VT/Vd+3JPnCg/M3e/cab/eWaVpVngBeTP8Cxf0Rtp0bVxX2HrIRi28N8099qL/2jc25vi1Ow
9W+LO7FtbpdPlHDFN/3F/81weaOWfvh4+tFZLiF44Jksbb8OF8k6Dmuk1Lb9Th7bY3yiGhcFLDXm
Tt5UkQx/s7x+XACQmkIwsQgkTce0EIX++nnpkJqk4+ZsN4d16N+Vh99BDf8enFg2KtMA5SyaVpa0
Xz9Azh0aPa4hQgRhPbDGeiSSNLPaFWlafBtKgXLDGljO//nKti6Qf32O6+uzCZTxJxjsgn+jw5Zw
DtVMvUy4tdxRLzKODbbG3b/+KS5OAKz5nMwC98PTy3KOvd5S2FHqt+OJVoOrN7b9V6PWt6G4BuJW
wMmCwP/XR+hMRUpvhdzG+Og71Bb0MSxzTKD//F4+jgQ+Bcm2a3q4PXBmmB+2gqwnjTv00orcFguW
u8TGjv1PQGFInKjSs+Y3Uv7/5g0FPDWiE9v1TO/jLuCoxlFUYa3IKI1h12rB+OBBo/n5z+/q78MP
88k6jwMk6Zz2P2ykEOFoITXxKaSxzduMnMB+cJruCc+ndrcUqGFS3ydR9c8/9WPk5WN5Qf1uozFk
zXc+ntSDYQmSsUwtInIatwYJleLY7rONGOX8/lH/fxqYcP0JXEiYj/i/fj7++Pd/ezNi/OXpr0aq
yz/fPFc///3fHgEhpf/nP6qfbfb9+b/5yYuPybL/8GyW1MBwXJsMx9o/5L98TNa6UvhI7oM1IcEg
+YePyfxjPc8HgcP6yPRY8xT/8DE5zh84DjiRkF0wYPQRPv4LPqYPcS6nCtfVVzMVgRHL/99OjRjd
OXTkhXugRFMs6IE6gCcKvV6mtEdYMYCLwwqcEgqP979DMVAO3j7NcOOgK9drt7jO/Vx02T6uJyZD
OPD/PkQiwEpBi+gQ/lMfLR71BGzwWYEudZtjaUVr9JcXcPe+zP7Vk/XBXuQSMLOD8uaIK9ne+e/X
FQt0VkWHW/JoczwCKTWTyeEC6hlHyLXAq9z5cAPd1rzVESXmr20gYoRRnWGPD7rIm6HbLriIZ3uF
3vjuaVHKaV4Q7Oi9f0z1Mm127RIn0ydQKXkx/+bqzV9XQq6eN44vh2DNIwZ3vA+rOq3PZTsPc3ka
XTvh1y9UxuxDJ0bXcTdpmvcekaLtL1gGlOXRkfUaq3TKu+o9T+SvTtBxzXbRmsW1iWyB73adZTBv
qW3xDzR/WTHFiajzV1MKr7g2ar73dhAI42zOtjQy1EJt9FEgbpDYsC6a80BtYkMLP1Lj1MV1KuuG
4Kl++s17+3VNXu+ctB8vjRCE4wBP4df3htJ9bGw8EidE6an7NUgXOm5E1ATM5sWeE809ZYJa3qFB
csX9Tuli21Sp19sy0LbZh/e7zjNv5HolQIB455ZY93/X/Znp98sG/3apNrPS0wMSSH+/VLcgE+oH
U3BsKRY2L1AfaoZ6PvZA8nk4eAVEBDUfDtNluvRTVYl2h8hPauke+fOgPTrwnvipwWBuREJPBmHs
tHGMHbmHPCY6EfXzpNFYxMuXITEPsy19phA9oDprPM0TafM2ZAaBStmrYi6YjnagzC6grVLead0J
rTJ1HEq5sKm929mrYc5tHXQoFDnzoVJFsxMwVTxjByau8YMrrSv1ttrNGBiUc222RTPOdyRFSB1R
rem0HpFFYBnVdzJKpmgPrBjkYfb4B3Jq8l3reFNwxkDUwdXJ46Drb6VysTeE72sGMDRRadcaonu9
3bmtGBvUMwDRne4KoWwW6PcJPiCIL3TM4qWjTFwfkz0IlpiSuj83Sv/BkRWpwKRth9Q4LKM4ZOY0
z82enh3wKXaFnitlMpUn6A5b5EwatxQ7pdZbexaBNXEzaIsj6qOjzcqvrovRUZXaBjOLQnJMksHR
9Bthz6lQ2yy2ZGK/gGcqarLelWs3L/owUxXYyk7x6ntVrF/0TTVixbCqrI/LATlADfNlCIvEntLq
rqisCQPXRkv1ZDLPlHb0ITnjrlky5NWlkSLiKwKrb+wdzg87M380HdrQbL/qoEsk69NgaNiAVNlp
j7hZrHw+4mTwGA2JFjht+3nRkLUNZzuu3XG8Snox86xsI14HDAgUGuaenZ7oXrvcQ2G2hqlIfSOk
N1/7YsQ0f9WDCLMpRkCGcMvb0e6rNKfGknqjP8kNw8zukAqWXVpWX+nBG8zVfWB2WF1vMt/yZX0N
bFCD3jK4wajre0BJVGO2IMF6at4OS1ZXhMJndfZ3eVIUjH0KqC1jOcVJBejL1iwp7weDwee8IuiW
g7inhpTx9i27mpgCdqEXfOVrc9oiPsf06Rgh2umy8zZ6OQBkidJy0Mtirzfw2HLS+tIurpFUrZua
qZx1ytiKK8c4JNA1BOHSmrVd/qgqgGLNbYC0vu6iDIEPiTeEn0sRY6Gi/eLw0yaOF/NNZrlLi5kA
yIUhT+bQOU36tUl0OC0AFBTT/GcAzkJLt9iLBP2+ifynLPsUd52eVa9NiZay+YHAyqjrOz8vHNu+
kkVglE1o0NWmyg6Lo5c8HGfJWilDAZ5KDqFEAB/XFcK9Om7bmyGzxq79rFgwG+rV0Cxn+9S6gYXC
AlWe13tyU4/N0FbxRpMyLUjUu1j5xA8Abizl92gLgibYjEFmAOdtDCO1rD/twRipOGGUyHpvW7kN
H37qS9A2QYLtxaCp6FcraVCuI+zQKkPTronNdakejaLPjAkAPnxt6m9pLXHZbQCciK64nlrTd8V2
wfHgsDCi8iZYgNuw7lo0FZ4kolZN88vPyH4GhCiCQtSSR5Rk2XmhM1i0+ZFOD2fnz3pKHSTDlH2p
NV8zbDUdMBqthBfzVmsaxcyIcckwJTvpDfEaBCcr2rToCiTmN5rRu0BXOm/pWnfvdtIWNKWktds4
7zCCAd7bTmz6FTIKB1mDddvYiATzHYiRCmiSk3nz2H0bej8xnS9kN8vFvFPmUnlG5ALfhQnjNVM+
3VRU9bz6NGteMcmHqfU9Ri/9dTMmaYzjFVUNYCZrxAT4vqJlLVyEGvxTUNCyKuzpc8FQrd4neUMh
lp/nilixqCAva0CDRc3mj5o27fwbtEiESe0G/Nj6PYVVu+tQh4fEHxzqB1ffXn73PLZv61eLoDTZ
2qpQU7sdh3Hs5U52vWaZkd2isMjDqR87LrgWjeI7DVlNQXEgHWqXd8AvJ3t5FX6DmkkCWhyKNr8R
HBf5Ts0Laq5JyZLlsmlKNIG3eVYiPKE+i/g822ttYczxkwk0BuKgkVKBqa4y7BcEJGLhp2pzXG8A
2UPHZHMnCyvHdVegSYO3PSg5fLeauDHmiFur82CrpNlrjwGCGGbOZdFw4Jlrj8C+Gq5poJTkNrv8
fT1ZdB0Z2fYf1/v+fFQ1snWvMlxwoyGKX+Exz6EoYhzI6VVjqx2gMqMxtnUZ0zv2ng0EMWIIUDGo
rXttbFyRXAWDh2rq6M9kjvtVGuk4yTbp+sm2duOENMI+wJ1MkFoEpczN5iHADa+bGG+opWN6GTBc
BuC5tLLoQnA8ZPB3k1NN/Sv9AYXpfhucLGjVThV8hL6tan/yxqs8MGwldr6VLQhkZg0LwqvVc+nf
vQJ9Ltsn5SfARLUPOw65yIIB0mJvzHdLb5utu2mC1jwKkan2MbNoW34uSJmdfEHU/pOJnngns2+1
8ow2yLKOA3xM+CcFsvwifVhEwYO23tfVzLUUy6vopeTyLnE/zMT1dXZBW617+dLkXrNbyG/zSoiG
XF7u+zxoKOJ05jbIMatYt5U2JnyjsB25jv9ZMxgZC7wAfUsaLYaa52bjGkSpBAJuT0mj8sxml0ko
wMaNX80mHzoBCuCCMmThY7cDyNday7YYTDNGjjTbGtOttrqJb8m7ROcPkKVrQJ1nActPNy/rx8Fr
W5qXNBdEH/oM+bXZIRpIuThgtTn3FI86IYs0l/UXYdla/6jfQoSmZkATt2WVhkdjSkeaJ0QjVjd+
CtT4+m8iaTs+5PIEi9JPuBnDRRinNt1oKx4Plg0GOLYXHoGOxYnRu5ScsdrP+DnXFUD3mqKV2cbx
oPNBFzfgyI5nHGuBTkZTeFPh7ILBqP1xawRjqZXPSljQOg91Y6U8Qgn4sPL4uKUwwD15SzsjJRAJ
BoCNqiFgJtuqyNenfPn4MecUwMqDBGO9/2kxem0noX7Z7WMi3MSfo7GHbagjn8In5kba4qWm9zmn
fXcgEAAT1yqMrDQh53USNzXuGA4WyJZsPwYx2vSjmyNOw00WkNdqT6kNNzLZ1f00OvbuMpaqpQq6
djswvLthB6Nh1OU+cOtWLo/+OPu8qLIY7WHamfXoi+IQDDpYw/XIasi7JvbWxWGUfLi+1YVpuns+
jUMvlo2KC3Em7HT/+YxaDgSMKL3P19OxRm6Rl1e+j+3LxJ3Lej3oXsZQ+z44UN+vZ+H3ATwP/jq8
sqHovGLbLprm1qdeTut4gG24hmwB9uXiepASTSByFTcpX3DhrEMEY+I67NO6EOwh3nsMjZ357WTw
/rT0twW0S/FGcuCuqjVikijoGeeXZya6RiFoEs2s1LhJ2sHGzzihnuRbslklbFmXBdJ04pbnU2P7
4ZIJ+SD1bNNgNaRvUndYb/99TszJvAAEcq3YTHCElf36qVCINS5WQ4DDV54p18X5Msgtp15HN77t
t0tnXPO+vQz/2XRNd9I1SzC9h23ELvrUh5kcGgOTt+3XOVW/9597XzRkma37gnTsls0CEfM6i9u2
ZsJcRi5cioVrTfpsHeqXNyAdbuAlJYZoX4BuIBTbrzRjXvBlWXh/kmo01pu/vBqEZeuM1WFhe8Eu
5zhLTuTyYy0ASp4PmwNFl/WUPndlKPRyXUD0tzXyMu1ZaHByXpY8XNWMNyBW3SQJvhczL8P6fc24
7Gfx26Hn/RDlam3J1WCcqGf3Fhb5GtIqka/zhEyAxni/rLmXp58GSmu6Ha+37R9N3EOJsZ1rlp2X
EkIBvyox/GxdZN+vE+HDupa/v8DlbUKgUlxXdHKZFp91Wduwla8D1m6ndSpc/pLK4XooKRTUtflI
wml9xZeUUj2i92vDGVYavwzCxLrblZPRtwQaJlkLNim/tRLMFWhHi+vLALlMDB+LNLfm2kvAg1vk
uJ56pZVwdHbx5PGA68xYL89+O6NdRpC3wrF9PswmvuKF0A+UI7OervtB59cIamEJ6NXYRo4l1odw
Wb/ZK9a0lsGuU7QduGwnBeP+m3zHr7VBd807EwnAwiD9TOX/o1LDtjM3zTzL38+EFMS5S2JxG0GW
rR+dvO007y+jZPDyODs2RZaiFiIZ8zSugC+sOweqw/l3xbk13f5fBYw1v0GOEmaRZa75eKbUr6mY
HtIeKMcJhJpL76DXQjO98QGX8axVrAVmYqOnHsQQ7+pS8KpSzrnFdSM1z9+xrKJs35RdRe6oktaa
vDHd3vxNB7W36savlwjdgyu0V5IQ+oIPl9hZ8CsNy9CO70/KxnXM+8uoqfGMdBOLj7efcFJZ7lMN
dFgBkzS0dCiOsRPj0YF5Uc7BYh5iW8P8t/c5SgTWjcnm5Kiooy7NuXix5OTg2npfuJr3vd18S97U
iU8koFV6YHWh5xNdzgeU9ORsN0ikOpoOXLZ9dr41FCCXxSSnK/s6Rt9XrZz609vauiYmL4tM/z42
L19dpkD2flQqywbeDdrkRJMIN96CIcLJgAlHmmo9NUDtXCfqZaF1fe663Fyuvn2PY7RFrQuc7iZr
UsXNMo2vGFKAl89wetexNPrLuvrWhU7v3NADOsFfXlZtB00oP7B2OOIPShD9ut4Jfd3JGb3rVwN0
z+bFECOE1dNl0v9m5nzMkQLBQcMK28sBaA3K60NdhSfvJGUsxQEudi9peNLAaKl3XWmv55QgNXMW
+ctOKd+POYsOivflcjrKM9ztj/hf357/+/ngPVaL124B7T9+1obFxE385urX/PNfRy5VGZt0PslL
Ev6UJ9e7+4sCwYN+3kAMLA6XtMT7UHLfD27vmfRLssuilDOBzeRxc1E4aYpED80l7sDUv13U/0Ah
Z/+zXksf3f8C9NyaW/9/o+c2xFxj9kvRZv2BS8XG8f6AUhUEiGA4aa91mf+s2LjBHyyP7GQ+xRwS
9Wui+lKx0fgn9H3U+1YuFCXgVdXzj5KNaf7hBwhomYyUct4UB/9CyYa6/IcNBEUHYDycxi4KEwRC
H3WfvhpbkxqAzuG9RUURA2ev3DA3wUBQ6MhM9aS9gcG9ksQY23DtLlFLf5D5xZl7+yVJZOx9640+
J1lCarDH6u/O+YZ6A3iYUM6rfauvoYD1dZBmO50OWwOmkjxAMUI4McFdwGFh3K4pLRJpk1TLxsEy
1FzpOqJlXM2I4yGSo3S+VrlqBBDl1sGsjo9qmcD49PjVt/3YzMXnsm4aEBJNTbLWbj31qirZf8uT
1vR24Ek4vs2euxWqyCMaqNxMujU9tUMlYDniFc/y+lYb7G5bVAMB85x9BpVef9eU6UTd2NaRl8wv
OlnKM0HuKdGTOCSrqUP+4DTM6RX1USbFRsLlwU+vnfELyDOGXZZ2zOo7w4WnPYN7cTqnvLUKgU8r
9azQs+x7zodZxMGridbIeTuW/XizFBamBMhXERyoe/rluRiz2htnmNJjn87t44ANfYvj2D+yU5mh
MQMCsJz+J+0qpshovFssOu2xGbUTTWteDW2+x6O3YNZMtB0B16cSuMReQQzYeXNe3xul+RLkOfUb
2lhENma6T+QRW9SfldhiD37REv8b2Xfk7qZe7119+W5xuLzFhSG3Jm09COOWKSpACG3MOhsfi2D4
OjMJHqTkVltfG2iSk8SfCnMuvmWMgEMmXbnVOhcDLczn0EgqcMK+p4bpiTxgqv9QS1N8Nkcddw/O
jcF9JOvNgS6oYuvUkWuyfsQjWU4GZK1pYWex7Zo3eUZOayczyDR72lfpV8RjZKSDMmnSUzr43qM2
9cIAxD5rY5nj4GgyQ0XWaPjzcO33BHh33ozrtN4CIRKO/yr1pJ/nq8QbusC8w96rqYTeCb1uZCcK
FtRp7MUbmz1OJRgLdrIMD4ku6/ns17rRkl5vjUco3eazt3h+CMdoOgxAC++xtwT3owJvmpkORKnJ
xS029nEaulnvfmXYWuGiDf6mRoNMuK5X/SGlLMnZJpevdGnBHUoVjlYsiLdOSiQzCSBqk922lnGp
dZ+7jE049HLyzwUo6zBJVHZjTNZdwvk+IgVbhb2v4bwCBpci5oxzRrEPZ3k8V6wXSJmMcpbA8+kI
shw62jSEtPLTzgoT14rMwW0S4461NW1ed0wUlVncdFcd3lqaZElo4FEnprgFcF7MwUtAr5ND6Yxk
olUaw6yxkyQ+DLGWbOam+5S2tfNNUzUutopi2IYTjdrNg0zv7Nqd94i3jW2gGcGu9oW+s5u251DP
QRE8gQtuyiYdX2dfyZVhqupFc8T1oUVt3izUHdt4E4C6u8/w4546u/Jxvia2lfu3HdK2c0sgcJT0
Rz7TeQsHpE5ujHpN+5XMqHaue2VFqu79a39R+TPoArEpJoY951UehpVwhHHWb1k4Aitll3u/UP6+
6wyMJUXrZWfENf5eB7O59+kycgQbrVM9c5YNNKHgqqBjxk1Nwjqqg1w/6LjZzipV2tm3LftT5mAk
onkOjsWuLbfzkh+7dGoedeYJjBw+EhNN82jPQHT04O2qgs9Jy4q1UWTm3YjXwedmffv17Q3WndSB
XS5W5Jvrb9Bc9bOdWgHzPn0uahpfTMrWTm2dqmOSiukJJhDflqv4tqcxZWh4HEhTskRHMfY9bmuX
+2sUyUS9DvbOUIB7AtFxhBdf0RZqNm8bD7uoXzJ6MunAqJncP/14zp/fPr8O3PSLwnu1J5UhQ71J
gpu3Z1gn9fSkT1V/9Fs7na6T0km/6Ey9H0nn+NcCAN2PKe/1+6708ufOK6kKtEv+jNW3/UoH4+Vl
qsYqqrxkMDdkcVj6yH78WRjadOwpeT15FPseW86gn0E6UaMCUbTJDThBJJv9K0gsCGRNX70iX0iu
C9qFnANjCUIDm6b0v6CQp6HOUcZw0Yr1GaPJZqov2PlO1uTKPCWU1o2k3uAQMPHqlnLoT8AMu3Yj
Pac4asC3n7rMsU54x6Z9r9xbWHOPtNt4mF0BOcdaotpX29RRe7PsjsIbduYwHwbLepG+X4c65sLI
TzpxIm3H4Jf+LdVEBrpv3PnJ8mXMgjq0ioauXi49GyAwAHrRelDUFEjw3C54wVqM2UHSgVEdHLkF
SWbRxGPxqY6BF0uopm5oSmyfQTR0ez0VJGcoaIQuSe2NlzgJeDWGeKdc6A5z1z97jWGG+LJGEEfz
Z7R0Gc+/firM+NvQxt8dctyRIbRHo1XNDXtJENJuRxwQEVfbfFCMbo+leKDl0XZcfNpr9YX7aaqd
KTLTpfs6p73cepiLz7B2tH1XI/oUAN8pwqRHWofNLNy2/zrp3W6ZvYOO5bOaS8WWlS0PXR8PZ5oa
7DsqOqNyrQj8SHFrFpp3LZ0pjXzVAwDxMv+80lfCoui3VeWS95Lpp1gkOExVPG9U052aPv/S9Mte
uia0NVIz+x6Y0KYxiu+Znc14S9d2SrXZ0jnLt+GAdzoMj3iEUWbAfzTmA2irZjuAjdzqwUSXKhdr
lq38XWLXR3sezWjO3fIqKaUD976aohom3laUKcsgbr3TqOMw1+EKMV/zvTbN7nYw5JGCCmt1nYbU
asUz/LSJTbG37hWyiX0CoSukSUhwVzl982B0rgotr9Qj4Zc+BxnP3ANJsQ4FLsJ6A+QIxgzZy6jT
DUgFtP0Qh9E1gvs4sY5Egz61NZQCx4IDE3k8XG83S1eVtzBrqh1rNdZhY6YpB92V2i/tTJKeBqTZ
cCRPFEQEpH6OgZVtxJ3N/gR36kc2+vNNbBrqGrY62SsqJpEvZXWf6RC5FlKsR4NNehtXJGbY8tw+
igEL7lsPdIlvjynNoAS6Gj1vnyqobi1LW11Hg9ss38C1aXtvwMw+OeRiliVRx3Gs3NNs5SNYx0aj
m4FP7VV0BtWJ3Dso1qsf01DT2MrLtdu8bkeGaVJcGUG77FgXjePoUt/fuJOaACVpAV2GbBYZ0kMW
FaV+Nhu2Qw9AQA6UKEoyTYFJdNPgKltwf3sSv7SsanldZzVYxaKg/cMMpUJMevsoFFjWGXDa0fXn
JJSFN3+DNIP3vDSzJExajO+cDlTkOeOypaEUzXWc2tkqXIl7bHUlMh/LYVDM8Hv6SjobnUg9ihc1
30llBvcSFjQh9LTr3EK7UTRi/s4vLu4CcIMIEVj/RxBbn0a4Xy7CPw75Wn5cVHCyAK1EbjHPPxOI
KT986el7MB5hA1QiyjDmHrI8psgZx2o/GbliQ6QpD31K4574mD3Jz+PXoKrooF562E2z4itp3u7a
aLP63i5EQB6y/txkdPCSqQ4ppy3Sp4CQMeJInB1dmiWFVk8A2s+Du81BZm59T7yyoz8sJqoieouw
oun+DXCZh1gnyaRIIzKJlDkc2pbdJA7S6p6Sd4asBkohlFPvC/ycp5zQ/pQ43Q8vGL7rpUvs5aAF
EAVUuFIZbGaJSUGf5RIRzmjmL67Kg4iK27NHMnWnFsTmxtDctsyxTYFzeTOTGz7U0k5DQo0uTHwc
oC62f0Dx+rIde++6EsK84ixS7cVEtw4Im+lnbEQ4WmRQ+mcQX1ZYy6QnVDYBjzAvh7RWu0mwjrac
7TZIL+Qu081nn15fBwIu8dyvI4Ig/jRLgBBaWgfkpzJ5TyVSIRQqmzPdaAWvyYwjxAvjadBhnWX6
/DgL3wUP2OibDM8P8CIF46K0qci6z37ZfcqFbe50r1ho9gbNzChcWApURCnrlwWTfpEPmkdM6Sf+
+lJ/WtQrNmBohrukVtO2L5qfdDYg0G2A5raS1kuIkMSjmXrD/agJXMl0NjJPiwYPzmn8nME2xJ87
coIyIsCCz0O0tMEt1hyLrLX3gUfHSthH38fBBJ/lDrirSLdsQCPEx5Gt7lBa2lNRW0dLg/0f20o/
9Fbm3o5FQ3NOY9lraZWcEH8nUVkLNCF2Gmw69Gs7BD9mWA7dslc8xg3btiW2HNLR9jg2w5kIPOqz
RX+IgZV8USsCYYyn+1kMzwaEoU8UCOER2/Kh06z8KUH/tR/tFnFELEmj+/qPhirQKSAjFiHAIwWv
3S56fVN5Yq98Ii1Bfi6kG484Fm41H43aokllkL4UU3al81y/xIbr0ECi4T3S2Kwrs+CEOKHbtHFn
hL2TzJFTduV2NNGxILQyV5iYtK+U3YsHZfv9rgG9Ec4IuTaFWehohpb+UJRLvLVFEpzHOCE80755
4AauvWCckCVp488YMuNn4KpVBGIxQGyjnAPrV8JmKeOVBiZuykxX+8V14mtlaGxhsY/fYfJLOkAQ
88Q8TFdXyR2uKEHltHNus5riTOjWtL6mX6C6dvoiBVZrOdeOZcJGq4b+BppiEaZoI2h6Bts9A2i7
b+VEwweDU3yY6ssPWJ4rzzEd76e51PbTeg4lWHE3s93TIAkZy4ud2gAiWnOOSohWwF2rVIST1r+k
I83LLI8WmVByzL2bOcMV7aKekYgZfzqLouERbZ9OmYO4SvdmYp3e/jqrErAr4LYNncr0LwLlxF5R
C3xCSKTfJ2NvU1CXJBcmpRGYB0s40rLrnAlQcWCYaYnqWjthll/8LHUPvi2dSI7kHMu+GY8KJRgA
kkaxbLgZNYt5iu+4u2xL4ffGXqpCwnpRzuOS23+2VDQ2k1tAhsCsH9wJIZZtFpjdSw1uJBS5z0Ov
jBhejE4kMgyCFj7KxYqvkvLg9Jp+FoBoIroHUSdFoHFvW+X42Pkmdv0yz81I1tb8kNZUfTgLI98Q
EGe9JB+uOKL229pLvOOYGl00tKp4wqZfP1gwgLuNzTp73dDQ6FDRwvFs1U5xM8T++GOekKVaVUNn
yaJMHivsT1T0fbGdalv72lvudKiDAbpFCwm30ormT72x5SkbtFRukiKfdkbD4tLbTvqZnmf3pDyv
bQ7/Sap/K+k+9MknnQXtziupJhO7iiBu9svkfMrQwWwLZ66+NmbZXBWJ9DeWobIvjfTKqyEnCDCM
5bk1YRjlVBD3Q+ssVzb9jHU60Z0TlS5XlOYo5VEOPlgFRcVlGSgF+0w5cvLdAQBDsnU0u9qAovte
T1a3jfP4hYr9sC/b6rrl+NUtXX3bepO499zZfY1pBb+xUA1e9UR89xoMyb2Xwa3boBWR34Rwyise
HbAymF97D0VCpOtpdw+nz7obOGwd/DrWz5KkA5JpJGYbB55BpLlMlvUZgQah0QW9vuIF8MRMQjzS
U9eJlrSBdzxD635YsQiHMRPeXpHNCwOnUvsAi0FIfUv7GsjYDnVnSSMUMNUjJPEphJUkeTBpc5KE
QztkUMTKuanAMjmOySC0Jrp/If9Mt2goxn1t5Skl9ri5KfIhvkEG1IUEtLRNhLT0rZ65KDpTAavp
9cY9mLKpHhbC6q1IDe2T23M8SdupjwbTK/ZizRKgdtV3Ws5uOxf6MWj0/sB1pcdgIplErqG8tsey
3Sf4Fl7RqpTPwpN0Ai368uDVVbcfm2r+s5MsPnoStDC6xQrgNxsrlPXiP/tgzba5FANaut4/gHyv
dzNpm68l4s1tTu9hUOtQa38gBhCoziTWZdSiwYMhff22oSb4XQQ9/bNGvw373rN/DqSTIvTYSYRo
d4K8lQvUFGRogAE6JFAm+ZkUVPwyYGm8iXNMtaL3arpZ0Qs3UQIoKD3pLMpkNyrJmsPQw03aOMFU
f5unyX4wJ11tbJRjf/o0D2YJsf2XMVvSs9T08UAlpqjCSc3uA1Sd/BE0IYtw3YDXrtaDtpi1Uz0Z
S9Q1Ka2AJZtQnXJq3iQV7qeNXRv+NXrL7Ew5NIMMpSD/su0k7mY0q/yubxcvKulvJ6FvZT7BQ+vd
WC6tA88UizK5T12r22Q0HdDMvohs6UH1NVLgD0VujOdBCxoaefkGZ7WkCW7RPHoPZNuQctG//blc
0dn0wKyyTasWyq9gzL5URqJH8cz+35Jze7ITNz4H7qBF5ayZOzNI1KnO6PgMoQx1o6ZpPweJ+NHU
s7uuScY7s/KmUx1X5M/oEbaPjYa1sViuKRcl+5F841XuFfG9xmsjKJ2DO3MCXVHgYqf4X8prGevx
ibW1ukmpIm4rp5lumR6AoOak/wEnnXGUvOCKeqGh6aNNcvVKE+ILhdFVHUU8NOpjpDsTaEyGiZ+a
CEiHITSt4Js75NuypJNjC1v0THKxfOrxIBIFmZFeeJ+oqGah75M01OdkZxhAOxSGnshgNmwtkNgO
gSyazTQJU0gEmwT5IR2sZqpc/5e681iSHMmW7BehBdyAWToA5+7BWW4gQTLBOTPD18/x6nkiXS09
82QWs5hNLSq7K9I9QK5dVT16A9C3CwOmao9zk4xPveZx2eCwnNPE5HFXrltcOUuADmkeO9DeYTmq
16Se3pvOp5TZmSKSBNuG0ygdg/p8MQw2iHFc7bnB101maPGlHUdaAFhyn4Rei700bqgruMI0hYJ3
xjwKxCIf84PrgkxVclA71QNUA1F5BPE9Xjgm5QnvdvtrFnke4mSBJjaZD1bTLfuOHlN7trLAzKxk
By/d/u3qbf/kFoMWkWVjNYsOxqRQ5oGFhXq/pBLC25gXNxHejDhb+azuJwTT2mf3Sp84KRWH8mIv
z98pyKlCQZfvfY4T4pJ1GlT5fJ3siFeKf0ccPkVfn58pH4D+MwissWq5cd4xtnf4SbedG6fAYNke
6IvQwsEaLpjUMm4W1rfThD3cH9zmUrNL2op+4RxlccjuId9Pnu4E+Ni0o/XXJ+NyeJa1evRrRmUQ
bjaBfmi7edf1m9vJyvTTOeocWCCZI4/xZEp8sYCIl7w5AK95a4fkMrfaTzvTP6ZlJm2USmRXPRke
dAWAahbQ+hM9FnvayF2Iwh7Tn+N9ee7Qc1qp31nxdFgdXK4uiiUOioK+oI1vc3tlbht5w1JPVaQR
xniYW4sLYKGRs6Z8G8MWPQArZcalNmsbfOmwNOXi3aXc3IFttlk050V18OjUHsdhO5jN+3JDy6tS
cAzuID7a2duQZ03E8QFcI/LQlubiYesUboe6seoh4sTFzptn6WDlET072dpyz7VfwFnsUQzA4S1R
ZwkZrZUEde+1JDlstntpO4A9psSXcIL1LLThY/JZ05mEaYDRi1tlAy2ETTFBoPeWsILmf7K95WVQ
fsZyq9G3Vau/5x5kVLym896d/OfGZeTqRktezJQWz4Cz6M63WuuIP+hRuC3qiCzna8lm3GILQL2b
38hs69Rq65vzrzn1n5yYlQhxjh1P+gnukRnz7G29A+E//ZnxMd9l/vfqORb7u5qlr+4/M0e+4Uy+
46BBm4HVpE8ZrV8KPedaAA3aTuDoL7Zm/IgYapffhnq2bgzM/0Bh15qahCk9Wp7c8cYEtD5xSQic
8jt1OwbQ1QtJuf2Zx+oANv4l7mI7RM9/XKklP+ZJlZ97gOOJb+QhXItPIFDstyrOPUYGDSnFxnQo
LIfxIub1QfFMfV7z/MgpKTkuAn+dqRnfpdE+J0X2OUM5PRJrMfbFkpf7ygdwXDCwnpIxcXYWoxrV
60UPbN9b9kPjA3NwVx/Uk/ljVXMJg9OUh0brVOCk2P/xv5HRrdMmTMgHw2fL+odkNdUO1u4HTu4q
Oy/JEmbpM4/05VBWIBctyEQ77K23JoYm+dXK1ginBsrgqpMbZ+46jLcIk4q1PByceWfV1aFc1o9q
Ms4D7KTVIlHdyelYFlRyT1yAmRPTF17mH6R4H/i+D9ICVF7fLs+C15zqcFNPzm4oMoihMQA/pL8O
jPV9lvI/mqfq1HeDCrWhfURpe7Rkv53M9NDCs69Mk97iLo7gwfI37NqR2AZGnim9n3zjVUu41Vt5
KAqqhddu+ikA+4KrNL6GSj+ATkbt1Zn0pvzS6t5BM70nw7XKYLYpTBiSo2MVkbAtGkwK817mjbFB
X5s2PhvK8EbLLZvB5zzZua9pX7/DuGf8rduPTmr3TpEGtjE82WC+A8hIhwUlMuW0GKHztu/6moPO
lhutwkjnUJRTti96OmUcXPxt7VpXy2hp/qME/DD5sbomcbNvxgzKsJfZYLVIImQKretG7sVj+LVS
7XbUeq84ztoyMWaB+rlNFo7GBOWSonGnBlPflFAmo+RHleqY89f4YnJscQiYRD0gsgiNiBWQQMFt
/LsEAWHrdeKYeKl/6gYgsRuYYuKNhZiz4VhICjYelztq1qjTYY5zOWqScxizLauG9p3Sx/FeCjs/
anmWXXxtbdkkwKhMqps9zXJ37FmyQzpo7paOCchrCIvtq40D+AtUR7cZCM+EXOR1+Zm5Dqd15mo6
TpENLLqb9AF+o2SU09rix3VnO6AJhIx9r08hzvBkZv5C06102Gkxq6d0tkVk8ZsBsQLQB3z3UDOa
QEcOscVHzsQmOWGbkc3iKaPAfT8LOUf2MH3bRcHmAZGKncUGR/mB32DANAgpRU2ww8gn8dBwnKO5
VI9G5c5IGhogdvVqx/WxE8W4mXT93p3WIjJFWwZV3L1C3blfZvMFKRTQd4v+r7kUdnRG0h9q7MJh
53jffdIZHMx1CuBzt3memlkcPTt/HFe4EzH494laooBibPAJ9voAKRykZT83lOmuIYkvrFK18TFT
vR4sXZvTZ4HSZuvFg8NvVGBm31BxzOCaiJ1CGIUgq0LaNoinlnERSi++FlXyCMg7tAYBRmdMxw1v
n/2cljrdkljWJufX4BmgN2UJAHtlm9dmVJDk42vSTN++jnk39pFSXCcCK55xHVv3sKNbzG5kU8pS
/3aLrNprrldtbIE+J4pUMDpQTeJRRzOV5akf5zCZFvdA5O5DaxAjitJkVByvvbZYOzvtwOAM3aMX
Gxy5ncfRFf1dIoUM+1i6Z3pQyJCNrLfnircyj08LJz5eLLonQjTo9DjOmb0FP9jsqTFt2cVVLNNj
DqHCbSpinN6r4efDlU5z55KO2WmohymiwndPE/ZdbnMZUrh9LWIOGH1eECKA0pNxd4Bn7NkAoeAW
Zn636CLDxK6bm1zQiLFkWbGdEOyj1GZQKEA6c9cpCos8lta6a4pQ41iwicv57JT204xzPpLO8tBZ
OEZ0ob8OQ04hK5Zy/tGkh2w2Py3JGqOpLrS+V5Ey6/KiJ9QRrZYPsNzmoCKUxemm0kTNFpeDXcZa
OGfvab3O2PPK6r5JWsP6vZpUdYQxQSxOMWvZzAermURxgrjvqk3bDaV1QZOl8B5/YgHIx9MM49y1
fUoNSUleGL57opGHcAbc5iF79P4zb9OSPf04rG8pqzr5MLBKasFeLuzJ+ENCkiPnzyYqPVel97zf
4/4OPJr6sxbS6yOk9pZ9fUVOeY+vkMbDLK7nxNxIpJImqJKuISjp9Jpxxv3BQOgqkX5QTpBY19Gx
RftoIooxTXPdF9lZOvTZPVJs6DO4JjSOhBMepfpYJ6k/bX3kbpb3jg8atLW6Wd81BD/Qmou1KbRT
wu5VXRcZ8+FISLHSghI23NKBOacFykJmI5OAexdpv5P3WfWjr4yVnrBc2sYYMfe43l2GeYLreKk0
d2NoGPwXI8/I7xCGvcdN4YFpM75k59x7PS3l9jy7QUkNz24shuXRg0q26fK2o702jmlrpczlV5Uv
7b1WaDfccz2uJokf3qWBXhseTQjl4zoL57lKivekF1s3T1mAG3FgUk+zTQrr3luqHyumIQQHTrXJ
VW8/IJw3x0SjzSvgaTitr9iDPe/P3APd5efP7smvh5elpeWcONtWS+LvlNzbrioF6dJ+187MwH15
Vk5mhHFuUPeVE8xa3HRFhMnYOgpzi3hRHoaZP6zzcT0YVVMC6/Kx/YhRvnaUV7W9bE7xaHJ4Y+w9
LRU0i8on/Xmjj4fi9iXVTm2x+u53vWY1h0H6agfA86vWvGtq+kDfs+64UH+543QkecCtdJsXFItF
WsJz1DVbfJwpd8hCOwvxQsHzWJrupbR1agda2irI+sQHbe7tNyWnBA10fQOQ/dMwdISj7Hf5sMZ7
Adc5SEbwZhkwvLe69X9M5eWHqZmuDTj9XTMvzyQY5Wlm8/UA4reMnEX0W2rnftVjnQZZOvCWsYhq
bPq1pYGcAxr09TlvPgUE5tBf160t0cllOhziMZURpFJausoOIaJTR0Q7aw9EbAp9ZbaRbSxqVyal
y5Qg3qc056RcD/KB/m+XMDuVXK7p56yPY4DfhvAvnugfbdoRnwXoyE0+re4Dnj5/jxlUhIgr3Xe8
lLRUZD7m0M6RaDODsR9o3Tn1/cBZIkepTXsTrC+ffsN7VttMlFYfuNvZu3reKcNM89MhHLDcXyOr
Xpb1zqN6KKgL3yGQp5k0GRUfhcv5c8h4tTVm/lTk862pRnoRMuwTuaDq4hd09ODYZRoU0+iHTpUD
NLWtimEGjxQlc8ukbkmHBiyq3iiHXgp//cQeZn6Vfuk0D6PP4dBkq29s6aqQuAVUkw9bfMP60SEo
+rXOPvtAcp2dc7bLam0CrbTfiozGMNS59gVnm3PC9DgFBP1Wyg7643p7ZG3GIS4uttfWyGH1ucQu
GHQ6O5fWb28dcww3xqCte2aO/JUushTPU7oczSGWRx5gDNZeXBZB33IdRHXcL2nQT+AVN0O9tPrR
oK4q31jjJL0fDn3gJObJgWkk4/rc+0XY2N1ylEljP2qOOxy9CVqzTDX33q+k2qJJ5LB40/oxbetv
k0TOhZv41lJTag8gkB9M4UEs6jX7CVlkx+r4t9PnIMr7nOJph0fhatsPLVH7OcyMGJytm+QxHqB0
HU8UPP+yyuYF5XEKFaU5U6drhzzmiGxm2aMsEPJsxW6K9/De6yztN5UletD45GlUs8vNuglkty4H
nhBbx8HU43GTRBW05ImLHECPQeieNzM270ToTzMMYVQ3Y4fydSvYW06tPZoH09KGIAYVEszZsl29
gu9+WYbsXug2cC6/Ro+ksXHTqSoJHQwCL2Y7imviVgKKeT+A8ct7HS+6OR6MtFDUypn9y5oXryDe
eHlP3Q8HoPERCx4uh2Z5AlyvUTl0w96AVXhmQZRtJ/QWlHqgq3oaxL0vmL+XZ0bQnKoGnhMdcPtt
MbVvq1/5rGdLQOmDzq/GGNHEF7e+nS6WfgE2slHSH/Nz4jjOBgFdvFiFa1/KxSm3GBmynaTEO8cH
pPxqjW6rfH42+y0vX9mDT24TVfhrx7NIuxr2lqF9TbrnRuyJvIMpM/3qTcrmruMKI1DbPC898SP8
XPRR5o67t3AHUBgxqjEwCLRd12b8VTjdcgEuXuzKfFBROSX2CTFyuFoSLvGs1z8112PYTllxoj+C
Nz3xt9+ENHAKddEyyi0b/bMyudP87mmZG+xsiBb7qpvPQhMhsbp0X1kYOqxxNRjG64xkoQ4tfTKB
3wsfa4YLPhmhAfTdEen9SCBvPyHJwfotQwJs8BxwREA9fvKT8Sqq9lwBsWMz1szbtkow2Nq9U4Sl
LQCDr357zvNew76TpxsHp1LY1x1qarIQR07jZtNlXrwfervdU8ay5fNi/IKr9FoZYxOUImWdz7dU
DFmCrZfGw0nmj9qgvWpjodC36Ln3HUkfx6JWXvXOfUOg+0TkA00LxTyLq+GkFcROMYPukeokqUNG
8qZhUWkVkKLol/woU9D8ttS+LUM9re1kBiPr96jo5/Oy5BrIC4fuDLVyPHQ8+/dt+XxYVvHbyEfb
Cwx3HqOCUWGzGOt6qPmyLnE9QS7Z/L9ywP//28VueLCi/veO+PvPnk7BT/WvHKO//i//5Ym3/4GX
lTcnlcrkNf8yt/8vipFr4onXWfnCsuYf/o0q+l+eeMP/B+AjblYoQ//8w3/xxIt/uOwgaU72ff4J
V/r/BmP0d/KVazOx2oDK/gpV3RC4/4Z7U0XjmYubFBEpsqfaMKcNNlkkoZg54F++mP8AGfrPP+lG
NjWA1sBN+nuGw54LVr02JyfcPepKOYJzv7C+jmgZa/55YX7L//GfO+b/04+ydN00Xb5B6Ez/hjMy
bZts68iH0lPjHtJFFmiG88gw8t8lqv4eS/nry7MsMFQG0FHBd/j3jwSFCnm6YM9QkMYrg0HmzqY2
U+PUeqOzcSB2vP2fv8O/09H++duyoOoizpNOYoz6+w+krtbO7JziSfZqeM8a71e+5P1F45wAn496
BZr9hv8Gr2SACP73z4kzW+d3xo4HQyh53b//WJ5ZHd2lN7O3YYt7bVbl77pVcZTRwbO3aHN4mkky
XFWh2L2MQ7unxKk8ypbasFhAAibhQBteW1RvvpENkEz65TgL3b1fKaoM7Kp3zqma+oOvg142Elc8
5fO60qQm0RGGoYwDEsssHPCPjacWD/zRpSnxozSdKqKfmmNvQVXIEPRFS8yU017FZl0a7/E6j3ST
FOIDNmu1w7sy2tg3B+3OQy38RtCyf9n86rIN0W1eXX0heapPozqLuMLe2ZQ/aUFBBpjEK1iHnKHW
p5/xhh7htD3mfB+YumQGUaWDV4PvuS/3nsHJHrSH9mbYqXd1REd5TDWPW9edqAGRg5CvtXCGXab6
7A7ntIlX1s0Odu+Pe0evPvUGn0DcYXDn6DUkr7rbGJ89L+GnlvVws9FlMU4spdS37hmUhOmY97ar
s0w7DUkx2ZTVPCOGT5gWUCL5gkszn+6cnOQxyoIsv0YM9EE8ut05ZT7OgwERKCwqrX+fWdc8skJY
nqloMAAy5E5oaquL0aY2v9zV0qg7xoYykJWxwjXOtLM0E4ZG+tmQKr3pO3EVfvSUJQ1kmknboNQ7
+ExG9ucEzFm3sXM69GzeInPtkpB5aaDRxyru8rJP7seyiw+GGFcOyPzL/VTpGiCJquSoyGi/LbLc
pqSCkSPISnM+tvMwPtGh2LHiokfZYICrxJECyfQjgXZGxbEXY6acSzdYU+x/1qpbR19Y9aeZDD1d
fWNufs+xMU2bglFiv8SUnbAAA+5Qmr1HY1bGErwbehVNU2KEdtXMGNuzu+yGQwm6dfoZeQQcMZFM
HeucZWCzjgj3SBtG/5t14HDK48Q9wIPq31faA7fZsFItC5IH+YCdwRC0ZJfDHBfMO1n+5ODOubVB
u8I74GupCK2JHV95U0DmKltDS83L3peG8zoyTN2brdtFaVIXYIHa+M0bcdUZZu6+48fQjx7Ot1dH
x1q8gSjyS2meiLpGtLt89X6PVEtvKe4S70bjGqHD3Pec+ewB69lxOQHY/gtdSTg/EhdvP/mfoz+m
9UXn7pM3I5X+Yq2pfjfh2rwaRoaYM641xcaUdVCas2BwZU97Jx2qMjAnFyc/k8UDfQzDOw25Ynyw
x7YrI/hY9fCtpVTGRSZjbb6Hw6Q32wWzvR6KFZsWbbTogM1jXwxWt0tms+v2niQh+gA+Ik/DDm+x
/gOfeCm31jxP8Y5uNK/exY7HjAb4rmkuqT7E+8IiDvyCSGAZtHOV+s+AaVKA7loShfnb0Nug85oi
ufDc5/umAabwghjv06+107DfSnMVgtUEDi2A44W9HN0MXX8DtuFeH6u9yHXD2ZWmTd1577c2bZq+
otoLP6GsPj2hJoqpGrsIHX8tRAQlzb543jpQQ6noHjjifI+bY+2r+a2mhmDeIVLIz2qmwYB17IA2
Sb+p/J70XFt3YCyo+KLxURwLkQI6aQf1ZKgqtZ7Jv4wODCRXmwJRmWt66IEq21jToZid0twySL9a
VvlIww5CcRa/0IzZ73SwTxvXtrUgHuCO670fqqShKAXRF9hQH28BrVGv5os27JrlphdQazJxweF9
erXmrJ+CKs//2Cm24Jk1ICkXnzU4lxOQo7jFv2Sz190lRAD62iOjM/n6SZtcnhd8HyxdNFy9cFmw
47b3IwvmAD6Vk1O6DUxCWxQa0vxEyIACdKDXCRQzoG35zpCwjsfUfx6m4Q4Izz6uKw8AseahXHbD
jjjW0WR5FHrMwGgZtnFn2uqVo1NQr+mON1Dkdf1JjMuJgNcBDNGJJqTXZenenabj0BUrnPzGpzV3
eJvtncEUTrrtxdPT+YX30K5T7p5wcHlw+97ZlB2D97SM1SY2l2SDy+nQ1M1uNcnpzO76WihuG7bq
SQiJ9rPMetqAgEqjjI1+/2doDJxD9GPabViV7VPTlQ/kn2s8vvYOE/8uExTdTjwbNlUKjMUW7kHM
OKeARtnXuY7/pPbyTM7hjvbh3eTXD605XVth9lGT+m/9zWuK0MThYYyrbTIMD17LdTSve6F3p7Ts
drHqZhL+6bfU/aCdFAQLjCQcyzvHDwE/vDZtO9ICN/PILJHCCqqr49hiK0X7pSM/MlfsgU8F8yAD
KB8BJ0n6Nln7j+NnP/M3Xo0zR+27yu6PfTpQdK8M5s2WY9rYbYd+iUQu7sYBk4Gju9ekwchVWdPF
ocrjyRZIOL6362bJhnPB4eD0zaXjxFb1FdeRWe2dydgqPGIbUaoP1kxtQLTguCwj23psZyYrMB6W
1Ejflp7EnDR7N1HJSMEsC1pVL25gLKz5Go9qZeEoXAcAo7xS25gkBm69SreV6b0G5u3NoD6JvbHd
3wGpurcgpoC+llZzLldCn2Znl1tKMI92Nvth3iGqYP57JqiHPb2oL26vJbsC2Rnj20FfPZKS6Sc1
0j84CrpHYndY8VNFnIZWRTfhjqKwPXOzJ78isYGufpfTmkQnukaycL41a0EqFLEK297St2LU+q0m
vTcgZ7+Ry29mDeB6E4dvHqcTpXYD60R3NAR7oLy9ZjrlP2XZELPQ+ysxBBrW6TV70KlKO/iN805F
E1/ZoE6+ABjolvqhWyt9h1lrZL1+wxrgVdlWWryHELB8mhrViB2q1xHD132c1XtFRVBg9+Z6KTTn
0Hlas8+W9QDnRoZSaL8s3vV7Y6J8HEgclDL3AZ9/sWfFKFFi8/yj0D08sTDZUK7eU05IwdKjT02D
uYOM8VhXQxGOU/Y++u5A4jMljclPXPgBgfTQIebstTGWR7JwJ38ZgIiZmOqoddiREDCvhtAui7gZ
ftyRIP+YPkmlX9nrHKyqfSDjcJwyii2NHtm7dnsJb6Zedl3jXYy1pPFer35Bxzq5dk/YjI4xDDaE
+Uwcg/KZ4M2fIlv2wuoeuzR+LUv30XKsa1L0Z1Gm90RHka3WCSF4xRdKyxpIGfnt6lmokEDtwjv4
IwnDhb7Ezj5r3K4bQClb4IAX6lSvZV6AW/OyazMbX5YkmUHn8DzmHuIxjyBUh1+G3T0mysDZa4u7
nLIgSKpbszDuerZtgS6qEGCLdnb1+nlc9a/acPVNXc5hqsksbEoa6G8jy3GwqNDr+eCJ5yMTS6nI
A6Hep8tEgIPvhffSeu6kgfmBe33oe56FZHY2GcGvRzgnV4M/xHjODmekRzkA83ZLHFnzZmyxlfqt
+aINxqFuPOQ2PHa3tlN18BfbDLCo/+gev8QCb5yv3bzNhfYNL03fUubkHnNrIb6VDi80XD3h49YC
AegKGxYiGGWNfoq7rM8enL5Dx2EdTL7BXAP6/VDjvfl7Tpo4gPd8mdxFOxKCi1ZubS4V/30o618k
BkMx5CtL6ZLyNavXN/D0mJ3HFQTK4hvbcS7fnHFW/CeXD1qfLhWsqVs2iu+2rRyIcmzQ8fQ06AhD
/mPO4sscy50atJPqm8+49lREq+cdj6kIDRzZNCmByrsFXAzXWJEI3GTbs4re4OZ76nEh45dxD3x+
PopbEwRuf1PidoJ5mPKmkbQAdrjGIItSUQxy7CR9m/ktZ0HpVAPt3GY5nOJ5sG90KO0AGWvI2Qs2
9d7Ni5r1r0uetdbbnJk1uZmQrGljNep3tU5tWJQEnmoLJ4Oq2zrCW9ztCJyBKjQnxFVj0OXrigXh
OCSa8534SfFc+HQQD7SIjarHUztRT7+2Wh2SjTXPVTFyEAGGMb3ioDPYUjMf69WwfNWAEBPUq9SI
KmxVT5mpMwEkN6mTe5GrLklQN6BX/Wa5vp41ktCvc+L4f0SSzsQMb9xFt8pb1tRYX730VqTuDWh5
N+D3Ywp84JOMitz3tnVZrTgl1+kV11KZ2W9kETGGFv61X5rra8Fks2gPDMZqEmcxev/Q+YfaS/FW
pYOuDtmEuoz4Z3q7ta45NCVGZZ7xfwCEJDwNRbPrwjob13sivPOWxkh57YtmfMIT5txZGFYvfeF/
NKuFsDTq9u+4NIx4E5OO3lRu4gZJwTXa+GNz7nkK7uyxKc5tX7hPvarzSLcm5zrWsJUas5RsjPsu
bG8moVh35rs6s91XSIxrHNjpxCFKtcPFXWZxQn0Zpk3uDfFDC6YKJ1KjBVaccTsRI3jLVGqeapTf
B5YDbb7xUwtO8lplz9otfb2JdX3pMEHj/uGKFd+2oTVRywv0TXIV/hFi6nG/LeaXROs7I61iUXVV
e0qrHqtJz1oeqw21fZhWk6Xy6fXz2mOxLFSiJ7PYdzh9Lk5MTouoBZ7iTmwT3R+J7Kfecy6lddf5
BqtlCrxDNSyMZ5VxSJ013hSz9zP3BpoFD5LjsPr8oqVJwetfYXXnllvv/xlhF7mEhZvTAhbK22/q
iNv5r9B7kjI1mfclnigS8XoF88L7Uw/KuqXlHS6He/BsSk0X/Z+p+s6lajsU1QgrkcC9S7tgBKoh
B/+yxC61ZqUoGzZemnFB+43te7fwjLfRrtjLOzK3WKnbTfJY2epMVxUP12oZDnqaUNppZk2xG83O
e6uVY3HYIhhnw66peMQ0kcvfnkE0JWIR9yYWWcz+LWaDyM1g7HpyBvakuilyvFJFRkfx8VS5zhbS
yrLHHMV4ss5Rj0kr4L8RNguSVlFhnm8MEAlURYxkc03vbBm2R1tvfN8tNzlbUkLIqU3u8BrEa0B0
AmVV8Osq2nnHR5XHAnUMmTh+UjNl1PyCvUOsSKnMYxfl45Jc8kF+gOb+7WYSt5mGnDFboxbNWmod
Uzg1UBYevYJDjmnpWOaoaIOTOZ9loqDIrYazlbJPsaNM05Hy8x4rrrfspnItT6myyyOgBoMJ07Le
Y9/9ltzPO7CzOIv1jNrp0p3AFWNvJ43+HJsMwcoZtpjZfE4UZjKS3fbTALuyewLe7AWOo82XvhLt
lgB9fxgbx003NJbyrgSSccUc6i6esaU4VQtFqxBCnfXL71OuPFvqCJuWu4VcxY2lzKkKqtR9cGz7
1DvoHyRqz/x9HIh3Pq2rXEfdpvFJdGKvP6xZI87cyvQ+91AStMLgiy9S+65v26vMaHJNIQkRp5X+
sfOXm1FoVPnbgPhAXTYN0geMzl9tM7j4hcYioplsjgb0sp1UnY39KXFwxlpVmC3DZ6ao5Mbh1gRN
5uFwQjM+ABbv7jqsFHkC3UL0yStuMkwWagHH16lfNEHbm1af46gySeBxv4t9Il0VmehWOCX0bVOx
hpgJOr2ritxqPOOOluwJkK+sK6tOdSXHSS04BvOQI8Z0cgpyetZQaIxEjqO2pmlvEN5UUBlcmIle
xJubm41gjhafOKh96mbxBz7RKfV4NJNPLK+5VN4l8+M7zyk5TpBy+bB8kp2+SmlcbmbrDy5zAhUd
ZK4XZ+YpWFbJQzvq2dnTah5qWGq2s56n5JUc/QNvB9iEQsfqUnfiwiMer1XnDXuOMSUCfTrRcirK
QFK3FqleOAd9wD5emoZ8X1mvRgPx1jN78Ooul4vioJPXXxrR0Qc6CxxsI76TfzhjTRaUNpRDzIcH
yStx2pqjvWwcm38JqK46mhibt3o/6o9+64C+Uz3W46TS9Bevm3hZapaLebCenupas06cxduIwHP3
lmgJ3BGt6y74qX3iabhZNzY+1VOWtxOHIxJc+JMqHGGaKylx7rpXRUbgoOLCCmZLcHVafRuapomx
aCk/TfqNA14XXG9V94o78WokrX6XYIDiuYSt5ii6OsdxZy0lyBcgoK9mrpVhtpoJamaP9dt3sa9p
ZcUSonkpWtbsa2g0cYNnPs4bm2ER1skSkwZQ0vI2GPTeuRxyJLrVjvCoYkHIG9/YmDMjaMrtsXFm
rhSbQXkwflV20+yt0WDpbGndhvvp3pXzgIGz8rZTwb4+R/gNfK9172eQWFdSi1eymuWwWYUixp7p
7kFrshdSRvgAMkACdcpBvqHsuVAdQmoNb4AMc+j10AMsQMnW6L52GumP2m4ZYWhZ45S4FPXBn+rI
lu2HyL19jkHOUt6vSs5fjFIOI24+77rFG+9I7f3Y7WoDShyqKLYFx45h+IIYGo5Fqw5dpnHI63Qk
635x7rnn+gt2pfHc84rfVzm5tDYr1T7tEhm5rVVsk0xo+n1hNsVRLdnFydSb1alPEpETJ7ZFPdWY
fh/thQVHNyaJCshtuZEJgK6d4EmgRC7eploIXgKFO03mtGzx4fhv8aDkm2O1nKMsT7s0E8Nzmdkb
0coR3xn5wtKWT+7svQrfPTUGme+yQoktHN5wPVGaXnYftau60CQ+3c7yKERK6l6GLHTPStjer07x
Hi1SHZ8keXwxPS19Fo0SS3CxPrpt2eJmEVvcEQDIycR560yQ161DC5duUP9P6s5jS24kWdPvMutG
HwAOh1jMJgIhUpGZyaTc4FSR1XBoLZ9+PrD7zGQgYyJu1j2zmEXVhlW0cIcLc7Nf1FH0NOCgTQHc
r/mfCslajLvqZsijG2eUH5wIZ+1av4sHuS0tXOPC+DasrKM7Zy+jpbv7NMq2etQdwWTuGi96arTu
pVfl5xptiLpwj9RU92rMdh3lEC/rb0MUBFIFdTcw/mppEDSG409285gjn//DNIVf02dODS5bPJt9
s8JwPaxh2k7zV+SyjzOtYKnkNu2nXUminqZoP1Ts3ty7E5gO4Lw7bKk67Edt3LIyHhHW2kNe+1Jm
s6+i+vsUwo6lGoPANqdXeBuCNcpkuU8MJGS0qf2OCsC+TsxPdtVsytpsN0I3vdvJsz8H6NQgurhL
rY5VNPseXgdTAtI+VhAOqPzbqFYg8bUdKL9Dk/qViRJVC6Rkj4NZIOU0g1Meym+DELcA9w6qH24s
xa0eBSMWAcjMFxbQDfgKFHfv2yI/8DBlrQbiHh7sDQWD7ajAuPBLk7D4XsZICcXAJxZRjbx8pBv6
zdE4Bt2QS1u37zOZP+cNBSTgp5RWcg7voN07hUFXwOBjwGdw7PvRwX4QkVxqHo8ChsI2RKkkVfSN
WneveUl+z1Q+eDJ4aduaLOOnGMx7tNz3Y5Q8WoN1V8Udeidp82IH6SO2EFSXIQPGVJ957HhmD0Qg
vAfQSKMpyj4FevWQTlS/fiMaIAVVWe+P8HU2+SCegOejnun9mDJtm7L5Qi4P6qPacTTjnRBA+Wx7
vE/q5qEBm+N1LsYP5V3aVH4q2ctacZMHPPs79pg30vhDM6iDllZkT2Ua3os+/jE03eMULubNyEyY
4EIUqoDPFNbBtpSpXwRdu7Ol/dB1Fqh0bSlg1tUmL/rxSSQmZW2ZcCG08SMX/lNqtw+4XO9nPaGA
gJh0x+gTEFqJ9Nq7PlfPFbirTe30d2Xa7FRHITYd9EOkEKSyjLsxg6LeDMDkKDsB3cvugW2hZREO
z72cPqk08J3YvIs6YA+5aIZdJ+Alth6naaChLaYK0e3bSD9GKuDtybribbuzY+uHQASJikT3HdTv
l9ri6NRSfNCR1LmzzMnxw7T+pQ8dt0v3r1GNN/UQ31iF54959L1XzhMdo8/mQoHCLuNHKvq7OXG9
G3oRL8j7cBK4P+lxPrQw0Kd+ulW9tw9i+3Hy4iOkIY5Lmj1G5IEdCSA1GfXzICkqmAOEGRChd5Vl
3MgkOwSe/OzO2kdMjqDg4AEN2d761EUguYK6RVsqfRj67K8YkbGxMg8lrHjUgf7wmh4/mTG6QYkC
pSeecgVDR93jI28TX+jJnUzVXeCNz6Aknzs0SWGpNbd52Xzg/vtRRJ61tQ33c4qN1SEzW/Inx92F
dAXBQ+YfwSfe12aXHAJt/koHe6FAo3/VfUxVPvOuCPR7JOajT0bIO1zrUOafZ7pyg1uEZBq92X2a
o+wlidEBUQFlkkTXwmmDQj7PLmD2N46HqoChJ9P9YOj9JvXmD2UN8dFt2BfsD0CgU+UcwtFyP6Sc
Ice2AosJODS40WHWboCxtqCtzNa7SZF93JpdTsHHrXN1QG1efAMjFs8sOm++i1AMfDClhIOLk261
LyosJIy6XlIg197TSKaJXKXJERKs+oQWfPxnIsz4McXEiJK5B59UDBivdFFkPvdTJB9R39MZDLDH
YxYk+l9971GJ0QzIFhUOsKA+g7ncV7r6M1UofR0xhbXEpojD7rs2oA29sRAXeTSqrhy2+Jd0XFZm
Yh75u//s0sBEgjavnyq6h8cCtvYnEXnzV1uT7scSM5QPsEINMM4pL2YPoxa/6S2ko+t0fKR0KL4H
mKH8GKgkH4sh9caNRNBzb1d6gLiWKNNdFHoVXZ4W7xYnGp4rvsxuIr3ZwWggqTK5w/ImjP7wKkdQ
sZihi0Bq29JVF+TjE6dP3I53SO6JPe0ENPaKwHuWQZrSY254N6YkFxH2E6bYG1RJONj7AdKxGT24
k7T5Rrk5fElz8JoBL/fbXg7uHyrzuJ9NqqAQTayN6wInHJB6/6x3bQxzMfwrTLgFimmK4G4Dw9wa
nl4eG1wOQTTyJhqi5les1A+nle1HNKvLnYELz0uXWTqCtEXT33tjUtxMc5d8qiWFVdieFGWoq/p4
jhhbp5CAHmmlICfnMRNpSFOSAqp05j9zeoOI+XjecDNi5HMom5bzR5+dveNW5R3KijkbiKMNiLwP
JfhDQc0d983Sfvb0ObmLWnkAmPBEa0g8q2wmD65q/nMdVA+8ijzf9WTbX8dmnG9S6KE7s2nzBmwj
9z9yrBTUo6nftZRQfeh4rd8Lig1VFLgPQeFoH6ZCFfbG6cei3MhopHIBSuyjOQ20zHIrvLNqtBaO
4xAstwmIiw0Ood2HCMPqbSeN+C5QVvykF86Pql4U/i3q4mGC8hi5E/pLjoRerBdc7F0Iy0LvnSJi
BTQ0m0DoJredTLxPKFJ5wI67ovk1w36FJ4k9yr5yhu6jW+oZzzU7VyhYmXBXBm8m6Sd944nvIApp
NYgtR1NMM71WUCtRUhTWA4o11m3jhoiDJYiQsz8XsoGtyqTfZ+MYA7vjLPE9wKbk/mZtvSyS0qUv
RwHK0dOpALTA+D7CFtVA2k7aRMbYTh/GpKOrZYTtN6MxsmPSR1hvyUFR0WnlQ0Sjjr9Tsz8gBeT4
MMKpUiKLMEOCLczNP2ZMdmTZGZQSUN+BkOGGuhlwXgc8JbCuML55dmyrb8JxkO8bFZ0tVKwQ47j5
R6sWLWpakbuwB2BFe8MNDXpjbaV/sCunaQ//SHABaGxBoaKMF2ECFRFrC3Ojw1WqnNQX+DK8iX9j
hf4f6NP+/4vOW+z9/u/gvE39BzoHr6F5y3//H2Se6f7TpTuKoqip27qkov6/1Wod8U8PqWETyWEH
XNdvvNN/kHnyn4jRAuhzXQf3TSAkILSaomvV//wfmhD/dKSBG4uOfpkOqs75+8A8aRsLuI/4lmOK
RRlzUbJ9JXkstDDnbVtzosg2RZxJkZ8e0DKBjRpCOmj/vVr+i5C5JRwXFXoD4LuEhQDdCp2HDnnQ
JS1JoZFwT/8a04S+Ft3yCHx4iOz8/PPVlziDBjyFlP2OJ3ULKL5DAmrJZR5fD4/yWwIFHnZGpen5
c+sI+6WK7PjwniiAJJk41zTAiZu8TPTfwLZXkwiIzAt1oBIcJFrvTy1e9AjQtrvLURAofq1O/e8o
yMA6luEC4zRXqLwiaMrAFRml8BxbnaDTwELlY/ojHOG2wb7XPlyOdzp3y6ikzirTXZ1yq8VKPJ07
no8OMhhuDePCs/aRO4x7lfLmeX8UIdErd7EDNKW+GpXRuRHg+ADuvaXMr3hWZTcYC8z+5Shv507q
aD9Lh9XOOnBX0MK6gjXR4sewGROLko9C3gNgQS1lR/UTz4UN5VL1cjnmCh66zB866NJ0dZcNi93l
6fx5uahIt6aauyc3b3Wtkn7fJPGD3iE//O5QHDFsKA+9adNeLw2zzOCD4POEsjY1/N7L530ZdeW2
AdN2RST9zEzaGKVaiFpL1+EIOh2VxLaZomUGlTpqoCJFsX2EAtLeW+hOfhzoFx4vD+3MKnwdz1mB
bKe2mHHOI16NtkN5zDBA0LAntaMrcc58LVuaBj6wJsMDhHo6riBz5ykqSB9gYKueJgPGDoiRdfMP
EfbVlWDnJlE66JEvWvMuSNvTYNCMbJdeTwVAzEz8rq/ND8q2EZKk30627FpXwLVnB4dpKUTPRRvd
Xm1lICML4hDtRCMlO5ZebO6iFpeoEGuLK/v5XChbhyDObsZAw1xdKIYmZaKNOvJBtZ76dH/tD/Sz
oTFmYX1lgy2H9yu5/mWDgXX/P6FWG6yfnbJuDEYFTeGjUk4IrW6qvjgGZk6DlVRfIJ58e/9qfB3y
zURGGnARg4lUOnRvhENoW7fhle18bs3bBtV4PEyFDtLodHk0lMfrGdsstB297jEpIFtrbi6uwMrP
RmGxs5mBfONVfhoFtw3kBBZ+ftGQoouxsPcAB+0rd+O5pW4DDCf7MTwoCqso4PiQLK7QKdVqT9hb
10uT29TOggVKiAYl51V7ZXOdXYHoBWHgwN9oWauIsQbzEquzRaPLsQ9p332n+/WnWZnO7v2LAYrX
gsvnyMUh/XQCbUnLdJAcGSpAf3HIsC+2Uoinl6MYKzMBlrnNwW659Cjs5SJZnbhKc6MuXRQuKlHT
ZsvFgAGlinclEvAHNLvEprTlIQiS5ABXGVm8qqdKOaPSeeUUebtgcHSxbAgPmFrzs5Y/f5XmIKip
9z0MbXx02xTgVGPBGlUgqporX9BYttHpziaSTa5jCldKY516oJbhKmMsQPxEKrnVwWDvq6oUL0Vf
P4S2Bq+xKYsdoAaDeh0tznFCIINvgMiad9NNWnUlFXp70mANDvWShNu0dClW236YyI+0fkTKQqfX
vhlCpN03Jo1l5Ml1no2bqO7t56Zrs/HK138750TGg9NyqbG/TY8mE6BVZ3BTAPhz6QUgtzQL6p2X
19jZ8b2KslpiU1+icVFxaA/QxFBfXWoGVaAdMmSfJqAiWET4lyOeHRcfmImzHQPu5Olach0s7sgo
ea1PLjaYHqYTPSqaV2bv7eHD7GFeDf9QgCWTq3s2L8yAYm2Lcmzo2c+FO6HjlTTxQe/S+M82QnP4
8qjOzSNL1iZrluyT9YkQJAUvRcmNZMcD0Noe/OGdGejh1nWz5sHsJxAlY0gWeGWc1+Kuxml34VhV
EHVpLOc1baaiuClVNz/EnVbfdUBIoALExpXj79zkLtmmLnC5R7hmdfyNpZtVKEkyuZEhv7VaN3Y7
iCuL1BK1NVx8tfbr5eld/sbTY8FbXr5C8ATiWlzngp0Ih1yCEkMVFg9uG8UuX2Rxjw7S+P60k1Sa
DMYWEkoS2gyn6zOx5jkZbFqr09ClO+BEHXgL+f5k2qOdTkJCImgu1YHTKHhBFwWdhHKjOeVwEImF
bmzsPOlVAsK71q+szjN77iTasopend9YlNnNiDjBRo8oNW1FhGbLNjDrebqyMpb8ZPWdAC078JVM
cnfwWqeB2MdRqtSMekevw7txteyAv7iOVoh0d6Vj9y9UFAGQZdOghvdvBUhklEXIr3mQi9UgcfV1
56Tl9kep2PuEkIH50dBNTHNMWd0UtT1jQA975MqIz6xMD0QgNwSkX9bN6oLgTWK3AhPmjTToIZVI
pGxKA+pvpNNkubwJzux1vAZ+Z9fwObkeTyfXLZupscKShIo67R1kr+4mE60ETOaZxzZwWrVJUUW9
Mq1nPiklDuoOJCKuBARzGrVWeKy1cGk2orPBQqRR5PpDVDS3uAZ1H0arQBrOResH0+HoSug3y3a5
dG1LmDT/DO7A1RfFOS0vkc9GoRa1OYQmcyDFhtM/XJ7WN1+QKFQfvOVNRrq1PltQ9xGIYLJm56g1
CmrR9KZ54qZHaET5/eVY50bE6UL66TrUcoxVhooKn0Vpti2pgOdjuYFaNP/oNTN1riyVs2OyFtl/
l8oAXM7TjxbNcekOekcJ2kgmvykn6w6uS3aDoFpz5Ww5FwrapqVDd+OidVah2iHIiyLLCAWJHnfx
SfPLefquCn26khyemzxyIbaAIXUPX73TQVVYZ0SjWWJ7D7puV2vkumpQ1e7dn2i5ZrgamTzdcVbP
2CZ0FKoLEUcYhlhQ7hbcaJG57/9AJNRLPY8YUF5XUegjwMtrkAMYJKiYkoMK1KYbPyGWNH+/PKAz
H0hQpZQWNw61aLk6oRwzqxRIWhhLFTQKhDSbbUIrf0tJ5O5ypDMf6CTS8uevrpkcBGgwTzQ+PLv/
go0AYsMmHcTLQZab8eSK8Ug6eFFy/nHuUks+DWK0Y5UVQIA3hl3o9wiGV58yMRQ3XigturHDOB4u
BzTMcxFRZ8W83TKIulrhc5XG6VAR0YLNsW8rg54PEqLbwEMOfqPwrjzmYw+dJpLeAfth818a4r+N
xEpAiSF5vvxzzk0yHxLDOoP6LLX70/GHeZp1GA4XwN9gbmrYhe8oEfz1/iCOtE0LYCTVU2u1ZmzE
pqKmhAs8RrUJvXaI4Sc2SF7aV/bBua/peKgfodvL+eEti/fVkgmwqNAFKCA0m3J6VUogWjZoe/TA
jnmrTVeinZs716YXAQUdoN86RejGBqZkT7eTZm9wl/RTdVNyivrvnzyXggceqtxb9rqw7aROLaaQ
EzFuMth3HWCgUYroSjn2zFiYNh5RnIh8qPXMJXmhJV6kljwV0RD8aS2wIVK9t1REowlXPGpRqBxQ
s1y+36vvA94Nh6Nl7SeRyB6yaUS8HibJlTP3baVjCUMjSjr0Uni5LYN9FSbDJhFmugMWrAuie22C
PGRU6W0xSAxR9f6DO8hnZLeDXaWc4I56963tleWV++VNfsWPMKQhaBNQbUGL4PRHzJXeeS0eQZvZ
7k0DFKBq8kdrhOB8L7thEKh9e2l0U9PBvVamPbMNeA3Q9DOxniPNWm0DrVBS73CQ30xZLICZ6jY6
bmV0L6zQ2nZNwL/fvUa5fMC0u0LQIlvf2h2E1WzWOUUsRTN6aES9dzI8zC5HWX726Vlt8EmpkLGC
kP5YPweoOYcAZvmsCPaEiL464Cjy2UGZ3FNXltDbGSSUK0gTeX+YACBOPx5npa3XkhksEhnB1CjS
CgTXrIzPXiPkLzVkQ3BldMu5vx4dO2+pNHJ8WbRjTxatStAtCytM28s8wwUMda8vVTfMf1adk/qG
gaABZZDxrqSZD33UbH5cnty3y9UAkokZJRV3DxGX1UUAyF0P+wFQgo6ygZ/azq+0dn5IeNmbyoOT
1lnXssq3R84SkUcr3TSqrIv/6utd2gzIUZoLBSnXTB6tVYeWv93nV77kmwcHwjQW9Vs2AtrsND5O
oyBkLqRV4F5Tx1o9b908ir5V+JRYfo1twmOV/KYju4qakZOmzbU74syahfdLOksOSPVo3ahGLc9J
cgcZWS0NKph/CXJVXmCol6KpRXxlG545+GiV8FSGpkcdhTfB6WCFCXEe50s2PiBezsXkxQiQXuut
Gjl0q1HyUyIynspoRDbt3kSk0dlogFJxd7Ty8sp768zM048FDOCSXi/ohNMfAxAJ2wF0aDdJhdI9
9fP2zwG5DUh6oweSES26BhHTKlTvvsqYBNroVM4ABkh7ta509KllhcAegBkrLRbum5gPyOlF16Rm
zn1bHl6AHQTPScNa/vz1NZPncQDEAYngpgs+91MsHABsXnDXRhbe5Jf357lgKPTwYKfIwz+r2Wwh
VitEu4rNTGX9tjTQbhxwAPHRwx5eLoc6c/gtkk2eTkPRodknTsdlBJacnJxxQW0PfsWtMX12W6c/
JHmaHmloqq+X450ZGjV64C2SioALVOA0XmppUdZNBed64SDOomhgAoqko87/c2WHnAnl0nLmSmRo
VItXayOyszJs2rjYeBOQfqgCHfr1cs7FjWEiN+hfHtiZM9Ulp7KWU05fCo6nA4vH3E7DTkPIMsti
aPwKyqpW0fjDfrwxf8EsRcO14q658nI6F5dyIyHFbzDJaq10LRawIPSIO6AKvBlBYH9AyxLZ4DxS
n4fCKu7dXmlXkrtzc+tQ+uCo46Er9eXPX22H3kGgvNXQ6l+05fwgZ5eXCeaAjtPYV46WMyvU5ZyT
IICoGoN+Og01i6FzepxRNkEzz+h3z5DqIW4csbGMfZSItCuFlnND41m9tE+oF/NYPI2HvXFYjS5Q
w6Kx7Bskhkw/Q9voeXaj9MoKXVbgKg2AoCjoNTjgtrggT0NZNuypcApyDHSiFH4P5aMYH5/95ZV5
Ngr3LlBWuoFYoJ9G0bFghFDJaVIhnrqrAt29U5oa3l0LM2g6UpHA6wSaorM8hV+tCIxwKZROcDKw
dRoxFdFR/z5aMX01f5KuXl05Is+tCipUyzuGpMJy14PSZ7sGrr4swPZT385PGSIPG5t8auNU+Kld
nsJz0ajxLRAqysS8604HV+ZNbAsY4ZsaeYvbPKrFvkmw2tLHsbybh7m7Mrozn4wTmUq0h44krdPV
KZk4Zjmguo5lYw/fcIMsC+YvYWGgs3x5YGcWOyGWwhg1Wuj4yw959dVGuBCqjdjHY9+jtICVXOc7
CO/B0oiC+tPlYGdmkUmkNQlIwcO7ZxUsGI0xb3Ez2diegqHCz6l+5vViihVoFHKp/Fvq/acjNzbV
UnISusPra3su3AyShZlv4h7rgkQLfViVKLd1EvEK8L6bccTm9vIwz80pSbVcStBLnWmZhldzqtpY
KzPNIsds0luTbiLodIH9tIWC4X8v0nI3vIpkl8DCQAVhdd+1UX/DUQ0XPUdIH3/npORTXg535qpB
gIy3/JKbcKesBpa1tZuqxsg37Ti3h3mS2uNsBx4EuKbaaQheQ6mMgq9/I6i9HCtsB15Lq6B1Bmc4
cgXCbiDyNxFQkM/ZZH9WNt6ful2J/dAo60rMM88zDn6yalPnVU/N/XReG3cumljgYcpLCUEuld96
aNMjWKPin0Umsh8ygwgkNb2+MYcxu7In3+bSS1eII5SMGoDvevPrVuGMIo3yTeeMxlNn5tMmVXX4
hxZU3cPsasGuwdv9QSubKzffsv9Or6NlubJTyKMpKKyvo7y1vKilPolYEcAhWhrhLhax+XT5g749
BXh1OtQhgZVRR1vfr+joLpwWPAlIqNWPcFa98tuiKfK9hd3xj7aT4R+XI76d0OWdS0kNaUooN+tz
R7UZ7JSaDCJrowyqf5TLRw8vjHBT01bZI6mGMncewggKMBG/hlo4F/13Fo8sAgqjcvnzV5u01wo9
MrBH2ujYV6e+o7Exqd1j6r71oB4bmwiH9MGHqVsmR4rFxl+XR//2OMLdm4XMLUmtgUrpaXybjgRp
MoeEOSbihn/+SEoLI3Pluvt3R6JESmWIVs7vAvtpJN4Opjen3JI52m+5n88uymjwGDUEJmHVqSvH
0dtdKlhHAGYXuBsHw2pim1jDfbJtuE7MtPrFBeInQ5z4RhJQgWsRNguzqfpeDouq4CSsL5cH+3az
EJ1SOoBn3TEoiK0G29l20iH8vAE5Ft8Zpa2jqoqH8N+J4tLop9sDxHSVCLBDXFDaOIxR2vZu4wkh
NRdFnL8RxDWXXQ/aE7nf06E0YP00UGlM5DCXj4DSMVePdL2/hgU7s/MpbpuUKh0P6OC6nUT/FC/L
RekuRBrX9yow9Z6RhTfg/cZb18Xj7fK4zqx8+nBLs8OBsvAGEdaE5lRUyyfCCETs0t5NP0jqXrsM
gt/j5VDn1iLIS/3fBUtw6adTmCE9yntr4s53FlmUuLK2FBMWJfAhvSmbWse/r5UoPMXld4WA6ZWt
cOaMIY1jSqk6AYhfY4NlmuCvqZN84+mFe0FFRfHRcuFWosjq1C+mqckekYaoerGiEI24y4N/mxeQ
YcGVoNlDBRyO7ungoY+WpqT8sjHmQv/Ox0BFJTfZjNtOhcgVKGCGz6E2yr9x4BAYfAEfmWNnXftv
o2ixj+QRgHJJs4WrKG8w7VHfDCwFr+Suq+3OzvNA9BgODwDOcDK70zGiCZJnnjVFvj400ofR1hyM
oo+vnKDrot5/wricZzo6/jzqT8PkXFB6JLAhjOlRtB62WX04w8RHWHNb2Y3+gX5ifpsI7TEYA7Qr
6XY+QZx+53J+8zNWJ4JV6kNLchv5UY1B+Cid+kBiOBwKJxN+4s27whbtht1M4Q0w4+7yelrt29/R
AfiBWDGopFLBOZ2EGh/rKHa6yHeRqLxFcGHa4TCL0WXUX2sznPusr0Mt+/rV5YxsMLo6WR/5nedB
iBWp65uIfl/5rKuD7/eAUEPnk5LN8fBZbRCtV4lUEYKwQVQ7wy3+J1awbaYS4yIxxZ7+ySnb4J3Z
3BIUJD27ETKTTjq7SmLFZFW1LLzQHwIV4uUtKn+pXF1JVs8MzaGeZ0KDgI/jrFPlDrJIoFFg8j0E
bbI7XO3RRm5F5phHeGEouEVOyYl/eYGsDpzfQ6N1uSC1iM1j5PSrFYETqGjC/T0bdSwncxRionnr
IBxp1JsE4y1v22KCiBZgV9Ftvxz8zZKhn8/aBxcB2J6zdnUl133rWFqQW1uJIslRr4NpawN8vRJl
daLDwgU0bJJG0aYV9IJXURArgcCCwOg2jKaw305YmnyMq9HboX6j7ZqJ2xrpiXyP60t45Th/s/0I
jWj8godDjh6k/+nsenGhB0mM0r6hF8p4NGXZV1+itjU1FMpDp2mvdKPOxWNfcOeTywFXX+1BNVup
iaiCuZ0SrFFwcnR9+IXpFkO82r/87c6EonbvUcIH4MQ+XA2thNGFwohnbANeHbugymd/5F7mSKvq
Kx9wlREsHxAUBC12/nEwTV+t0RgBBGPsBkbV6MWdCvLygBAZNlCaEz63PT3+ANfHbZyN4n4Qcrjy
Ed/syyU8rRGSOpA7rNTTj2hqnkcOrMwti9Q9aHNrbiy7pjCta4L8oNCfLs/s212BNjU9aC5ieprg
JE7jlShS463OsWZikXNEOxY/3Ei1Vyb17ahOopirXYF7radVCY6DdPQdjHFtfE9GkHeG8p76Xsgr
58y5cFRnF3A2RArGdzoomVM7jTAU8jnE9Dzel1Y9RRg5yhSPUjQFLHjSO7xecO97/2wKmIDAYAFQ
UsA6DawoNYLhN9E6dAv7u0poY6Ko+vzeINBqAUVT0aEDxI4/DZIWE3JArm5tJ4bz3dOL3KeLUV6p
wL1dGBAgdJsKHO8lcvHVHMaLMveAap1vmnR9ED4vdhoeszfvHQtRlhoRLVEKU+vSVFOIQZUuhrCl
ZZKZQXndRyicXVkPb48PmyORJy4UTTqu9vLnr7IFSvXBJCo39rUenWqldK43PPOOY0Cz/vKA3lxx
C6KJnAoLDwey0PqKq4uFZYtDo19BFfs5J132ImVY7asYX57GLbRbvLv/zvhAQqCBTXmW+Kvx1Xga
22HFLMaRqmgZA2VH7QIbCVRGruzkc1PJjuJ+4b1CXWS1LJCJ6SOoX3RwcKv4WCp8LoveNb5bAAzf
vZkW9h4YJCrqS1lvtc71uYqmsnMTvxzm4uA16b9qYV+DHrz9XqwH2hHg/pdrc33eNsKAog6zlQXo
TJ+7Yp79WbPUItbXPOiqTB/yWUNu4vIqebu5TqOuzonAngooW0HkCwOd9L6M2gOyI+bxcpS3uQhN
TSpoXJtQ0Olvni57OaJPi2xc5GuoxjxmSTdvJmfMt5lVmneGivE0iYZAHC3VBn9cDn1ugFxivGxN
ciCA1qehx7kpNW1E6Dm20V6z8Vi7T3DH8/9GFIradPep9kIjO40i4w7EE2YgvmP2/R7VONyiKxSp
L0d5u+R503AQikWigV6ceRqlcPQsN1oV+3o3B90BJdPG3M9xnWTHCi2k9sqRuCzrV9VchkE4CCko
NfCK4jV5Gq4Pc6uqZhx9g7myDmFSzU+5jDD0qJdaFbre3pVlcmYLUPUDgrPUzUmPV99KtRg09M4Q
+65DttG2Bj0rR0OJjodKu+/Bld/3ToNw4LunlfMY0A1Rbe7M1cdrtSX5qnpcnbl88HGP55sA83UM
onnMXyPNn5lUkn+blhwbj1fValKx7ZscL8SrtWnbsIB+Ruq3BX3g2tvI9hp1TKwiyq7s8jMLh2cc
ZSwuOPQo1tZKloNxYNN1mZ/TDN1SWwpe7KEVx1kU/c/Lk3lmv9G4YptTKKadu0ZQtZ1DF0D16IJL
Eqze6BH8m71ffycIlWjqHFDB1s9hHdUc8Hxt5gOAHnYqRzU7R6Hnyg36ZtYon3CN0fejZrMAXU/X
/8jjjeZiXPhwy6unlLK7r+PhcFCTYX+9PKA3ByTrXS4NMbJE6DxrdFte5/UCrq78uJACtV4tCW6i
eYLkiqxdreMMGlaDix37UFYJvlgdHhCXfwEt1DefjvcTUEkS5AUJAsP9dLw85xJIn0m1m6SewAPX
ZpGa6WOfzk2IG0WGZOe8saNsTr0N/MkmRjrLzXDB3Bq07rBE9CLdyLA2xfNQ/RElYDGsmyF1S+2L
cnIqFF8D5KLz+OhofaP9yrNYC9wt9krBIqKPeXeCzvcQ6kg8qinvK91ve9q98aH14lq8YMPlacXW
VmpY/ns1oxpWOSpr/2W0ejl8nc0Z03kUjOvsV5VYbbc1uykydjESpxUCtEYbZ7ddGUe3uhPbMc2x
uJ++jSpHnX+Td2EdO3vTihC/nIykH9B5A39UP+jIpSd+LFTqfqG8Y1p3NlxK/ZfXwH36nPAgxBS5
gBZl5FtmJnP8PtViTNXbvhiDW/y0M+TwEHobsLDBIL1ajJmCAJHPwk228YQzyufREnX8sS6kJo6p
5wUUCBlLIb9XaPihGSuqYXTkEXX/cBa7to9H7AVSPcWI7ojPiDYc8KBCOK4h5x9RiZtwAzG3mVd5
mIVNJSpwhQrE9Fx0s5H/SsvcNjFhRpLma9XwnO39tC5K7QN42SL40KLbBti5M7CWU7Jv+Kk2yJJv
RhfqkFoF8u/zp9IuwbR6IdIRu7HBfWvbOTKNn5pFhybzNaF13leJVlbzo0SeWSG/qVuI9jZFTNEV
rWQssRRPWVR6j0qY7fiMSHab8IoIESCkXxnr+OltMKrqEJEbnTT8HEm3r7Q9CgJDn96kqJKqJwxj
yr7fQJtxradhwNRs2LRpOEw499DNI8eOJtSxvtYOjH3eXfj5tl/mCWG8cRNhNKk9uQ3mgD9xEUnM
cJtp6Fs1/jzUsenS8ddl96mwlS7/MufZChOK0k2lkCREAg6pzcjta6PZTh1iaq2PTuaAQinG5an3
EgcT/r5ZV9rufJhCmeffXZnoMQqUhlIY+RZp5wz4JVu9qW/azkrmx6pzgUEetMabGoFecV7LEPPO
VnT1JnJnM/irwals0VIO7AbagjZNhv7Ntaa5gbNujXPdI96Jkvb3UnmzgWJpac2frbzuwk/CC9r8
BXbriFmdF2jDFlrE7GxcvQ1yvy+iSX/I3BDFX7Z9OX9JNdAjCKN3NsHroXLupym2rS8Yb3TzHuMx
TiB85bsG+VqoREaoHZGzpfOK8Zc1Td9zK2Oj7jMdnXjsahJ9BiKSx1pe63eiNrPS2y4tcE/3Vaup
psfN0KUMuJlNVPDMu06DyeltjT7r5l9SaXSx/EA1oIA2RoGHlrUHIpS7MOYMbZ6MTazP+fAdhKWG
OzqsclyETTPUQKmi8wMseTMVbpj8Iat6LKOtE+qz/owsG+IJsHamAEn0uQUig+jeUMruZ4YMI2Y4
mhl6GD8teIimuXXQnbfaD0mhy7S+qVFdLLtDPUINRueUR4Fj+6WwA3mfi9jOOrSLIpWrm5bTOgYj
bXgt/mlo2MitaWlamWyjbnBL82YWGcfX5yCVU9c954moEtS0c88ZjM94g/H2IbtzpYiXnqTmPIzt
PGLHB2ioMXdlOCMbO3hTZ+yaZkIWyPc01FMfs7iaqiOakXUUgyjETQF3A4mM5y83M+l57Nt4sv+F
E9Xg3CFo2eg/nMhsipfMgZEP6g+wEsBDiKTFL1NwJm/MnmxhO4xR39/pdukELxMPZCwt2qJOD2ka
2uZd46JHhcWW1P9EqRGBo6ib8GEO5vQw4HmMSAQe3AamYojj24GpPmLyne3N1Es+0lcr6fdkjtfI
FzeSWbKj3FRjP0HTu1Af7bIfIO+WAgetb6ag9v2TMUXiW4usH2WBTtO8Az+LlgOqkLhmg0NIxQG4
tZ7eNVMeSN8eSNO3CSp11TfRmS7i61qWVeW9hhpg+mzi9lTdG9zAWABY0Tjdc96V32bLWETscq8K
fjpz5GZPMSp4zlNb6bP3DSxQVeyb4n9xdGbLjevIFv0iRHAAp1dSkufZ5aFeGLaPizM4gSDIr++l
frsRfetUSSKBzNw79xJVBOx2MNsFteqmU2NhncnjKLr8t09md3rEtlp15CtWNvnmke155gAVj9XT
FHpK/Zfksg5ZLJz4Ho79bib/t5KG6XQq+snjqeYZcexT4HfIU0JtOnxR2z7u16WoJav90oLbfsuL
WDvqUq5zOJOiHkyFdS9Joh/IrdxhKU//TLytRH82clSkQ2pXwpKZtZDetwdyZCE7Uykb7gc2NAzY
T5KQijOkKCHWj12Nvjy7UsnNHe2chRvg699o6QBCpDClZrZly8LTydcoa2d4iyoJ1g+fLg86KAGu
ldADILP5Ac4Ud+m04iCN7XQRx4YIe8CTyXhXiWD1U4wy50DN3nKeYz2Yl0+o1iFxwKGtFo5GtwGj
gg8EjyUJ7QhJtq+wFTlNJeM3WyCcvhHf2v1XqAFSELAqssuDZXDfXMHEDACIK/wsGoup+5mXPX7G
4MWNnUC5tk+hWi1RuPua3zalXypyYsvxI3YRfrlgTfM5Y+p5buGs/xcCvOouh976T8O6hk8sngJW
OF8Ln0XsTpY9xzm8VutYLi9UCjEj6TJIuotxJ9zigkCTXB+dKAf34/fJFFzuM5h1EJBzB84p4sfa
dgHGfCMal9lo6aTlQOJBhhGPOIJgbNv6VIdBfkt3A7to6Nr9qxLc31eD9kAfDOW8YsHWuoNj4DYn
EvpdeZKOKi5oPkgNAeMwOJja8rE8DJ3qncxgGj9MqBfLxcrn+PTxYrbZmHPHZEFj+FGqrSUZyOBq
1WTzw0a6misTwfIyMd4x0uKSggQhu0JW38RsrwtiL7YUGkB02XQTkaxsw8TuwRFcQ3DK+asgd3nN
ORt3yWU2QWwUB996FuDlUpTPHHfe++z3ypxxHPMfWUfFn6Cw0OBQdp7cifgTvhEhnFNZ9ehITjQ5
vA99naxpEs8UqwTHDOHtkHdQGvt+V/OFJ+d6uLI9Ozqnxdee/dOwaT4e5BiJKq2DeUUG6nk0wznp
5DHfYqfPav7Mw/l3YBIOW9hkOs89L6NG6SPQb9Qi+BK3jkuEuHMAZGrxvpI16G4Kv9/tAWdzxWdw
rIZ0J/aRrfK9qv/2/DSQjNZWnHw2v4HsEmRwYnwIeqjtoFRmNDsdgfkt/ydjWGpwUmUVsfS1W7xN
ELvzS1nkqwcrpcTwGdZx0meJ2w4PTRvCMYy8mkybZF5CffKBFyDpw2hM0n4nmj0rDc7eVARuKXn1
Oyc47ks3PK/R3AUvXVPUbkYkKyy8zkbDTFz9aO1dEBUDq9aFnxSZKtbIPfT8nsP9uDvgDAkQD656
vyVJvbNCUl1Gi7unPptBoLAizWE27xUAOdUZ8eBhreq/3R5CvYg5MwFC2aU4lMXIfxa8bdIcTWKo
+MKoCoCqKhXdJG1NCCs1bixIRk9U8wvNwq6/IcErH6AFuU/qsoLiquYkmU56Lxw+izuDlJOseZBX
jt3jOrdT8OYF2xxfQ070COjzTfG8R4Vy0gHn/Y01OcWlWVeKPLMPoEvCXhY2I3iK0GvYSNXjNnre
31km5W3V9p1MteMXmsMwqatM5YaDcd1d+WeCavFX9A24KmFk5T57iyayIMDi0H0002iYjTWzXtQ9
r+W2E7ZoufnCvHLEY0ld+7ovgmgXp/eqm94NliTriZik4G9geh6Kooz9S36qwJyg860zj6pKng3r
JvUxt5Um0h6NugRKJ8YQmDJ0wdQ0cRmdcp0zDt5F3pVEklv3Q67ibIhim7M+MYScj4lvcIPmtswv
ds845BAFRdGB42Um+V4CJkuhXzZVNhcLZxfKBqindGVFsruc2Hd9ZPbmtQf0I+NejZF22RAT9Cy8
X2ElzAXsEXJxlYwnqElEaS9Zw89SE++X8N9x6iUAtWYl6/AssJTvyPrdr+fuxX/l0K//Ef9Sfq1F
096SwK6rk0+X/riTav+qclLTDw4P1MfiK2e+cBpfvU6NcDgzO2gnp8iGLUWBkyfiEFBQ+Beha93m
ym+7+RWdHYhSRr9P97Zr5T9P7Nid8ULFcCgJTOcuENxahNoH5GPlrYwrikFFg2paP3xElSecYmeZ
KTnh0XcAFkZTZP/UKombKy2hAKTaONFxbw33UDpXytdgEbqiSkMhys+6YHM+xbTmdK81nMH5YLox
9y84ivs7TBQ5K77+HrJ2syThmXNCVgBGiuSfM3n2n6NF8m+WAZ2tqXMwWYtDavJ5kYT7DIMd2cQS
ftcxD2jP8b2cAyOt241f6wpUEMOq3zUpIDH/B7GEHkgnbkOJLKY/cR71353ahH/ts51+4TphDP0r
jCei9uMzsILNFWBkNdnay6EsR/fN9JDYuMz34m+oQGmHu8y/Er2Jp8X3lqdEJGsDIWMClAfcla3i
qEN0OkInHk+r7ObqmLg2ztNyqba7dWytc2rlar8jIknBEEF++Kl9chJIelF+eMitF120zmQcBjfF
/jU70rAqP8TKXppm9r/XVZ5xfNvWfw0cHvsxWuL6zqs95x/kovXeCObgJ3+cwy9TtPVrGZCSwUpj
O18vYUGJFCCmQO7F42MuW0y422Fcq+6fHR3xrQCle5xv2/ZS9VDjIBjsbflQV6NENu2M+nXbedqy
dUua5rgJCf4Za/ByIzo7TDQI2/ivCGX+d/OH4mnhCn8M21J/ljqIu9Twrf2AGpzgD4wutb7iN0/J
YAFo0zaCOrBty/ParpyxLTgSUjjSZrncJxNtOPg2CHEZ9ey5TYiD6tH1OqtOg1MFTORdEo1OZt4M
wLSxCqILlEv3M9RNEJJPAlhcTgGvu8faZcSgih7+YFlrn1IZnTG1NU6CGLVJbMlx9S0rHI21/fWO
5itPq0djDzBJI3tqcKkXwBGWLk10p8OsB7tSALuMeMhyI+VDPsblG86L9nX1FuZANH7LnPpDMkKX
JYHhjIyLQQS0RfBr+gTUwAzH79qWwpfHJKaIOU22i4nOX86KipO7xZU7RiAHrU2SV+70vjqYoFI3
NRve+mqClvUXZJK4s/CHQYfFZfleULAu11ExJc8lWFmQEnPDjgEzliCHJDaOx9i1UXM5uhIOdCEH
+V88+hYTkMrbG7lP+5tclwF2RjCHisijTazpxi9z0SFFridjyv0jL+xmbzktgu6UkKZ/7GSs12zE
MkE5OxQ0dzkfnm9nS7YPmm7/NWj84qWZWPRNKz0GXloQ+J0fvGZz/rVV3d2w7nc+wplegUMxYJwz
tmj0Y6Q3Q3gv2Q58ATss2J21rAdy3XxgB8MeQuGOBcjtgrIdoiPsxavArHzMhCUIsiC7FR4877P8
QeHL/ziDnN8ldvq/yATbTdFCU8h02SbvMfTu/5gEto/TMnTfdbD7Vz0fc8pQyWl/LSoRaRl4/vHB
rUl+5au5BeJAs8gTJXK9HnPHB3bjynzkm+XMYA7iBfNzS7gHzb6HK4LTMxofDV3qmhLkW7s3xKUH
f802B3dRWE/Qhxv57kNVKdNZtvq7mUmeSm3L/DObuz7sOPbq1kunZY6/UJgpkpcyKW73YLRTuvEl
3pEa7RAjX9jldlgKihTHXdzDlsO5Y60LbjaU0L76FFizPuMqlPy7vYGVEIwb/YUc6hyMqJksLRBr
pTT/kM5gEEMlusvjcwJ1iBSr07H0oiKbyz5ejlRNm8rkvNcf2PTzR28J1zM0lhls1hXnqm2Upr9U
IZmEqRnCqM8Kn4X963japi/PbPI13BNY17PY1VOvdPweFL4LZbSBUjnouv/RWKzviI/otxPEXUgL
PSkYH45lkJp63MAs/1ej+wyWnSsADiGhUoEIoyernOh9gUBwhgRL+VYaw9Wx9htbP+HU2BYOZO0D
dKFJpvb1++XgK1d8VHFPNB09Q05DGkvCnGaqlltoHRpKj2xHk/KKh99CrG1xLMeV8KOajjhri6Z5
UD79BHMgNOWLdszr22knKAG8R+JexXMT/RadVNf416liWkOJ4eoYfHItovGADTmHVBGLuDzEAdRG
/hWSI0qyN39XITb9rC1A3ZPWvXcKQkNFr3S9V5k3TfOnM67JY4i5D6+9IpIkbYKunbKE/McbpMwe
utbUVC8FdM8hG7TyWkJZDbVXTHAUDEO/6F5AWUdr1q0D8f5auvZWxsWWcBXq6jkmiRcE7KCr6OTH
gJ35jQc4gzOrzp03i0/MRay7s/TuzYegDWYIetuwXjaoRK+RWKfymuRILseSsrpMOYvEZVI61lw4
xRBFhymI2VIPCg4ZOL3Rde62+wMMiDE57rZsbja1TQENWLD5EGe3+aFaQ241FRXImFA61GUVIRQd
d5yHH0E+7F9jYp3xwG/Y3C5We+4hWYE/pG2Td+9aNMN30rUSXikVyg8iw3ZXR6suD/TM6l7bTbSP
DlEMugDsxhD4YHtfEwGfL6CdXNi7lB3VIpd7mXtg+GIVj9t3swsH2FijeQtEDBcydc6Qcx4hv/Ev
zgYAVpyrKfkJg2pSx3Ga9/VzzRf3JUY4vNyMU/Li7Gb56Ls1+emWvi1PsavUG+Hp8v2M750yMKrd
p1Nx66YOHfefXdQAdccw6U/uFPKUJuGytkcxL0l8tEs+VJcTs24ohUq6+23RJtQsO23xSyhnxouu
9UgG8BlgA4MbmtimxJX29hiDY2gYc/jdS2MJTiA+fVcihfFoP7WsKUO9CPzfsWv5xxx6M/JX2xjK
wsHZN3tH8TzSy24AXsAEUu0e2c4HkTmiCX2JzYRx8dPu55HC5ozjU1yLOD56xPVQbKzgW7K9ChST
qWgBMS82u/dcKsM0ZD2a9j9vixyif/kdKu8ySNbh75gvJJ3m0TL6GTNm2pot8gHp9SLsh+tZeqIl
ptP3mQ4RrseUeBrKDuz8Hjwu9drcGkesZ+boSitU7Nj2zgQ7guTLSQ/ryfOoMXDAFNiAu6GbGgQa
q57rafEc/t9ND5+6pm6Dh+N0p52pL+AfVYVPXYtrILXbMjBxa7ronlg6P0r1EC7/sRBvl5RhiDMc
wEAqOPMTNPN0gv36aDaCcVIGJY1zYXDtrmA3SOhkDp3EE4+OJ+/aPJ+fEVU6evutV+75+G6/KisX
jmky3PjjFdV0KnLXvHq7TEDbQJm5wK5fP86qcL1DQEbEk04IcCTTW5P6rsLVQ65yy4VKwJk9V5yW
hJHRW1fWYHD2ujBu1veqAh4uG1q1gGuwS2O9gMUadkF4p2j3tb2ppti9hImpTTqg/7+WPFWQzEUb
l8wqQKtyGFe8UBVeGTAe2L1oRMOguFgKP94PhBMPSJl5rYs0Jng8z8Ilt19Stdq5KOlSQRcN/kMf
reG/0k/kwrlV6C2beYDgDrbtDrtsL5odMJRnXtdAAKV33WqbycaQbYQIU0VdNnQDhm8YRNbGmC78
fWXMix+2uV/JUAsydNp1pNpf4X/59BM5FjkHwZ9RCHm2687Uz9UIAdU67iLb8hn/qFtxN7WubL9F
We0MJWXSvOYo9MOxi0SyZYL+4DGxNZUT20VTmTrOvDNn3toG0qTHXq+2yDJpQDIDqGsq1ylb0Pg6
fsm9pwGwMpiyoB7kSzIBKk9dli6fkXwgFFNnLxRCy9KkuonRpLZID49LRckLTXhsrjpYpUCpC2HG
g1lL8+3lm9NS763Dbd10rXvl6Vy8ThAkn/D+wpEJdJ4wYXXUNB071D4QhwEDMDgy+s//RQagosnw
6y2TfRAq128ih/R0TKax/g1AmRHaZuz+vW5ievA3Vf6OPREeNAd+/jBAKucIynvvzUC7U5lh+nQZ
eb33ky8ceXxUnjF0UQhJi1XT3wj8sUj33ZC4tcRly0oyUS7ktdXBkXtOPqCgzc+0qrCN/SLYPjBJ
i78KZYKLLCntnLaLK+o7EkvRkwo9mpcBlNyG338HfTB40fQ7OWS2UK2Hv4IgRyejGY3vPW+tmfRO
dv4jbEdlXerFuWvr80ljyzJ/UlyfOlu1a24QR9i+xcgcCZDRsxve2WCXIdJM1z5Zd6Pe5a9UD54V
IdGGhvsujgyH1RSFzvMYq3q8mfPIswhMnQkORdQypiRGO/Yul1ESlRWQsBIcoKRt//iGzocVpWaT
DYxT39y1ZFjaLHRbaSAZexREkwSXXIIuc+0uRwj39q5/as5JA6dEedstxx6g64YMIvg/sej/5aKT
MlO2hE0YG79/rgEMAyztSBo5AS8n9MWzlfs0UYI4WYjL5xG2rZw4DuIS8Yn1kYXNeGicFNmFJQE+
7waTNpx1rCeZKtqAwJXrL6zVWqadu8gu4yHZPsxSi9fCracKKXiavlSTM601UEuadLFmeAyJJ/2Z
uHkemDS7j2T29t7jiBc+Z2TXNeA3zgqxrZU7vedM/pyL2t+Wx85x5+4mD/W+Q9a0RXhiGRH9rxbn
0ONz3vCxm2dqeT+uwORqPYsqw2Jbfiu49BSynGe8f1PTIBMNTfnosQ27HCdtpmORz0j8Fisf3+/m
UVRMrRM+NW7TjHzVBbVCjxv022kQpuF+cRRnW215YuPeif5p39me5baY+WaIQ66cjZ0baFkmsF/M
wSOZzZiQL0Kib8urSmKPP19zZGIOQw9V3usL5nbE0HjgxPdo/6itcT+3po3d1HiNuGHpvf8No5XB
M0HPBK6C+R7flzYyUC2dDg0/KKLxChA9/+Vugr166cuoDbKxiYN/6B4BagcugrNY3LFzpeRMm0Vw
vPPD7ISxuOJQM1mDfOjdApR3/rRCjt5RAMep4Gq18XmOnCPGRyXz3wNZcv1zs/rbt8XJ9ckHgtJC
s9GqY8R2SJjJ0YBqWslPv2bg46xpzyP0QrWk2kPh58LJelh+/sXmav/TCVT1hku1/Lswm/0kztMt
L9CpuzfAcsHvtPcl0Ns2gSUn0eYgL4/yzibxuE7HwCTuD8bxYU+9vCYEABqFbK6cpl3f1V5MwbVX
AvE+aNwgPMgsdv7jfbQj08MRnbgy7UaJh/NmPIaNAO07T5W8mUmbQG6yCmq83zEJcPs4P5TTGq6n
qNpxE1ZL4AAKK3oxF3dFUHd8ZpQBkVme1zNVcvHbrOO3u1Zu76Als5D52wyrfhrgw46wIec8yDbG
1f4xUNDKs8Fpfedmz9sJFPM+Bp/CA0Z2q4rY06eaBvY5aoQ7ZEkgxHZVTaX3ih2WZADHLakNop4M
l167TGeKcx2QFnk+PLQKlB2H+6pexIQ8xi0N8SPd3SF6cubQFKdV6O5vNFAdZZViWJ22ogi4z7x2
eNWjDf5j54L5jAIIFqWTVixffEiSDN07f9u8Hb6mrETqNznTJlME0QNe3aE5AOBegajqeORQEsHC
ep0hHeJUAHBpL/J2jOobj+ODyXM5avcIFKl6rZsC6J8XrKI69viSJOM8j7HyoEOAkNuCe9ht9uaN
va6wSzvyLAr++LQfQuXtOuWKRONYuGl+Z0J05QHFx70OV9iDZFgm4XXYxMIy0F/tS8lX+TbsO0vG
tk6qHgo4Z19mSq8kclj1I1zCuCwe5/Kcz9GuofsmnHJ5Z9+D108tOQaUrRvsfChlPMusEHDBU5nH
3tVc8/594RPggJQRQLfB8zlsG8osXk7lTQO4S0YMhJtgjiQ3caaJrcJRwwbqXP+i1eS+cRtE+VFa
mohUgno+KaNFfRtskO/T2Dq2SgtDMlHWKgaql/EWBr9DMJbviiOl5EuIlqvepSQ6xHig5PPetMvt
Jp2+uqU6C2/XwYnURWCUqQCxd5hqqByY1riucadDZzzBAGYveHjKIOg/zbbwQUa/Kp46mq53S0/A
io/oCTjY4yH/08TFsLFNuYO0ZfCPDIDUO90MA2XKqWOm3mTtsE0L67P+dO8ua/8jWhFUN9YLg0u2
r5ef0LTB0fHKZbxndI/mpVmK3DiUxvBfYrrqvw1t9bdl+vomhxDrRD6Q6JP5TUH1pkdK80NlBvmg
sXvgEEODJUfJbBbJwcgGQBwx5IRurtNXVPccgkvJtJybREdTVjfVzE+xRjz6Oh6UTFU5y7cE69FX
2br2zRmjeEk7T9kvRUi0e6hLI56oJ3YcKiP/+Cju/ki5TG+N7Z0k5ax2a3ag8J3gHJMTRctWQN50
1xAu6I66qdOKABhGDSTIM+Yaogke92LlV+Bq+cd3ouVJChrUdI7N/OM5haIeoQkaDjmy5lXHB6Sk
yxf/pqIkDbO2MnOPZ4XcasI+fYJpzYDJgle/Gy64C8vvSK4BKOl6231ynsYqPEgRRNUh5wt0YZGz
AZ+xEtN0WeX5FbZlMsPQzwcMW+n5TGZphR9YphNYqVsVM+5EkWuGNwKm2v8aa6YeF/7ePqiWyvO4
mWJA1kLe7Q5JbaQ92RpZe7RhN2Zb1Eg+Wc6W6HHPuWDQxmP7Fxx880VDwB531Yn91XM3h60VMa6v
stjqZ28zLkMjd0WF4/rohwy/Bsp0G+v+weh8vO+k58OTptN/Yuzky2zEefV3Y7Pus+i37mUOG0ps
HOAgS8lX8d/KYOvZwN8q/14gc0MDVcX4VZr+7ECkB2nSlRg3fbE4qgFVDk+xwge11MhJiImvYYip
pS6JuUzXUelfw8LF35AWtKDe8Hk/fYoEqgk0ruTYh2uls3Heiz+udjETDSg6Z6pGiVwR9Cvfc9UR
P50ui+c+WX+1Tx1wsoHRpay/cNTRhGza/GdxFndpOZ+f4nmWVX+5D4366BGEeaCT1laZYDDgpGgH
4GMZOjGK2sOmvCv1oKJskt7EPbzyh05jKZcSvEfJcLx1xNZeyi7HODQXVj8Vc47Foj4b7VMp13LD
j7aID3rz9sEPGHXzzdfiYZh08cg6DeG5uavkledqZsDT2aLECxcEBEQ2/RIfIoZqbwwVh0+nWL3g
GDktc1kzVe49nkkVZuyVMLiiXwtRpWs32jLOWcwblF7qaVtAxBzE6PODlxop+cArwJZHgWPvQ5T+
YA9+uTmXq0B+5wwv7Fc8gKIOqGL4nkKxfLv+jspPgmcFZsYNNhp1sZZvbl4F+TWRrOuDGkmMOfEq
cLBhzeOu7AOgeyiwZiyo3H1wuKS0hVwVWz/dCsnZkka60M1Bt3LcUxFu+QP7FubZeLH+NlLL6dIl
M+RGtUjxVG59jiwpgy/meCvHXzQVl73Phj2z2Kq/cNYRZ4+VYrjho85YGyKvLLONlavfiueHv4EM
99PsdOG/QZZteBSTUV/n44EuDc2DLG8qiasotx2xhuiln2O8uuw7lH6huKFEzHiGGcV9O7FcgD0m
zO/3qIXotzOIw4tQ7r05JHlfDJREsrreA8UEe8jxqTPAwP1xGsXW3DdJz+XZjd3q8fhM/nUToDmR
eeP0LT1U2Dw72tY/a79Hf0v84BgyS995n/eRpihoSd2RtsRtU3gOO4bF4uSU5aHx33kK61us+D82
n9sx89VAtRdV1OfRHnskQqrWuay9AT+T3RE5ObCh+B7rmJI9NYJONK2R684o2tW7wpRTxkeS7mAz
hUr4XwozHKeVzzVcK+NclvPIK8HgP3mcvcF/HJhAq0O++uvn6HFr8vDJ9dtT4IbSuqnDGzPj/UpV
0ldv64ZcxkxqDe7YwV55wjFXlscFY99ENtQg6eajBhUjnFznmh9uwqvRWPHaJLbAyHY2IPYBxKEL
M5qKAzdXnxNLpGDf5/5eOZX1L+t2cE5KWC0vOFzHJot0r0uJa4KRIDgg5gmtuW4U+qd7VhLx1MVp
xEapubRJ0KE3dFU4cwJ5DHsBpbDoQFY+8rbxG94nfoR8wsekgxDhw8R3zVpBNJt9xuN3LJUxPVC2
CSPYMhP+XMYSTCu4N0p9NEPU+idIQYy0YSZPH33trb+r4g4ikQvF+VDrbXyJEle0txh9q5ua06LL
ovXcVaEx84/ALlMVaUTt9UEOqbhhaxEZO9rX+kuWcv1F4+NvnZq5SQ7Mrdr4YZIdA2EIhzv9APm3
qK4qDqZ39uCG4KYM+uoPpgOtKbgMXFgNdBPPiGWVpcmmAQfWZcFIbb5lnXa+MxjNlyxm3LVfQkgc
qvIBrdV6rzgs9m8KL4Mf3kYyn9900bAKcpyI4IquBFL+Fynf64ctfLtcoMnHIHHpivFYLIJ0SPpr
httFtIvPhEg0YrviMLkvlyYpcYOVMcV137/MyPgYq5zK+RbYI9Rhr5ogP2IOgUNuaE27g5zxCKF0
n18AuWyEFXoqNmMWc6eEVNgRTjOUvuRV92P8tC/+6iBW7nxMNpTHC5y2691u5p3x287JcEAYWZ4L
TNNA4He3GZlpxs1bRTyCf1j6fiL1BxcgRWbTbcyK54AjZ3Ibmv4YY4iLZUxrjS9FlA0Sg+CxQb8l
xrEZ9ii/HJktV4QUUeBmveMhGSLBqfBE7NhANhNRavGJyX3D3eR7SHMSGzmZcdNOu6wm4yFaAWt9
oXhczbEkQfWaMBmXCYujhKA5nnl8V+uQqjDW3Zanzcbxjo7IwOeKVHCaaQwnEd6uvXa/gsZr2B9W
xGiStmoae+h8I/8r4RMzwqug0aTC75jRJjUe4HThsH6e2rH9gzHRH4509fbNFGVXXgkKb7SNavCf
osIjYcu6A0+kDpV2UQ1d926luPkaaxO/EBecYD6CVpQf4bWz0rn7nr6f4sr7W/ZeFBzq2jpXe1D0
w8OU9NPTuqnAwbsR42Dvz6V9l/vNlMHkxhVGRS7YvFbh/K7Klj63JhaUQx4TZ35gMi6fOA7QkNgx
w5Lrq1YIzG9ieeSY2k3m1w0ex6Em0Wgd/38PSA2Eund6fcfRiE6Mjyj/YBOjvdxIVrUHDA/Ig9h8
xs+N/bj5MGJ4G6/hpjj/Cqti/8IRzPgyxgQuV4kTQpDkcBExLHGf9pPgcf1fV3jzSkHdFG9k7Jqn
rZwMN8wQFl+j3rZ/RYTN7tRMSfOdcElPx5AXCyVirOORCJo6whe6UXJmPPGI3bIUvDdsMVD40Xo3
P8zo1Vc/QGZPXaLh31BxmdGss97uoJAnX2S/4OZBMQ5GVIC9xrLsi/i/tu7274reik/ltnjali4y
MqurOtBnOS8wmVNF7d+KbFfAPe7Our1kUofqWZ13OmaTYBZV/d5hPnEcfvwC2e56XjdPp07krQHv
gRQlLqO6mI7xkGC75m4BqRQXci8yBNnxHvKYsx0iJ3Rug0IBG6jcte0vqB+b97HnVKaIw3q0eANH
P4bH7ge7af3IXqvGZ1h5nTjiCM8fNedTmVHmu7RpVb+8eHjF/wxoN69BiI4guR1vu771n+vWl+pp
rNeFqJ2kMtulFxv7MpfzTAzqPvnEAA2tzi+23q+fl8GfmTytG0srm7MzbaR2ITR19+ImPtIlifBY
yZ520c5jOB08zVtzLHRlOR+TdVJXSlpvYR13lXHCbDXgfAh8zf9css7zM1T7IDKy1noSDWp3q7/j
HuPEBREZJr8z9DgYuqLcPFt8c7+S1oCf2j2HuaiCWXsuS+xkGw4Y7A3aab/XyeavOZX+f4RCnces
m10lBwE14JFVHP+TfRCcHh3rQZ9jZbnIJ+0mF2O7NqisbAh1lxZ/5zO9ygDYuPZm7PMBy0Gru49u
NrdsIqaN57UtDhOGJIc8Z02GOjKKHplNU20GbAXc1BP2u0MFYjJGPFi4njDX+G/eNlbfNsbZm7Vt
RJXL9t80ZqMT54+qlviMqPwpcpFdy+bU+134IjoPI89CaMjjLFy9Z2OcL2vK+htupiFy+tcmqra/
8RK6LyGClnN0890RhzJJECdgQxVV1kwdpWkrfPXkxjp+ht7YfzpiDjAs9X3hZZyHjA+hw6lbVtKE
Yq958r/Ik8fwiR23u5pYvDJHl9x3nfHvcV5zdp6v933t8YgwQP1vbqri02OahqN2tB3Ae+wTDHD8
Tmw4Bc3Zd4nBDXMAFvj3XG2lPOBI2pHho3j4H2fn1R05cnz5rzJn3qGFN3v+0gNMObLou4fNFxy2
gymg4O2n3x842hULrFNYSiNp2pDMyszIyMiIG/euQdjznQrYuox7j+obwTGQfLtR4EnzgrI2bupY
E3pcdSJp5P7i+LnMD9GT5R+sO8qGZFw63x+FKcHVZ7apC7S29JFKuD/g2V4JGnhqyKAs7Tqj2cGm
scr/roekKlaVVcSqO4CFsMB51cNOHfUUrgtxumFisUgiT21D0rIJiA7Fk1LTuJ3enRpOpRm3VVYF
peM3Lbk9+Jvk66od1S/BAS9mQ3AZoUDEs2RlljnhDOTN5e+Ohr/rqEhr2W1LkXp5ZNJVwEpjkI5W
F0Fit+MgPNOAyB73A5ToZjRKT0pvQNVSgLuUSY0RotndIZNpvDkcrfv64I+azWM9JGjwJYkDIcrC
ly5Sxi9+1DYSgPApzwwZXPOqxpVSOGNHHsYZUaDwJ17BgYIbOaO7dMgDAfgsz2p7UAxpT7tYeWNa
AYBjQ0qJ7APVqBGLsvKux9NTnpergVLv2B86fwVQVA02iVRZ98IxhEXDsqjYXyltRzWDcnjl+rj9
ihYL7vqtHKuWYFc1Wsr1sRR4i9aU3T0eq8eYNsQ4y+7lQQIWAGasoonGF6l30SPXeEUfDrlbir2k
OuZIC7TTi03z2iqd0HldU0rxygqtA2cqtHQiLQCoI/C5IIhdiZRg9LMPSMx4zShIrZNmNMATmA0H
IBdWIUc7+MesdN+1kXmnRYekcJV2TGjTysDY3dLyQ1G7oU+BxSiU9Kd0OErVaghHv3eHnpTVKggJ
jF2JVSzdESdObBFTpWJhk1yQyArJ/kNUGMQSBdIXAkDPliBk4Kz+So49guoRfR8PWT3A8DLJAOwR
RKifwcyqFCGzSt8XGnVnRxmHHGixmcdwMaq+BPIWz2ULFFJuJF8C8tKTSQWJ1wHLdhP6h35mfj58
yRIpvlVBpYsTYJDcMdlYg4dolv82/ZbHH3ldcoVkD4m4Yo2CTW0k4gsRX1c7PFGOhKBtad5KuVJI
a181x5dA6MQ9LaateEUzmfKz0yRlSs4kwDPREgq2JIbDkfqoeLyluUCRwPArTUiZHYEDBxAQJ8ro
Y/E+RPTg4GSqyIa1oqg9NVVJWblodMq7B7GytoMQ1N26Y78fR27wfqOSzdjGZE/ua6UlhwTHWXMN
IIJbMgN9ckN0wHWRiFXW2mNFEmNtRkVJAkumm+CRnGRCCJK1Mnip48G819MMMCzXTXBbJCCJ7ZZV
/guEens7PfSA4ogJ/WCCkFV39En6Pw45GWSnVXpeGGpvJsBEkFT5ZoUDhznIw8EAn5WQrkhjiHU9
2PDUHwnJNphh5Tx8CtVjzctXtIpv8AzpCUm2Y/IjkIoSFIR/IKVEN3eSg0k/5k9SBgIAJwv+QtXg
PLajClFyl1M8vFiDPrbE8QpYkI5UrQYKh7ARnLSaPKgRvQwOVSj9u2aWxj13UKWsMj+gzo3plp5Y
ByUhfpkruTN552ElxyR3vLivSWNr5ggwMjTT2wmDOrhhX/R7IpdjpW8CKtqDF6qSWUAtVwj7quXW
3ByyTNma5ERk24Rgnid81ufSbUUz4M/SF8dbnW7R2u4AVjSbeiT/dkfvmQ+3qWBkrE2oapmHildt
XI+1nuRfeRcIXwWLxChloFwEn6/HRLl1l0vfkuOoisSAPI9+WEHcCjbPLzCKvkTT1DovQI3/ZaAa
alFysY4aTkIhNQbONiAJDwAoGr6ALm3R27BoXVopOb08dtYMaNFe7neeuATekxsgHgD1J3QNIiRn
ZCFnzd2JNGhWAfCHgrAqvwhN5tvNoWjWxqHr7wQhgexV8AO2rm7c5NBI68vDzxu+p+HRaqUd34TG
lirYaa81PaxlDWwltWm94jmUAGVuNiIoQYXuzvyWGoVlj5oaXJV9Aiz48uBzVTEE5hhdFkWqjoo+
8aecjo5OmK5RujvaB58r1ysln4OUIgvoHXhVRMCayKIFdGZTP494UdEj6h2OoE0IYkh4F3r9vPCJ
5r3n8080o1gB8OwXZcp2BJmKH6aE6caBJTuESl8LQmEcD7Xwkm40L6k7DX4vc1gfj2QA5C4AGj6Q
cgBPYi2s1JwC4O1jIWI4sd5KygdmsaLHQzcqT+JjGpBupXcuANiRkI08VJmeuZdXYc4NMY02MXwY
E7spmJgZTUreqUdk3kGCAAc2v6uRoQCPo12KsLDX+u8I/coLjCLnzBDKPUnXJhuUtBn1BQDJKjtU
1OFpB5TvdGAmhLkSWNxa7Leg56x1fqR3O1P0z8k/TBKHOkhjfbJAxpdmFmhmdCCCf6HcBxEeLVek
f6P8S6pyF2zJBFHavry0Hyd6Ot7MvgZdoDElz2k8PIodL9pu2A+MewUeQwErXtRuYRbFg6Ulwery
yB8tm5Ehn9EgNTbQo5o+2TvKp2rQMilSsWwUksRdALaVizfPPsnV8raeiARiNnRkkMQ5HYWhI8Uq
ONFKJ9U7bYK+mam0oyjfPRrgrRfs5uO5gH0b90H1mIIgu3k6nKlavpUKWGpZc5vVpIYdMo5/0Vwj
bS4v38czocKzYaBGTrkHft9ped8tH61cZdlH3A1+IRdbIhh6sWgfjhwAnnQll6RzF2TXz46oQMRE
BzytCXP2QokXdpE2nPk8FLof/kCiy6rjKZNYhoc72BrNBZ6RcxaCdIJJI4QJ/dOcXbxDEUKlcos3
LhveK9aYV7mbG1V7/C9MEQkiOOElVWXXZmsZASYnomAtx8IowDrXFpijvlgY5dz6QVcuAZ5CBQVM
/OmOdQY43UPIKDUIAZ3WQmvcxKFcej05Vir45MIum8g5Y7REC/QAYRnebHbC9KzUgsGcTERqrfvu
CDGI0weBIXhNQlCz4EnmJEXTSbMUQ2QVVVgj5jIlmdUkxMB0HpdSkL5GFPTAhx6Aroz5tVkdJ0li
oW6/Xp7iGffFxQAJmYSvROlZPl3T0TdHRQMkasMpQEenZPjraiDfqqTxqkh8kyyEoq5VBcDjwnTP
7CYksFSb4WTCuaizQKWVoyw0C0565TfmN5nG65i7WGo3iJU1q4D+aO/yVM+chikgQ5pFkbiS5q6l
6qwajF1CLQt4qKvBbLlqBGVJlfzMLhoyjG66BEsR1M+zaUFXE8TH6cz58kHqQb0fqnitVJUkrqSj
CBo5isXhVgL/Gy44tLMjcxHQwoZYIHzpp1vpg/vv6xSNhNhseEfTDOO7fsXZIElSSd/x7YBdO1o5
/YWBzxwTxhOJLiC7Bt82fbB3nrSk5d2gw5SFPeT9rjqKrQcTrHBvkUFZ8Ghn5gj9n4KACUdlkgs/
HapIRHnstJTufHr/XKEEWtZrJY23EQWk+xyY8vNBspb4is9M0Jq44dEP0sigiLM9pWEaDuaWQxJJ
EOiIJXAkWlv8dSDSpfBpI7XAfFiobCB7Awnm6QRjms7JJzFBH0Ig16rBMXWFtsT39vEoTIoLIiKr
Goxv+pwSUGxNVDwKdGAECARuD90BPF8Ytwuh2JlRJm48/sF7QqE/c58N/SrpUbMoRhtgRHPpqIHW
CfVPH2uiaI6cDIeiLMJ+drpivRi2PeE7IAtAI+ltCblO5malUC+drzPTwTFLsNmLXHJYwulAVJTU
4Ej+1B47mEmjVC4dAIsLjMMfveKbpCh8WUjEE/7MZiMTsHT9kSQn0z3scJ7R4EUV+I+8p+vfo8M6
H7591uQg40WsEYi6NkmrzPxGBKyb/AERs6LkPNlCM1/lQ9+7l0c5MzHDxC+qIpebzjvvdPU6+FuD
8lDwFLcKSoZJaFwjJlOtTKMJnbwPlsR5zo/HEwAhU+K7OSt+K4uNYZDXAYIgVNT/kBOluuoHdNrE
YpzdN32p/Lg8xTMGwhSRMeOWgfP/w9Mbfny6VljIITxGdO5mVBeyevy8vcPJQ2JMUyava82Ihq1K
p8edpgO7SUT/zuxpeKriw7CgXvkxLiAVpXGVGNyVtMTPzq6vh9BNTfSZCtJ2ILVhZaFrpnsEsm+t
rc6kB/cQ9JTwqjpdX17GMztHuAVfoIZWoUQu5dRS2kiMigLBEjvT1eCZFiDtmdY8tVolGbQdtn4A
UrS6POTHawVhCpZyquRwe84v7bCTj1aHirbtK8dxrYHKekkEKpLXgszz/M6ng1eysyIkn3t54DMm
Y0LraXIATc7fnGsW3UsCWPgG7Ra2qptYU1O7yvPu03Es07PgvZRpuILye3Z/ZXlPL78J8MtKzOOa
vkYfkjfhaHAUkiTVFgz0nOlwNZMNnFYU0Nzp/jUKkljgVHmXmn20htsLbF0SCbDS+0a8h49w2Gsk
7dYKwfXT55fTYBlRGzExH20yrXeRiBGRuw50DfQ/YKY7Cc4nL4NTceGNes5ADZk3MTGkxlN1FjPD
+ZQrMM6DTNYPhl0BWHhRelg9wd8WG/pEqs1/MSue0hDd8uzBVZ/OaoROJaNFEOtUszxy6XLPdWBe
kGQtWOPZifHKn4IP/t+cvfVhpgIWCkMDDC4+PQQoA1MwqTKrTzaHVBOrh5HOn6VM2JlBJ5EU3j0s
Jlf47GIYZWDK+UifzYBiGzUqWrgGcPAZvDZBmrqXl/JjJIdx8ELVeKdyKygz35J2B7psodWhJaqm
uciJxr5Inun9MoqeDvGhk5dedW+6KKf54EkyhZeVyboSPcx2r0+tMNApTdgWxy71orYW910Pg5gV
1ceNb1I6kqKiWocgI9EAFChP2cFgUBBM4chbMN0z/saC+ASXruj49nl4GXYgM1GHysDWlIGHkC4Q
vgCm+MurfH7O74aZtuHdOYz1OmlFH/Ubfxx73S6biVwLqUhVc1LFqm+1NBS2Ykd9zUxgrM0TStEQ
l5uo8sTigk7VOftix/8WVsAzzE5rBpmcb6hMOQA77qigVX8pZXEAEiYGu7bijXZ58ueWmOQ3dwk3
5yTqdjp3VR/RpoCW0TY0pYB3jQ4iY0i7hVmdM2QDIXEJcnyFvZxm/W6FQQarSd/wToBCr/jmxwF1
xEIOXhHeXgoFzk6IN9fEUA62V5wtIOzIAAQkAo4SEXHXL0EEUqgJFwKOs6PQVILjIfeB/z6dEH1N
fi4jm4pMcBCZK2iK1MblpUUH9OX9ObdyyPdwtZJ4J/kwC+NLgnuTplYGEmpxJYBMd42sNe5zOoYf
/5uhIH62psAaDfDTOaVVX9WWwCblfZ3fmn4dUuE0gfGCJuriL//FYKhdkYIjxJbmr3DobELYoQl4
Wwowq6apEb4EIe62dZKuLg91bq8I0bgAoWPmhp/NCwyTqlcpqRtF0dJ7qCzMG91szQVfNf2UueOE
JNmY0kPcEHMu5mPS6kM0YnfHCtyk3YAV3eIcu68hGapV3tDtc3la5yyDZB8QRdBK1LBm159S0zSe
6pTO4NM6OvFIe1wZIxJGXB8ubNbHuZEtUTEKLj4yGfO5dapkJRWY6qmbulyHfnGfmeUOqJy+Ecuo
XZjYmdFMeJeRT0DzZYKbndph1ygCauOU17VO0HdBaglPSDvRuiM14x0Uff5CvPnRPsisSwjnEEfI
dLrOznIk6gD2hYymdmrs33JpHMi5yd3D5e06OwoqhxxjUhnUPE9nJQit3o+wM4Fog4FVbYPyBgjn
kqbSmbWbYiEKLTwOSDpPf//O0ZKupzvKBFd/bIf2TpL8CTJB1+9OTTv9L7nwk9+fnhYmSJJJhq2e
Cs9sWoqelFEQ8iSAYYxgPZV/RkfjkxrVJBZ4D6i4JRw6l8c8pJQFyCaOY8vzLlNg0a3gjiG7rB4d
oBg0qIns2cJp/rhb+HUN+U3elISY84Jg0eZ04LQWeL6kaK6NMfb3YtMp3ae9Oy0VooFyuYF3l82Z
dzdT8D4AQA4wY9SZlx7SX+MENSv1eEkG68OEdEXiBW6IPJFl1Mtnhwqm31JoRBoRpWKIvqWZkHuH
Ovx0fp5ReJoSTkxiCUzo1PwAgoL2NqAbLmnDLezD0YQKpxu6g7JvmxzYXlxZgOjok+fww3RZLNbJ
zs1zchu8yPEgVBxPP0HCS2dq+AW9VCZgZaJSCa/VSEs/e/9znUwaW1zM3My4xtNhROjhG3VK49EW
ZrqW0v06AjLeXD5bU6x9cqWQ8ZzkQqZauDX993SQMjpWZV3pLw09wnkm3OvRJhWNVSbJNoo3BDg0
faHXsGCTH7IL06g0G5HWVSfCoNkegiWErbfXX/pmZ4Xmddp6cuY7iR674/h8eYLzocgdi1QfEMkh
40oH9Mx5RPBKjEBD6QrW++AGthPfabq0vRLgW/dEnT41Mnuhd3nQuYW8DUqNn5qmTIgxT+3FsA5p
XdaHNvwdh3v6AxJvNAfTvTzK/Hb+exSTmFdRJmG92XmjCB1AB8zUQtqcOkAlwpSKhUXJoa98CTBx
ZrBJLIQ+NCreSGTMvH6ZZciUaRMaMfQZq8vNBy40bsy+9j9p+MzrZKiZ4Wu67xtjwVD0JnY0MaT+
GnKVz4Zs0yhkftDGIK+GJ5n5xaaRQpD3sDPiZLR1R9WYYttorC7v0UdLoDpLFwR+imwT+ZHT80XH
wRhrOs2JfpTnvGKrEIbF5LOel8rPySizU8yDBE6AnscjhKC+DW/WN/Egfbs8k48GQDoCalbEOaZq
kzHblT4RajkYoVJDtEj/KfXwOSQ06E68EsaSVNKb6b53SwQYDEaKgGoJ9aW5Ql0HR4I6tFSxqKLD
IkPMKNCsbVTXpZAWN4Bvs1WtN80G8lfZ6aNY3sKSmyz4xg97xxsZzRMJ9JY59XDOZpwWMKynofFs
RXQAFNAsOr1+WIqmzg4CwoM1pWKji/NBoH2BRjj4dhiK1PKUQtF2R7TqrPWndm9CxKg8hCihMBD6
JzNf0SRJb4V639mI4YUgl3PzC7wptJCqcbjwxpvN6O+hiHKRaqWGjZzhqckrvhEdjgS3tp7S/F0x
QbdJBGnJSYin41DQpbjFsqkKG8QtOS8u8EeSIIXS/dX2dnW7cVcr215d7Vcr113tHX6/d/l/13Xs
Db9y91errb3la/Z7frtzXf5u4+74O2/HL/nq1XZ762742z3fvOVLHWfLT1utbX4kP376klXG92+f
VrfbLT/N5sfZ3vTXq+3KeeFL+Ai2M/0Jv+Y3nm07G2fDuHwtP/FufcuPv3JdftQLf7L1bM/jJz67
e3u7fbK3nsP3eJ7neI7jTF/m8f38vOmHOdf8Ys9M+EQP0/DrjbP76u2mL/V2W9tzbhyXXzPrzTpj
8g6fbuVtrh1ntd2vpg/KZ1vznQ/OKz91w5fubh43m8dpmVio6bvd/T61p2EfHf74sg2+JS7/c6o/
7Ni8UJPGZaUCW7rfr25ftqsnJuU5r85m5zwujPSW7Lk00sy511WZyDW2sXLvn7/fBvat7X27cUR7
YRxlOjaXxplFF1VR5fQvMw5b9Lx9eGCfHdabLdlc7d0rx1mo9s/yiB+XcPYi96W6iGFSv9+7L09Y
C/t0eY9AuCxMaTp275534LPpP4IdaX9/tbqaDHq1f/uHf9++rDgbt9jq/mW/etnfFjYHZ//ywl7a
12sMa/uw3q7Xa2+9vrZvsLCdc7XBnL9dX7+Z47Xt3GzYb04ex8J17q8cm/Pp7e6dqyusb7dZcOGL
hjDdau9mo4pIWsasl/vsPnFuWLElq34L9y/ZwMzfQbVDEyNDXK1ebgOPY8lxv50OPMv2wH+29ppf
Tac6sJnh7vcGLk/7t7vZbH539v3jkom8VcQvfaD5lVKbSpxORnm7fbpdOb8328herVfTou9X+Dj3
cT+5STaGjfBsfKAz/da9XT25T9uHvfuc4dvW9vPV9xU/gKncru31013L8rl4kYftGrvzdth5bns3
r7G9e2SrXVe23XsM4sWyv3g3eJKVa29c7x4/tNtPDuayqb49kC/NcxZbHTKhVyQsFYe9t5/xua3N
5/62XtkPf3tmpocTvXLcqxUfwsPvXv4EylsccukjzAKvEWrDoZuW+hn3vmcV9pNf2z+6t65ztd3i
rTcvnBacNR6fW2LteQXudbVizbl6NtMt4D6zOasXd3t7i8PGbm4fAtv+CytasSfcEt6OU/iM197Z
b75su97ebh9+bQP718P0Q78/3b5E9tNofw/sLc4OP3T7wG9//cIa8fkb5+YRH8u/7zeP3uPmt4PL
3zzaT9wivW0H9pqj+tf1zc1fN7uN92W72/x8vOemcO65DhzPe3Tt12suos39lfvIEbW93e4an73b
sPQuq/q2zMz8N8vN5cqI3C2bPffy/srZeDcc9bcv/PrIH09O4dG9un9+xhCdnws7ctl7Ebmdnndk
lTLB4Irhlrzif9jueu9y5XH0bcfd/X3JOQt2gFTdRaeJmN3psIfWMNqMYRmT5djfcv45atOo0+1d
2Jwi+/t01+MuORdbmy/EO6wepluZjWbj+dUD37C1bwgIVvxq+t7tdn3DvzePLJq7c+7fAhuWdTXd
mpyoG07u9i1c2Ox2HMjJ1FeTDd6uJnca2htMiOXHW69c/PHVtI3u5nlPpONubl2+5/IGTLfDfw6E
/hb8gch5izFRJp8DRMcsg93zGNIAHcoQ40JUc62I4xKOat5V8fcwgD4mTWSqCNpsm6EzbIE1CXQ3
tlq5iftiuIbct7nRmkBbh9QxaLjvNfgxaKvvDmjbwV/TBFsNOj2HSHvp/TV7G719HB2ExvQyIk/5
oUxsHmWYjWHwyoY+sSv1kFz1sEytIigH9pcX+A2uP19huhdk4nkwlaQsT01NVVMUOQbC6zAunxp6
rmE0Vdajf9igJLHRsvKlibqXRkLVUPUfj1rz3AMMHEjGFfVhi1zQUvlocrOzD0R+xSTPYsl0N8xB
3HS+QpZiolwkSqWl/Eqh5T/sjhXgszsozY+H1SEaU/kBqt7oxxghErIAIj+z+LquKyIIcnCscCKf
LohfjnIDK3trg9hHWkHPMpe2rtwtwjhZOOhnrPtkqFk0UUiDHA6T2YW1LmwPGMQ1OcJmIQY7P4rF
04kGgylFcTqhErYR/5hwhpoxCFey1QurXIYC9LIhnR2FbLcEMgtsiD6zIwvxqwRGXOwoi+MXyGqq
G6EV9IfLo5wzDhC4HAnKVkDqZsERONggb1PIbg6RFK/blHCZRl0p8AI1qK/FHLItucnzndLG7ZfP
D23KGAQ4bvnjQYHx5ih1KYwPCjXTfS9p3StyVcIWBh7tLoXsF0ZbXb/jSb7UsvFxaelnJA0Oipwc
Jy7hdAOFDsSNUMbQqplqsY8Px2wTWtUSCObj0poAs9g60RTJu89hFKFYtLqYp4MNW8KDqGuvrWo+
+aO+ayHWg0q/3hhquRBcTqHj6VmnUCxD4kT1W6ZzahZa0hbeUQ05DhCCwCH1bOXotWxySYl0B+b/
PIRKuwrAxsCcHn+9vJ2nN/t0s5gS6QRgpqBiQDrPhgbTTI//gaFNnT45pfdjL8vDwkOCkh7Uulwq
CJ2bqgpOhYYpwLSkM043cZBGXw1kaAqrDhYquU/jv5Ig8Fe0v8VwThj5BomIJVnmj75sQmmBHKfb
B8uZgxhCJKDhq4H2Gp5JwTmImeAe1Mpa5dCeupfX8+xQlFLg5oBimhv7dH7w547IaMP9B6FzJ3OB
iAfR863omK6keJT0zeXhPpwJpJDBuOoqJjtBKGc3ttBDaWNqNMZqPZRqQgntaH5Az/byKB+MZGog
ZIgJmaGhVD+dmXfPPcvnBT1CDQp/cWpWHrF5fHQTPdR+0rJvQlGbx+rq8pAf1nE25HwdE3gZTISm
HBg4cldSD79iQ6rdtEjahcl9WMK37kiQp0RXwAn12b0QjkMowlQZOcFQNFso5FKHlu3jgl18HIVy
E+BI8GdcqUjqnC4hZO9tbBSQx1iHSvOKsB0h0tTH9eVVm58uYhdOFecKK5dNCOJPR6FhXkKKEwBy
4/viQ2+1aFkGzXZQjNZGF7J/aLNhIWP4YUhWjHzy1E03NdPNU/GJZCi9UtHfGlWl5PbIymiOldXC
nQTh5a1l1hON8FB7lyc6bf97j0mtkvQkTTZvZ5qc5OlEk75rWvGAPme9iuzG6bxsrexld6niNEsM
6TiN03Fmdw7RYqMXCePk7svXo4skmv1zd/d6eTJvaeJLs1FOZ9PrVQghA6PIa3CeNhJrnnQD+56L
LJ2jeSCi7KvS3qFqZA9/XR57XhP4MMPJcN+f7fKQqOWkdCpsVKdz6E20fxh7Y/fZe3W+ktOBfzdO
nxyh6ToyjnrvrwvYjr7SZ7bzF+xifnvPR5ldL7AkxYkwzWZcIdnmwOfsHJ184Sx/eCfNR5nOxLu5
KFEpqfG0X/vC+35wnn5p69evj0uC5tK07ZfMYuZ26S9LBilimMKjG8iBFsr+Cgf67egYX6BV3y5Y
wmTLl4abuVwLIXHcB8N1zne4+O0fR3v323n8ujDMGYfx/ujOayZpdawMGNqnWUFM6lDDc5BydExX
d1/X3yr3CxSOSxu24C7mfemk7nIrnMZsXR52HLDI+2u0f3y5Ce27yn3lTWCHdrxwsSzt37znUYE7
TU6m/Ruc7+NKXCNU6lWr8Cba+naybuyFhT3Nmn/wVfLMixxUqC1gfZgmGTop/6g2ROyk55fsf343
z8x/jqRWBRQiQwBl9tRoaLc+HapZ2ezag7E0pyVbmTkN04gr8zgdNFN7bvxNhIRFLqNBezzAELeE
A5ylHT8u4Mx5xKYga/DA/r2AyS3yWa6xQprX+RK5kUtWecARi/bvpVnO0ukfB575ky5IkXgqGFh5
lHfV1+ym2Cnf/TuqwKih5K/D03EX3Sp32tOCxSwt78zBBHUf6dlkMQo2AyEW9tluiPIc3zac3Dt6
gWs6pqMvOOkPyZa5Ac08zSAfD0k1HQxwYatoI7lPqUNi1bdzljdbyfbiPX7OAYDTordyIjGgve7U
Y1cHMz2Kk8kWHhKYnA/FtYgcVMe6Sh2Ule+rO4RG1uVavba2C6t8zq++H3u2ytD8DQm4FWIVt/P0
r8kqXHWrwT2sqq28WcqZndtSYB5gSeh1AKs4exDE6IfEQ5lXdokojyhBigJrqDr8ao6lG4/3l6c2
dwRT4Yw+JhlgJL2XYElPV1WvI9kPE3V0BKVWVtBWInYhlRHSt8O44MLV2eXEUDTcgL+kNdw0oCs9
HSoxZb2XWwRNfciDrjLreKRNS0kWfOh89aZRVIBFvAYmEpN5XkWVBvSYKlgoa8hSbuECN3Zlm1SO
OMjpbZyn6Rc6zKW7T68iGRyeVQTtYNP0yX7eRRMZ/FVllSOhjQ547kGXj09V6/QeFaFkyRYnF/b+
jmeCvOFI3NAfqdEVPzsHiCSWo2UIg2Mc26PlQElWfYGTF2rLUsuUw1MitTU8/KmRdzaAg0qwoaxO
75J48L9q9bHO4HVq23ZbpLp8D8i3QPqxjHLTzkXkLC+vy4fgGygckCUwCKDMLQVI0enCqGibHWvD
QFtcaluk4IQkGPCGSAmEbl/pPg0sutb28Qrh+fa1BBD2I6iswHQlQFvjKs4VfYl4aB5fTh9JwT5A
HcHAj7zk6UcS4M6MRCnvHZSvDug/KLKNRlj6DTyGBpFs3pq7IZe5dqO2X/CaHw+bwqbRNUA+mAz9
W4X5nZlAsC90A027TlmbLwWY2i81nJC3EKEvNe+cGWlqcNZBR5JVAGJ9OsmgmpSILXmE5TjWQbjS
gu5mQwyJO/ChX5c3+eO5JoVJzgs2J1poxTlSMjDEPs1gGHUMGAq9uuzR3SyChTfqh0cO2wbZhUKn
DLg+roBpxu/WLqA4ocRj0zq+EPp2j9C7HaeBYmNQ6S5qxswzEj/xZDFW94Ask19aOkgLHuzj0eMz
AIeemshB/88zbcPYdkFWcLpMJDZ0L8h84VE9iLRqWDUUhVtUJWDY+/TqTn6MvmsQ2BKZ+tN5p1qY
Klniw39UZRATDuphlaaGsvn8KPScTcUCoKAQmJyOEnQttakhbmHfQ2YdgkrEH7JB/PT6qaLCRCQy
axM8aXb0DoNyMGrwuk7U5cd9olaSGwmQAnaQurtp0/urz85qgtLS6EIFBMtRZzYjD2KVjHKNbM8Y
Bbs4E8atj1TewiPho0MxZQ0qDSZFye1DLwhkLJT0BrNyDCE6uqIILWGCds5GNDXBM1Otg7C/r9qt
L1T/Rsr/rx/9/w5+ZXd/u/3qX//D739kcHBOaP7Zb/+1j36U7P3v+n+mb/t/X3b6Tf+6bX+VdVP+
+mP/mld/rJrjz9c6yo7z7zn5EYz070/ivtavJ7/xjnVUD/fNr3J4+FU1Sf02HJ95+sr/37/849fb
T3ka8l///PNH1hzr6acFfKw///1X25///JO7492uTz//339585ryfXe/yubDl/96rep//ino5j+I
zEkLSroJDQNu/88/ul9vf2VK/1BkPAnnGZaOKfb5849jVtYh3yb+AxcN7vsNRk/TLkW8P//gdL39
pWT+Q9HI0QGypzSEI7f+/L9zP9mv/+zfH8cmvcsipGT/+efMdxIriBNaHowelgN4eHa6Qw2hlaCM
A68Qx5Bzp41rXTr4C6XRmYX+PYpFdWIqC9PYMzvdZd7JWQHhqUdY+SDEcCBa0WvYG3vU2iwUQNs7
Qcl+v9uFf8/0/cxmcdjbmHitidONe5a2h1OPckQx51iGleB2/oCGj+ALD4HZ+Gjcja89Emz7/giN
7OUxp/P8LjR6G5POJXYbchk4imZjdjViUYBwBTcXor8kK6x3SRWMNjDxZMGznFtR7m9isAm+TEvH
6eykTIuMwKwFOF6r7ivqxYJLd2Vy0yFIYA9HX9ooYlevhvS4FP99mCPjkcjnBsJZ03o220tQ04p2
UOXCa2MTnYNMraXHNNM00T34CCUtrOgH++TswM5Kd5aiK4BGZvPUqqIMKkktvaln0ckRF16lkvFJ
upSJvATyda4F4MQTcdzsXqgHY0iSWC/hyur9PemC0BVCOfcuW8d8LsCgeRrALkODFs0V89sH0RAF
YRx45RPqdHcWBKIryvbHhRWb7880islZg6uBhl7eb6eWgSYSsvdJUHlNjaZSlkrdY6b4+i4vJH/9
6QkBOqd2BJ0NjTDzms5B0WoEUI9UcwbEniw0NiFQhb/706Nwv1lwCsD5otHJcDqhEuBGY0Z55eWd
ZLiCCANnh9rP5zdnat0EIDShFahpno6SlHBAynlReZ1g6naVosqZNmb2yVFwDFPsj9s3eI18aLAf
tFgt0jLuvaKw4g0kpz2UxbVQLJW+pmPx3hHppk79eXIOU4OoMS9IsQll21iFiJxR1Xup2FcblCUP
3wKo3SNkNNTj3eVNmj+02H2sgL5NbiZsDvqO0/UL0+zYtK0pwgCEsFNSKKILacFhRW0k3ql6/hqo
qbUegf56A9z7V7KaRNdGFwwLjlGi52U2eXAZ2Au3I0SJgNzn8PNKNcbWaGldgi5ANaa4tS1p2R+N
4zaP0xwlQC2XLMVVo1iVV9AsWOlXP08C875GHXZYC0kX/BpEtUp2clL01b7ou2581mR83V3GXZru
LLTLIDpS0hL33nSdETlxJ5cPQn+II1cudSrfaaaieJLEXX5XSYeuXR27vLwWsxYtzl4Je6iU5fzw
RD1MTTehXhnyGmHwJnL6IUKsveV5DFiqbnTDFfMwrDzkeCzJrbpu+Fn5ZTx6qIuN6jPkzBV06qGe
wvAeFOrhAVniarhCirC/QsAWtT7RqFFzDkB/lS5c5eNwg2ZhhoinrBxq89pQhwNysIHQXGdRNgp2
YiE87lSamH0xTSuqHPg7cg+qYh8KZjVGNAfddJR/Ead/6iLDjOG8D4Zrv1bE/CcqbKlhm810ZPVD
ZMRO0vql6IyNlFUrLQkrqLCTGhWguocd35v0Yv+qjFLNXVmuS9MT9F6E71gKFdPWUMu4O6iJnjlG
KahXKjediUhMc4hdUavVFWKXIVo6KLeEbkrfFY3ekaxBBaIKGQy5kjz2nlz1xgNSWgh/V/30U0Tk
CEpPYN6/hbG0QldUaVy128qvfsR10Y1QZoVN4GliH7yEUmU9kP1XXoSwM9BEiIe2nXRZ0WGK1Q4J
CPEgS0imxbys7ydKnG9VkPe/R4hsv2YNvEBNoZavkSiC9kqjzlcchKyaClHpXn9W48GEUdy3VKil
1Mq4/j/sndeWnci2bb+IuviAV8xa6VOpNJLyhSaLNwEE7utvJ0v7bOVSXeWt9/NSu1rbKrGAIGKa
MUd3e8QUgal52i2VrO5rOXVWdlbg9LUxWdOvVdh2rpCxWRTDBeiJVGKI7rIYk5ZlzZxRNhystc2d
cDKhGWukxzc9RIynocHT5GhNMFeDhoKLHi5F4h8ZdnWtQDe7RAJhsBJgAsuUl9GEA8BRKwvxPKZ5
91GrV/fDDNCsqt95eF177Z0PHmu7Vr5B+SAehdkc8ySfjTDPAGTyyjCFs5jizmPsl1DgNf7iP7ml
6ua41kATQLdezOLSwyiyOjKptDWwV0qFXcwLodMsHWlEiRoaD98PIJ72C88TQliuUY3cOZ9plhbG
9QQJaEw+ld7W36YpXV3eTep+27Apf+jGBXrisI2LHnj+vDA5DAb2WZsVqVHTGeJufYGPwnkBRIqR
THOfzWCmg2wnlTJZB7S0G3eAqZnhMRUaO9dUqMKFJ+QV/kOZgfs9XyxV3mR9bVMcqG1LHqqqwbXD
YnTtk7ZNErjfuBj6pa9lQFW1njmuONHGwt2N+9mIQNw612ZdG99F3m1epGyRXMzMYFWhnwkMBJwX
jOvst5ULFLR34bsyPIsnDDQGwK/Y6wtg8jsPVsvN3Mc6voEaP74QY/XcsS5F+cKR9YQvYz+DhgCh
2Fsd7AKaVYZqR9DOuMUzcskmU8Q6VnjTReaI6WqaerleUBFsWZSz1i9Ah/v02/o36tbAouJ6d9H+
gnGTAYpv9ODirs7ifFc7LNfq7SE99sq0P62ADJ9LsFJPmwFgt8LNRhyTtHNw38fKAGeVHcdb+RMD
k7KgbKnjJWQcvRd2r/7C8XVemL4rbgWfqhnQL6ax7Xvvhf5rvZCA23lBpZBmOyFYDhgAxVZrJg9k
6Ll51b7whLsXtjBPGMywPUAcVi/04eqFRIzXOYZMbj64P0jQYBWDf4JbnNjAGoP6hWfsTMo6m14o
x1OdyQ/VC/tYvHCQ1x2J3OdKuwRt6iGFWn3jk7PDk+u+XHyIntBzglIzqzJUaT4DhXvhLosXBrPX
TfaRtQyZefLl8nnTZwBUTMs0gBjXneOsdqSzBxbgh9/IzmYrJgqAp5dvGiCyqvvisAd804pSox1j
a+6dKUdAj/MLQjr1fWhdE2dQjBH8oOK8nbJ3GMRhApcsYusBl+1I6nmnUyvgnHlov0Crk16pOdYK
3+hjEAblffKCuE4KU5uOeV+l8G2tVtWXHRKb2xKzVOc4Wm7rhWtWqSqGhit/GFlu0R+y0/YgRpED
yVpyab7D9se5sxwIMlWj11/HHcVdIEEqMUpYvZWZWWDdMy3CPJh3hPe8w7wX2CggKxOTpV+bnfUt
5Qxaz+EXAQTDBw7qRLfWq3NY7c7oQ2azoYYbamS/LNMNB3Wxg8Wnqin1sC6UcadvHdYtuOVp8mB5
5jhDICw6+N07p9zUM8fegV3VD19uPjDiocV8IPO09WpQ1iQOJknfnTlOJQT0xKeBkb2Q0d0dku7l
C2SapTdgp8sdo161DSRYX7RoG7PVWn/YQw9zXTUKdKPNRK15prk7l73b8H6L3F7Pp8BtRQm7nczl
vVdlfNpr74oLA/+uDvo1yHdjLClu1zsI3rcU/LN6rCzIHJUlYMVvOo4CywhCvn6hya87WH7hiENx
Myr9umcG1w5kmQyP7DmlBVev9G+KmdAr1MXkfpc66Pqq64fv7gvPvlqp5h8pP6p7+PIbqFjozuW1
8LNloI+bIIldh1l7hou3fVS62LpwtdXwPmHk8NaWS+nE29JzsnhZdU5Vk3OqQSIEkoSd7nl1IaxG
7mKPCQ90tD+4ZmtC10raM1XZCjEG3KOndsUMMtz6HNZni9UfvQYr+24Twt/u49dfbKs0aV3xd2eB
ZbIcoi6x9S/GYBvvwHHI78R2NvCG1BkftUTitasSfbg2027o49Hzki2S0whqUEKOpZGSaA9aDan+
HBZOd6V6sVXMq2fTl632Zhkpc4bTPlhreQ4f1CuiRYwEfqVnFwEe0+A/Kmmo8yadKO3rZlK+J8Hc
oHwUnX2P+Q30TrBB7RbPvY5Tm+dqO9MQH74mAlhcA8y2TMnk5uwX50OPZA+xFPUNuMsF61UknvcO
KhCkJaIst4s32y8fCsPhR4JPqb7UpoGjLhblxjuMtTYUjJuVeAH48M0OPMizBYiktdGjbR6Gx1HW
3jVWtas8Sg3bkBjHHkM+qC0xh7Co9USdacQNecyrQqcInXWC4FQOpsUZqlUZgWwHR8Ge/BrofeZl
oPXKIa8jpx38LbZtfAbiXrldFjAPn8FnG3sbsdKieSMV4GF5Si3RjUA50bDXWQgzjxZki+8haGer
cT6N3qjfjlvr09afCwKxVcEBZ8MttS+63kk70Ja5flR97d/BrsYSZZFGM0R4n03vRJ0aSQxLhzBu
asr20K8K5kif5FVxaLIlaw96uaWwCGXZaWScpaHD4pnaa8+mgxhhM9R/BSposWeYEsT54KwaJ+os
NpPT3YdZA2St/ibFpECxdLb9rc3TzQ0lBv/ANaFTwnR3ZwGDU2j4VNgL/ssHe7SUHu0UZhKLtIAH
VUop3hPPKR3mbJM/TmQHMm69wTq32zpZAjNd1p0rWDZf+2EC/eroPsBjR/Tgv9w2++5i0Ho7tf3w
Ubf65ZGnVn+XeQfiKi2SrQtskXVftiHr36d+krhhkmXEwXnV+M8g60wQtWsPLBBkmH9D9qPDUHJb
qNszg910IdZFrIEJERyUkjXqEKj1oXmcprV+0KGnrHD3pHhKaq/6tiRm7QaqTeW5P3lswqU1OtV5
6qxAZswK3GCQ+9p4DaVUR0aQleK+k1lmwCOWsLIceFsb6KSkeTZ6G4x7pQCrY5HmuF4Aa87/UiGa
VKFfTSa5Q6GWR74vvSTOaZYfWTUR+paADz+7VjV7oUX2xhZbTlV+kHIu6EAKbGWSEvFhsNL+/typ
2QNrtRXq0ya9/qPIeqBh22au39JF78YwazzjugFCealZ5vrgFN1sBxjhmu3lCBZdxM2Uet+8UtYX
lo0vIqeRqZ6Vw0giu1qaXGmwfm7T1bEebPhVt5nrKjc0RCHfZenIAYdvo0VcTR56Bn2m/uGnGs6m
GkTtJHD6dvmQtX5iBTmwmd3/EERF0E2D9VWxEshGcoSPAaYR6ec8LbVbDSLrtx6hNowa8A/wKeuC
FwaU3olp1SFWb+Z+flgbJR6mYv8y60LLfsCoqO8XQ1XZxbCmDKjP6WyTuiDKzKN1bGszWo266XHk
WZu7wob9EwuvXVLM5+e5COu59c8bmTRfSm+dOvY1VxpBQW+nBKC0ok0xOihCmMWAYgszTTRfgZ2W
MMLc3iNickd9CWuV+pAHhn79nAhmInYKsv/R0vJ+4ODcVjvunRovLM4Fm5eYd/7FigM/Lz/Pt0vX
AygfWEnifZ2rBLWRrBAYhIVR6RdO1496JHAt+OhUsKQvC/hE+Hf52m5gPPk7lm8yWAhuNwKa6tD8
wzKs3LuiRZHBfQx9iYGzpX3qxDx8B6YDRkoADrzlRFm6Axt1fZvJfv20DX79KCx434FZL/mPpJc9
nfqlGb9a45h+V9NSDjyGrRkjD+pMGfiACn6sPFKcPSZXtJxfLkdmb9r3s0FaE4IUT8/M2jIyOBDr
9Ix7F4BG3a6KIO1TquzwvTMUHN7omuw6fpIfXDWINEoK37oaG5uqhUu4bYTaKvG9GrDlmS/Gbu9N
e1kqOB5y0GGYQbqULPCttqEvc7ivcenWGZ3PtoVgaFZKgFscwNlG/TpM99Q5CxVIQ+N4nheDJM6S
HZ6SUzI4fMgshvKs9+p0PuCpXG1PpZamQwTpTq+AWtCgI8PwxHdBhnOni3z5rmldMYSVs8ywvUsD
VF/epHrHlW08zaccQXfIxIVdhE6/Fc+J1MXOlZPwwV1l9MFgejuVisDfCtOuniqo1hn+ikrOuGtO
AtO5yCokwoCr3B+sa1jayaNdJHNjPYyGTFzzUaSjvkUIhv0ewLiCnOg9bKOT93fUIDKEQKgMiljw
/34QctPPM8yvU06OXn7ZSnsxIjrKQ3o15QMHoldXCJzzKh/P9HYGEb5kxgIzc/UobXZ9ay8XzIK5
eey6ozYGTZqZfI0Ayb66Jia4HMAurFj6vQ0ixKzhn/4klibw80W/1tpVPmm61DnQu7V9wvbdvi+G
2nPC0d0/VH1J8g9LmfU+dcF2vZqKfvlh+pr5bSwaDjoTpREoHG8Z+qDDRsRlnK2oSuIZB95DZTDg
F5qFVH6Ipez8brSyd6Nm2MTcdda/q1aLdn+qlJ8da8ZGPi5Kc8pYX0SVsmCoFocpx40DCAbyYsw2
ADbMylXVnKcCHvZHUEOefuVvjZPHrV2v7IAD3asYl1HeVAAkvkGRwfm6sXfYJm57B6omM1tL5WIs
RU4IXOCqLppkAnfn1ZN3PmG73gP79OrEPnoqWxb4gs5cAeRaU+9HU3Hq7aN6LYClIvMu5m72+4cl
z1R7Ax+h9SKnWiqqmrqWDuNFsnmOeuizecHAcLGWoo62kgpg0Pmjre6axd+SS2yMs/EKfhwk+Qik
vHJufIa6BhkAxcNGJwA40GlP/Si24c6CGTc/e4PrVjdpN49TcgDKZ4mjnbk+IYGemvpFJ5wOt5ql
KVNP4wvI/LUPXFBj+V03jJ5+NKpR+AeFJQuJ5bhCAdCiMckWDkjN7nRZXxndNvVrCK8gWabIlD7A
+sCdRgiHobnPRlZBp1bhpaGjU1f4uigAZPqBVhOmDYGezUDaPHvrKjBh1uILIIZanx38CvonR01V
fdcWb7iemnRoAGapWXO+ZmZhb8dVtUSLjDu2JUeCRTHSyW2Bby83wIh+kMscamo4taQGj+yBBbRf
3EjXsTyOpcomyL4dGyiMY6t06m8eNERBsXNtqBCOTlt/hxG37yLUzhrn0miEX13qpiywphvSln5R
MfAMvuYIs6wQ6ENumCzofJFXcEnl/OBMLV5AlNCo+79TDfZYFMrMyknC1jBSDLW9FnxxGcz4zuX3
HFZD+USD2jXDMnO3LLIbRxaPEK/N9phYUJQuy95x8vdLsaw8CXfB8MyyVeJdLi2IcZJIpXClDNeE
2n/UNKAqEYaaNsTrSBHDNXAw5WiIM6t1Neu8pLVihk7t1+bHOumT97R4WsuMl8Hyq/yYMvhUgqoy
IJtu8YjXYOodc4X4a4J2moNb2uLSgqtDDZksSVShpQ8jtLN1ZsYuD5auq/qrWfSIpKDVO4yNxinL
f9hiLCbpQv/dovpf1cAr1QC9/v/zn878b6qBe4WBG/qB18oB/pOfygHH+gsHW8QqtC9MDPX22dmf
ygHH+4sxLcbCQODgsoc13P8oB9y/dAPTLP40rTLM4XeN6k/dgPEXPWn+vI+7Fh1CRlf/89v+P1QD
zDC+6rE4+BXRWjR9RkdRt1Cl2bvvv6qhTHocBX3wYOtyA+meuYnx4JlF2wdV5XrZwTOq7tZtSdoJ
35b5Q+02y6WTJrMJhZeh4DO7MNInOO/UIgdSWWDGdlWaobEYNQKjev9X05VNXDhjfiimrHaoq1Ta
oemlkYeoWornQtvwNKzZXaFoioFCiS3odUXJ7NSX7GPmZ7DkwGkdf613srwgRC5x1BbRkCQ0/0kX
2yn0iyQzUdup7tZfPb0Noc62FNfapT82SpspjOWEyUFhbqMEry6mKdy0mvpN5fX2F2+aFlS5Ld4v
B4VfdXeeDkJpwaTjHhmODdnZnZ3kmx+MJDt17HlDxWZAqQ14suViOL8DJr7Onpc9NRqNpoMOWGUJ
jWzx72wQ0D9gI6aPiTMPj73Vcju+l1ofevgC783FXIxAjqqOFTUOeKieNmWxVibNbdF47PVDP+Gl
6o11VjEpmSfeOaNdy+feL4oPrW27z1DFOhVOBedEqPluJ6PWKHIVdb45tVFpbVZorFp/7W+zyUpK
k/ezuYgPNDCgLGVFWT3UfZ3VkT7k6qHRaUxFFmPNNzJLey20Rs//mFf6RBZuyj5itrk+dp1u5GdN
7aaHdCmoiKrWVLtINic29huNqj8Gi0u8oReT1za6dvoxVm92pB0pAf5iW/29Zwwyo6Q2NZ+TwjOH
K7MYNTdKKUfi5jb79o+imKcskjsdPpLcKwQBYW8w7gZNQjoftM5mjru3FwZH0+bOMqgvoUtd6nAX
5FCbnWZSlb4Rogxp/+Tf9bTNPwJfS4vjuuZ1F25uqoGhrjIYYtiIE/UmVdPSPR4mEOsbJVgZ6MQr
yYHvaCiCpDdUEmER3FPGGDdHXGZ9qzzAuEaRfW4MpeUXqJOWH7VnL9p5p4m0Z1J5a+o7GKOddpio
DN6tsh9J/dGb0SjQ+o9LNVbpBUUevTh3ORzuR8i7yRDZi76Yj56dOvLL4LducUnPZLo3unnyPjSM
auJan7tuGhqO1i1nsteSe1WXgLWV1iCLJpEQeGhWskKz4261oMun7X1B3c23+SxzzPRmotaFytc2
0jGgXyqyY2MUVnE1m/N8bbSmUNGsE3lzCo8UCUxFxhD7XbqN7xJd69yoc8wRIaWOaGYLqa5QT6Bu
AXSXNnLRHHZPJXls1sJgNiR1rPZM11p3DMoamjuIIydNYYan09XQVlqHNFMqmG773HzsUGt3eEWD
RWnQdvU7o83kPV7CZRbL0nbGc81Zhgd6KZoIxnr0vzUz+s+o8EvtczU35a2f62gR25p3wcMsrM+2
KKbnmV4srvektzfCnJwiXIixHrrNz+tQx+K3CPBwp4fapQUBGDMuHf9uyu4Tp+smQ5Mw71NCabkI
peOsnxnvST7qppV+l4bd/qAQqKygKxys2E0Xj8+4HdtZP0q3spZg8EV25VCI7S89Kym/IQakp1kU
23xrmIWi85W6tXsjbeKboG2YFUYTuHlfnKYCcmyR0q1hMyB1OU89S91J3y23o18w8BlaTi6bsM4z
Ol4tSaYXam1HA23ZqiSmqXVZjpDno2kS5RYsu5f8cdhyOixjnhJCrJkYzv3Nr8Bht119Q7O8679U
st4RMyQwdoyomvg9EyKpY5rU4mIuKaLGWdZOWszmhiYTIVdgbH3/PFszf5YqkdTCVV9oIa7OfF26
bm0HxZDqZ4ty6Hs2XkLvF9lm91x6w/Ss2oY+n7v1y0S1dc2/JJOvVKQXjk/baq6YSV/ICOrQb0yK
d2shV3n0+p5aRN8W8oMJvOL75Dbbt2bV9FsLI2j2nKJ312gFccXKXwZ6KCqtkjJQJHPMWa575lUa
HY3nKh+MH87sUCVR9ew4UcLruhv91XnOq2SNkQMC86ad6UuY7Gye9XqY18WdggG/5gd7zLF0VYNr
31MO7KYzfXGWMRj1Vn2BWmhSBsUb4Us+ky0whU5gHfr5Rt6ugWYqAhLoRAvWXHrn5pRQz582t3ya
RtI22Ny5nUJT9MR1UmdpFc19re6pL5kiSAo7VVDzkvqjm3B/5wPK47PSWMfsqGUTfeQBeXpKk3kq
HELZKXvQgKJ+mEi3xqBuCAPIRd3Mu7MLpQf0ibv3aVPrTpw4aJGCdHIdzri27uCy+1v50y3jf4PJ
X4LJXd73/44l46/q87e2/zWU3P+Dn5GkcP4y4OnsNqS78vllNuRnJOmbf+1WGDiGW4xfIyxHtPNT
g2r8xeQ3MiX8B/BJwevkfwJJzSHIRD1NeIq2Rjj/Jo58mez+r06JwWE4fPwqvIbRrPGXnaiutKVV
WWluWrxRhlcCNQzNjL7+0Tj2Gb6Y521zVNXnpnmqxJUnptgg9x+X9lxq6rhI85hB1NSX9Y0Rl9fq
qf1X4eGPjJM4GgAYUrrXwW3VLoknfc2Ple51IYW5JpyH0Y+HjIJsTpvwDYXbCzDi1WN4CfV3ZwS0
77uz6usLouIpJnRjbpxvFfMy0m2c+mZ0gcxg6lt2VpBaNiM9c6MJtOQ6em/6KY12P+AHoUdGAiWV
rV9WN2pb8z6o04Qauq72mGPWB+0OlN34QZYL2sOmLCiMEuGgWJGLbX5khy9SvtJs+4D03oECLpb0
mPjr2kWTR3flvqFnY8S16dAjLtpcJof9Ttx4qNRgBKlmO9nRnXV6Dp3f596FJfe3WRVNSeiN/P09
XSdhhO0K2h6VwOQc881Lj5oL4TmCXVXZhwrl6CGrU92lPmK5FxIX7/mYY3bgANloig+pU1sWrYbM
cMFeN8UWVNOsPknb1VKOBJkduqQg28UeuxqirBNwqfOSqfSgwdaiCCh5UFL3090xPjPqTQ8LIInj
wQZE4YR2sm5fvUTiC+0ng/TpE3dOhwhICD8oLKSBUZPO6+1geYoaKLp+WhRWQZF80yoCvskT9Rin
vT8ztpNp1GaVpjlugAm086g26r/h0nru06LJhgn5ajbGMyqYxY2hmQhhfvn4fyZrvwqfd5HxyWLa
kaGM3ZDqua7go/41NdNUkVdLvVqxnVvDuatX/o1bSeqlLWU6LUyoS5/ToIDRVFUY1IRUQ8b1jd/w
Wp7MF4QZzYspzL5D4PNzotkc6KJ6Fa63cdsLuYaUOocq3CYSxAtkeDTKO20moUsWXS7Bggv68JYM
0Hr9FEhxiegN3o+jk6b+Nvi1DSQtasM4Zc5nCzcuObwrsmGOVlX3V2pSzblfpc0hMXI/3JLcu9Lm
hUg2oUC5VVkaZZycbyhzX+t/0eUiMMammeOTYY0dNPn6xQi69fmKy2qUGUl17du9usVXpH/88+v/
x6tgEoK4FLs3tP2vr0JgijJM5UZkAvq6XPOmiqtks94Qsr6IlX9ZZdwMztYsM7CxWGFh9/v6MrLQ
x6RNuJmuLT3EzJ7znhas/d0g0MC/xr7xV/8jW7MddXY6hKMsszd26ZM19tsvOLlRz2iBVC+lEdFk
+CFsYN/twGhUkW/Q+KSgU0UDkhCveQMVevJ9/XbdkzMrWYvWzvPaiKZMzRdb52oXhbSfZSYVUVIn
QVIW6fptlycwQ0+J/Q2p7cnp9HJ9yMA6XIDdVs07efJaoxUdaTD62lKmh4Tme5hljnq3d1MuBPX3
L39eUCfS3n3d8ooZl4UQRQWJ0/H1q86p2ifm5uqRiX95rHkZ9RO9Mx+zytVDk74Exl2lfzd12nSz
Gc7yHaCeuAciT/T655/y+9reR+8YdMLLjpDmdH6RatIgV9uhQMAwabD7Yb235Vre/fkq+/2cLG2+
UAbswHIAdTz1X5u91rCo0tPNxhP5gfh9O2/KRTw4GUWctWWFIzGr3pqR+f3ebAIqxiognSESP51i
VGg3ShyLDMTJI+dspsp4m/K3nIr2xfn63mzKgswkgbrln/ZJaNO21KB4nXpkiyE7LPUij3R4+6va
KKpPf36Mv69TUHLUJ/eDCFH4qY3/5mXEWMCLoi2b5mugle2TBhg2QFNB44f0+F9hxvZlSlneRPMO
kAui2enAj7YskMxQoEdomOXRQYdCVDkXkVrq7I1LnbgtMISArSG3xjDtS2Btn5xvmXB7xAWpG4/I
DLc4NRq6B07ntF+sNZFT2Lpm2QeGJ6cpmhEJn9H+a5toTWW3XjEZrY/xmMrl3ZwiOY/Lji7/9YKI
zaR0pXEm//lNnLx0fi2RNeMzzOLuc7LWSUSg0hGqcVuYMWnoElnjSmFvLJYD1YP0jS/UPCkM/30t
jxFnTMNIEU69nAz6RqopVzNWrtKf540CH+JwZ3jsAVP3IUBKzwy2MgMqmC+LlYa0s+wLZA/zGjIZ
Snt+GMtyiagx+Z/rgsPlgPAXWVC9WPbDMFRo/Nx2QFu8CSchETbWynjjZPmH50XYRE0InheDGvrJ
DluW/mI4TW7Fxmp5V2ZleReb2a+XYirV+z+/mpO9Zn9c7GbE9njZuR62+a/31kaihu9djmebyYjj
ZtjbnbMlA4Fl0Q8x5ijJA50l9cYO92Ib88s28HJZC7M+Dm7aBQRiry9L0ZFJga624rrJh/eFRKAR
ln2vHQz6+7SQemPKQnS2y/lYLsYcjujHZEihnMpjaQ2NezZuvSFQVeBqmLvF1h6VyvOj09c11eQB
s7oLY6aBdrmklDyOzBbDTvTGyasolhTeHP35MZ5sni/34xoCshb7J02TkxXeeOM8zDpZCtrk8dpX
nR+Jhb7cn69ycvL/fRVGapiusUmbX2KiX5oeSVfPdbd4xj7AVV25k3K/UVZ10xjFenZBBUUeSmfe
rhpl+w+Kg+mNMcp/uP4+PIYzPNVZKLwnkQe2bFSoAO/Gbdpc9b112Zn2RSbkjXTz77WyFRUx8WRb
3dc/3/fJTr7fNyOGIEiZGBYMfJx8D7LRzLyZqejUnTXF5dYP53pXzYhHZB6PmhD/+jkDGMZilRoD
RhNM8rxenbUtXcROLQocOtBXPh4d93adNeclaTTShDyzYvQK2tH2V6SPue1mb+xipyEPd0zqz7fB
eCyhFoPVr39Bkud2buK1F9fZnNwLUXt9iKH46JLijlTpWgNX6XPpGjPUldK1ilBvc0UXwJqaR5m7
zhz++RX8vsCp3ezA55fhUnwhX/8gxIaupfWWHTNh5oSebH5Ym1e9cZGX2/rvtrBDErkA4hqf/8XM
8xR8JhxtHJrO12O9RB6IvNB1vnYD6hSMBhthH2o293d5YyAQQWzgmdFQYhhwnPUm++EuXfWJoea2
CoRaNjDmteOTzutiuMz8LWcqpcgbkxJOa+ArlW3Vh6Est/osLb2CgnqLj0GQC0PTDn9+dC9Mp5O7
2rnVjMFB0ITSeLKcfJzHuya3zXiq6sOAliIyC3dGn1C7X7dlo2S8GZX2nKNm3OfEpDqObbH4lKLz
JR62zgyZDnLuaESVj3/+aa8PGp43dkLYkkBM48fZv3HZfI0O6lr2IvJELpm48ajxm5Rw7rzUcJ7+
5bUYTNMBbmK9SdENh5rXKwgNv2TEDOtvwckc9bB8IyZEZbhgn/HG5/Pbbe3JAsZB+7wrOLFT0zI/
s8d1W5UXUU+yrsplFjGVm+noiEq8kQwZ+5f46uXu16KCST/ahzK/Fz5/rXZUVuoh3+daetPdbPwq
NiRMOhRTwl99i4KXZ1FDaqdNHXTlmxeZWyCtk6UeWKroDkyl22/kh7/fPeE7hzon6541ndJhGWFr
LGMQ3L1mr4fBGB0KerN7Tjt2+tcP+vWlTnYFYfe62VRcKs/aPl6paoRiQEpVjlv6xt7wOlBhqe44
OGbaQQhy9ODS8fo5I6Gr/UR5brQhn3k36f361IpUe4+YxbubhtSIyqqx3jjwfv9096ty4rJy8R7h
+Hl9Vfgda+bjekrkPIv7Ui+0wF/sgk7TYJ7RhvHCTuCKZWVrGzO2k12xp7fvMjfvv01GbzrB5DvT
+62S5r9/yaQ12NvsZWL83k++pq2ZMI8uRxHN3oIJsBy3aOnVfOjzRI//7YeLoByvEqYtHKbcT/P9
uUWNMMN6jeqt1c+sdHCvsYEub/RWVI9/vtTrU+blJXOpvd6/nzMUj14/7s3oZMuXzaUGV4ROxY6M
yOqt7eF14ebnVSge7QGvyXVOruJqTt/RbxI0RwWKe5MxhU/WkDaXODk7CDpNX6EcabZLD8noG8v4
5GT/++Lmy8O0Hdr4p570Q1pudpYqgeDUUhdU0tUhLaV9S/esi6o684+p5zhPlDWqQy1kdU7kn39O
xSzlGx/v62ju5y/B+gMfJkGJ5bT3oTdp0vlLI6hTr9U15tLl1wEzrJsaDd2Z1ejrQbRm9yhmXT10
g2r+nWH4/pY90+KbYs9/OfJfv2us/+lul0gmfEdbLmtNt57AWCeHQo0PRP7qgA47+/jn9fWPt8x0
tosXDvi405PYbdxV85ZaREuLmr9k/jlqSX7PO6apvnC8rpebbdRP87AuR1Suy8OfL/8POzNOArtD
8y6fYvm9vmVk5WXhM3YYJZ4hDxkt8HdLjdnJaJrq258vZZj8Xa/PJR7vL9c62Zr1rp17j9GoaHLq
npbx6Fy0xWAdGbKWl6ub9WeiFEwCV9t05zArcaOnS/kJtal7rcr1LfPCf77z/dtGS4b1wEm9YrXR
7ucza01f5RyhqtD4sNsfBEP/0mLs72WF+Ow/VzrdGLW0aUqNKzUVw0gJhba4AQVEu0aX0RvPeP+7
fn/G/73W/g5+yccq3UimigHMyOjc+ZYGeBova23eZjZiXFcWsde3flhJkVThwPzhdT/PzOa6b+WF
//h094yB2iR1/d3K59ffoShU2hwHIrKmFdGxk2yhOeNmuBi598Y9/9OlLLxDCOT2ErA4WVZZMqxG
NbB9YSBgH6t+dA6mXKyoorxz9ufH+zrr+3t/4i1C4Nz98+hbvL4rv+o8JvEJTmd8/pjIcZtnX+/V
Jdb89WHLxfiGw5r9D2+T5cOGaFtknKdHaroqEgSFOM+QhgiRV4xha5pvmWX90xaEXRybALU7h4D4
/7J3ZsttI9u2/aGLHQkk2lcQJCHJkjvZlv2CcIu+7/H1d0C1zz0ixEOG93m9FVF+qQonkUhkrlxr
rjFPn8rK9VyrVUZZFrW9pdVfeZARuTq0+pjqIq7egVKT9yheigc5ju2VTf9MGLUabvy/4TdLdpKt
BZpj3fQN8vZZG9mHjG6KYzQaoH2Jl1Fjacnx8ps8O7O0flHnt8m5bhPaxhBiV8BnwJvUEy/TYQLN
RC9XRjm7NKGqEfYS+JPxPZ1ZGrTySrd4tCQT9tEuJuMoaKJD8GNcmcSzmyvfFAmC1fWUutrpUGlD
fJJyz/FSJ2OFKDV5EDPuJj9Le68I4nk/oV48LLqPerx6qg1r+U4xXcz7inzulZDi7HdiYVDOQ/PU
26+/0hura1pmNxm4Y4qxQbOYS+e+TSRtoWPX3/wHb/PFeJsbj6Dfd6LYz8NHTrWru1Cnowh9+d+P
QmoQSIMND4kD/3SKg3xQSlTilHqAoX9QQYR5yhiJ/+BZXo6y2Tm7YszVeKn45lHRH3uk+oe2WuL9
5Wc5980TqMu1GA1i9lXMN5G9LBS+ecSMze1shRAk0joZvw4z5TO3lDGw5IA7s2shLlaPmTb0V37C
mY+DYosOo5I3x9a9CT0yJ5HBkBe2N41hf9dH/XII6ijd0USof778tGe2GCyn0fOAGCX/vq29mwLY
yqTQtTJpYfF1yEA2LOSM2rasaMjWBNDbQBwuj3lmh2FMCHc4o6yXw/U3vTiJ22lWlGxmzDCuF4+G
IfVWGHSI/gejwJ0VVMhgaG1PJGswkbs1GYCMtig8Wyv/yPpv+b3Ptx/S/hQYOSCoXW32lqyV/Wyq
vKlY5lbAuWCne6x7ra+L1WtvyS+n78dEvQbqPzuBpN5sJk9qXPROJ5BIXJrRwKg1uYl78q36HZ0l
Py7P37l904HExmWaKIWb9WbraLUl7nNFZesYp/SY0rj3BX53ebCjfHlTKV33mCxyOdYAF3aKwHsm
rbT5poUJYLjAY6+lpM6uVHCmqM/EusdspnqgA7M0LC7RJHcBK4xxMR3kqNWgBuaOrTsf72ddIvC5
PA1ntgNm4b+H1U7nOoojSyFosjxjHtu9Vg3B70WprH3aOVBAQ1jbriUbSBi2AcUZKsqV8c/krHCG
Jz202iNDatM2ryFup7DLSiDDTTGlnzng+nynNkZHS6XdWt/twRh/La2JtJO2Q/Wx1Ar9u5JRRkWn
vOTlHjREKEhxWVRjLk/Nll//z+ons0GKh74eaqmnc9OZXSQnlQwA8SvCkd6khVrrMuWB27L9EOMW
TUeffkzajj5ELVj2tdHTudSb8+My6vrvtgm+WoBwd0oS6ze1EyYHEdvJ29iM6d6M7GC4kiI69+FQ
oqMuwda1ShROf/BsZIqd64btoXaROzO0ohuxdrJfnpdzKxWmGbhNVo4Ne/50lDoqAJqJhDdGJ7lb
xaMyuY4VjAdVhtPRKWYt3IXgXY0r474+NsA1izVBTNqW2G1zChdFmCSWwy3CRmG8A5AT7hsryg5J
V4Xe5UdcT6DTyxRDQbAEKYHHFfnL00cck0rpHQRvngBG/a4de3p76aCYJuRKtsxpIBPJm74TVv7N
Sgda2C4Pv6JQX42PmIjVzoOunUqb8at+znNcQr20D3psBOI6/Z0qPTEUakP9Ick0oChxL8w3RlJM
dKZ140dF5JRKUfhXcPiLaDH3juhz29PpAx5haNE067YmXNtdYHRJeMSYTf8e47EOZ3gJgg50S6E9
2HOY0i1rxc24h5bVfCA0196vicnvbbj2JagLrc4HQIcNaIG8nt7S7Nv+LRpwPW+gBFPvEixXEtWn
z+9QZdaKhOtWasTjvi2t5ENDlvOv85aMsuoy+FY4tLZxSNVjDxc6Kbm3pqeqUyzOwViG3yk96Vc0
EufWk8bTsL2tddlt6tZGZui0PSOhWa1urERqn0S/yIOsGmMBz9HXfzQ8negRlddqAq/3BB7SJqVm
mysN/zmr/CIa0bpUz3ODrDGXOhUm5QSJjnM1PsJPsp4CjPKOENNoE6Jp7DDEHIUNteo7NjV1jygf
ZkQavDeqYHx/eY2fOX/X6y23hFW5tRosnL7jrjU447KBBNTcGpKyU6t9NJGDPlIH0h8mowpztBFq
9nMOpTLQcm8jnlxsPsLdNClhTct1P/91HpDfBD+dqzAJK2rLp78pDsyIFsPZ8liV5UOWAN3p+2H5
RTdK6U31smRunYfXFDTnNjYMO58lkVCBtxLrRov4CEEmeziQjrtQM4oD96hf6qRetWRZH+BkYzMI
LTSTpUBQjCp084BNoLYO/B3Fq4Wd3cJW0N1KTuEHtpv+TWzHtG0B9tO+ZV2bH+Al9seysHVywXXy
QVvy6qdd69GvatLEO1OZauCWUFyvbL6vQpL1N7IwkEPxrcC7PX0JAezFqEJA59W0mr/rjUb5SSdX
8L1NzQVoYRFH4liZ0fSn56c90cfVHi8vzVefzOYHbEKxZixsMFeF4vV9htw8cj4tQ3QtC/lqS1gH
4QJGYK3Cp1VfBbmWkXScMx42OW8o5d2mmSx2kyLfNMZw1+nGB3gaV+KDs28fFSx3LvJKVFlPZ3as
dfiGSqx4NsyKwsUnB0MaEALcZusjHAnl6fJEboSxpM3Wh7TtNcrmFgYQ9XRAgx5wYSkWvj+CZr8Q
22MvaR3Mh0F5NH+mIa9/FKUDAAtCqTvX6AjN/Nrl/dXXtf4GAoZVr6FBBdu8zYl1FoUGFpUxKlna
ZumVKgdhPPRVX328/LxnF86LoTbxFzXOEMEMC6coJv02saIPS65m/uVBzr1ELFVN/n0W+G0GmS19
mEIlUQCEZlGwLxYoia5dAz0I8lZ8mVC6/7k8IqXjM9sGOnqDeUTs90o0N6r5jIh9CPcRTax34ar7
2YVTuUBAtSohuB9xPpRWZbxNQhXsGfH7hJg+HjNQk7VmAmGxlQbOEe30Bo3EVSxpJRDZFwQB0RdK
VO/KQAK/qEiP6/voGYoRpbIodk5Q0tpKyo7uvyAu9afoGacxSShwrlO2zbtaBFIHuaOO73VjEG97
2aQxXZR5069NYrxzALUwO+pnfgeFBRSlfS6RbVS0lgs3bwb5Cz369AfywAxtI22dfWo1yZepM1aY
D3UwMpErOkSuEJEGkQDPU4EWMVJL3AfPvJEaTKzj1tLgzyIAjbebCws+SbGiSpZuglpiPBNM6JSA
ZlI+k00sMQw0tQXgP3bqM/0kWUEozjMTxQLYwS3BrPoQlpWGfwa8nvqHY9rQVMwVrEIxv/8yISNN
9l0lY+mZlV1G75URMFluJ6n9mMq5SYd9PdYNxmVQkmnXNmzFF3XoUKUu+oY2xmrJG0v7pJJNJ3S0
eL689mwKqvUIZgH8C9AEksAx7eCPahTS7nDsnzkx3TMzpnjmx+hBPmZ79ZkrQ89nanqG2cObCbOI
XLKyYmi6KUq/Nc9smkQ4cGrkM7MGXBsNxmOfjnTQPXNtFhWnHOhP4G4GQ4r3FSW739EzDUc8k3Gy
Z0oOVBaIOe0zPcd8Jum0JkBTuFQCa5VpInXuVc/knaa3VwrPCuRRn9k86jOnp2qNldmT1pbmZrLp
FlxL4DzcEl3YHblaPQN4as+a5jmRDJV9TGty6nbLpPyZV6bMZAwqF1A9bN5xF21IK6VWgN0fm6ty
SLKgY6nLwXywjYUO1qwXjbaLSiNzm4osN/zSlt6PSIFgXFtW4uEqGn7AV6WYXDUKrHcDgi9Mrsqp
qImRJMoUxcjTp7kI2UCHRsvecgDDaZ7r6iNlW6i3C+2mJIS0Qn03V3Wy0n6mBoKoNMbhTR2UrXkY
LUXl76fcSqelKMEP8+bMaO8Yk/iq8bF94i48jHQMc+fdLaHZ3MSNEMOKqdIbjxNk+kFJbvgunZa/
iHoJXVhKDkFvhbksH/FQEB8pDWnfDDIngOCGFK7KypR7LLLWmPakmQYd3WRgmrRAx8C3+mrGboEL
Zfy7k8F8mwwkA902i6N3ga5N3a1U8/w2Vaq2OLbsi1DjjGhqgBgpI8qqsU4oJIbIZGvqKOEbu9Wn
D0qjWN+WITXeGS2ES99MgFpyvoB2zgNbo1ufOO5eV5JlcjO62n+OvYN/Tc5EiRtFMTVAso4Kzcae
aefY5VR8FjKHkV66vZBt782F1H9jVb9k7wb8+3C7jRJl9E0xQ4AAv6ZJ19KmMr4BlVZ8rbWq+KoG
ofwMK3sOXVE3A1jP1nC+2Zibl+6sBdAGaAbPIHzlIzbxXZwWHWyFCu/zEnJp7TYyOo6JHB/NKdX8
1gBd6+JSvEDHvO3TLP4xzchtXDXNkqcItuzsRlXasAEbRvMjH8LqEUT1pO462+ye1C4zVd80rNla
NwZoa5DGok8iNM1PdE+n7UG3k6n15jHOp6/kFeiQHyYdfNEM0hhgZjBMRz4KQMlOLEX/M27qTNvl
M5pTaGlxa93F4ax0N4GO0c0ha7i7uzBZKAc6bQDVT5sDS9lVUITM/RxmaXyghaTMdqKbxK3JOZ4B
FGxChcxcKr5Verr0/gzpT3WHDHYoSQDiQDcxQUt4VqvPmTf10NMA1mrozAvgcyZkpM76Nkxt+Fk3
QqQxwP2CYFcNPU048ySU1ksTMxM3NNnTO19piE58DMvGI4ysxN4hmE97X81M+Rm8ax8cq9Js8pvW
GnqM9RCEABOHtcufYxhah14EUMc1c1KOEMrFH61ZW64gD6T9GzBSsDPshJhj17f6GHxKO6Ut3kms
u8tjly3dwHoJTf4rXXjA1eA0zV5mp+NTbxk2feMgGp2dKutW9YuKBqJPQL77/FeXJuPoVfYUgzw1
2+pO7Z3xGJqx+UnUzvKkTyHabXZQHca0hHZlypUom+DyIx7SjuaOPQD8IvkRKJw6LgTc/A81W4fS
kegzsllSnYWbLhWMK8uKlO+DAnuImyqXNy9Lk2byFi2Kv6GImh6WPBnTDyztscSzrlL9RI2Vn42u
9/2N7IPyuyCbDO7XaJfC7cwgZO9wOmeRt0CvOARK2MtQuy1n1A8jEgisSvoVO4cau0v3BoDNL3He
qZ8VAHbVLoxT9gmFOOQ7bN7wjR6nDeySNOdoF3qnP4ZmoDzVrT5wqQFNBb2yHeSAF12SdLukSaMv
srDUcFemgBpzhBYabIxB/aPUQ/d7lMv8lY7SkQ+v1pM7Cyw2IUMxA1V2Fh02Q6SI6m5pyLUdCkBw
4TGz4uzGMFpzhkxV6O+4ambfNCvSHhqj0CZvnsuy+ySbJL7vikVCACmX+qHl/6IB3qkqcy+0KP0R
AbGLdnFS5MZunoeFhk07GX5rwOkWLxSB+SapREWDfwNZZRIAv/fD3NGiCWrQuOsKp+1uYP3V3VGv
UsXeqVmhUYnvUXTu9CFi/3SWxWgOtCbo7/WomD4GhT03R6uK7ephgKCId+xIoogwrgdsRVvGCmpD
I1Hvmh7hr2sIA+7lTFNNsDOVYf4OcLeoXJnAMt8NzMu9YpWIRq2SrlqacTPIMnUy3QZaM+4gXv2W
QzTFO9Ckyn0mAad4C4ltYzRXEDpLiNOGW/ZwjLoyvcvsqrYPwhmTryXfI1yXXslir2gqgKJZpytP
dqvyERpd1H5v5nkC9s4dx9ibSmXfgoYCZdYogv4zFYHR92Kyj0Lirx0O/F43zzXtCKlHtD/yyQqx
bMgzbaU9r3w0hK9rzx5ZOmOX1y1uER0A61uZjKXA/VEZ7xqljx5Q12CgKjpL/5DBKiQRs5Q709B5
6jxNCI/1WuMoGbUK2M0M1wudNHjbDpUgFnQ0flZFDZwbhwI7sUVwTBRKq3v8INTeZeefUg9UqrWv
c+zOdmYU17/0fOr/2PBEVyKemd87NCMYgA4HhMrZnJiCxhFbyXeYJDTgwrQFxMI06Y5wg4BUhqvW
RtjvaGZLqx2RL9uZQ3mTDmDDWB1MEqbGpddLu5bXe30XU3W8GQ0uEsg1uOKf3getyRmbYcocT9ey
bjeKpP/AR0HcCHn95vKl5fX9+nSoTQpVUbq6hmPheG2hRH6Uqu1HJczUQ0G0e8xmNM9LVT/qxHFf
Lg/8+hLIwDZtEYYtYUI936VeJNzAcjQjJSyHALjR9lma1nucMIr95VHOziTKRIqayItwUjmdyUVA
Ps+SxPFo9si/5NKyof/SjHLkAn1VcH9+MO59XOYtwaOdDuZw9OhN3PDakqn0mpJ6ByHSB2cmwL/8
WK8vmkye898jbbIiZd5ECEl5a+S2Jz+ywBAB1l3QEVmI8OAB7mAkRI+XB319o6Ylei0E0g5G8u85
U/nijRn9GERV1jvwhhvVmzUr9WLxEFVv1CC41k3xOrnFWHQTkJFdmWHb1dEUYdm1Vu54Qa3pv0eH
LKiHdZD+sZyAr2ZDXDxGAIee4Lmrx6k0tM+Xn/XMBNODDsqCX7Hasq6v+sWz4oUy01HFBBdB0N6p
djbfW62Vvc+IE2J36ZOML8TIvf/dqJsFlAYdSP6ZBTTgnXDANsD8o9VheKhbZ/DYL6o3ytwGV1Lf
Zz5ERA6gn4B94Hy27fSr02Uxp0gLWLUAEnVRmG/gF16zADuzz3DlkJSQAYMgdN882kiq0F6AzHiZ
g+eDAyTG2eE6Fb2Jx8VcN9E8PObpPBPFc7m/kgt6XT01yIbbJm306OAEB9Hp60xxdJ2y0gi82dGS
h3Ytme6GoqsfTQkFrM7VXZHV1c3cRtZHq06d75RbBT5EHdIPe0Vn13Z2ZWc6NyGUbQCm0NnP9rTZ
eKsYEixcusBLGsdmZy9Tf7Kk+RngVxfsdK007uvCHHOv0AhtLq+z58LcaX6bVjROFv5c0/hbfXje
oKfO5kjx6AqLaNJj9ArUWFndAV5y3MCc5a0cgoRapUzfAmEa3xmLXXtTFgcfMe9WbpTWWnynD60P
+eIYlIbi4A7nC8M18Mk7lrgvHhOsknZjIWIuqSCVmmW03SRtl9Kt6k+XH+hMBpUOb7ACdLjhakPu
/vQF40u7jEEnAm/tnDmqZq/f6Oqi7qpKN+5N3C53mRokDyRwIn030Tz50PZm9LdqRNqtNPo/KRio
2GhsD5vRxOmCqAhbPW20PtcZbY2WjId/ynH/H170Al60Flz+Z3jRLoqz3y/RRev//l/2mea/UGux
b1O5YdP+N7VIFc6/6P5Hbsvrp6Nr5Wj8l3Omav2L/8LJvzILUJkLvsR/AzDhrfyLncPgQ0EBhuyd
tt6/QGCue9yLr46PnGQ0mWFc9mg3ldtaBhBVmZBWWu7UyMCIAUCsmb3vkHwHn7QiL9VPeBOVP17M
zLt//vaXZJcNLgnVDnsM2l9SFGy+OIduIiD8FVWRlJl9mwZcgMujBdayWCI2N3xANKrcMvcc23es
jyqgXUGBQeFqEMBeIWvjSv02pdRAEeDKUce7eDkXq/MsoiU+VEJcIgpnPZVeHLBVGCxT7ljdsbR0
nGLSIKJ9W0q3Bq135YDbnOXPQ9GYIgmpUR1Y+vpTXg6lBBqxNPc8Ba+bx9DgtkOLuT+SDLsdHdKp
XVqLKzvs5lXr8JgklCqmnEvP2vJzOmY668mSmkbuk4hoD1yPTTbGvvG4RhW3ObqB4+XXLLfzuQ6I
FGJ93dw+XolwAiWptUbTGDAHJ681urnXi8bclSTfvb7CbYQIOzh2SeTso6627sh2VX6rYmyQOmFN
Q0s3fq8q0VS7TlX7XVAhLMvieAIvFxNZKlOQgHTMbbeFKXxvBSHODHlc+mFT4c06DR0ufoN1QxN0
foedUL0nrJKe7Ov6YGgtxj6WiPB2gyk4W3m2x5/EOFyeg00go9N9r8MrozV+7cAlSj2d87KD549Z
TYhcIBIQprPsgCHF8LejELtw6kE+o49uNUs6HWVGexCkYqkPEEs43oxgOHC7ba6M8up1QshF+blq
aal8vqrGLY2SapBf9UPXOc3nyi6UWwDw48ce29orwdGZoajiI9ldVa5Euptp09IgtyJ80g5zaBVe
ysif5rzr9/aiXyMXnBuKO99KgqNRWN32Cpf5bJdkQfXDoobG3kJJ76lxrB6A1f+bF31iMv1y33u1
GPDKZIfFN5PXhf59U85MNAp+QRyZh/WevV/sihaWDMeVy0tuu7UQzHK55Ntb5RA2n/rpYgjaPm67
0el9K1C1P0WlLlgsZHr8J8Ocb9wvrVV9dNrBya7snpvgce0aoc2CCxLKYLH2E56OS/5L1J0+BMcw
pNPPNVHsPmVGOqYHwq34S2dYzdeY07AGvt9qzpXRt5sbuxuHJawLNLUaHcKbFUMuCOEB6FYfJ5M6
pPpRqoY/IT+is75JxQdtoGr2lzONencVmdGOgAgT5N3mie18avKuUMzjUJexz64bPtHAk+/axpJ3
i72U0MfL7sqnsV1EqKFVDg3+YWPRKOyeTjOaroUKqF36eUE1IoLwe18Dpb8iN9h+Fc+jIIXm6mXS
O2Nuzgr6dsKZD7D0a9Qkd2oelCDuje6QtpNyRRt45oGQzbJ4+CA4gbdNEOFgqPNk80Bm4+BNQee8
ay3LsL/8VZx5IJr1HLZi3MFXf+TTaUtIZ1pLVFT+WGgl0UW7YJkT4lZJ4rhmH/o7fRrnHWc6dCeE
SDqR3Vaq39tlQKWHTo4R/DBFLxlBus3jXdGP2cPlJ3s9f7ThrHArPr0Vk7d5sqVXujIyzNlHL9o8
GEHWHAUNmX93j3h+IDpR1p5p8g+q0E7nT0HxE1p5O/voCZRDN8aNDwTwx18/CooPjgtuRDrh6PqR
v4iK2o7Fhrvf6FMNWvakanFTSgD4/7k8zKu9gtnifmk4a3hC9L2ZsdKeplpXs9FXWJNvrb4O3mjU
5++x6lsg+0zzz8vjbRJH69zRUoBgfc0xgALZfkyQjsN+LiffLPTwvUn5aK9KerWSnGp97Yyp11Wd
treTwLzpZFxeeXWvl/4K3CADyLlAhL+1hE7ZLylkDCN1x1jZB1Ws4EIYUZPOanP4dPlRzyxGaGMc
3ODG0IHpmwxCPYs8KwZ19MMiBo84Z44GrVKgGbk8zrlnksQgZAugjSH2PV0pQdXKJJHO7EPmK6hh
KFbr20Ubq8eSwcqby6Ntu60R28Gb4MU566lK2mazYmDCd7ElM8UfwlHaB4hxtf0OG5XyM8or5WEB
bd5+pY5mP4442H0omlLa+zqiuOiSdnCSK7vzhttFSGmStDIQEaG7p/t5qwwNJxP74lEIP2QeBleL
p8E5YjplZQdtidZifzcb7T7WCHo9tnehHmjDGDAaS7TKOqbB1BWHzLCQf+fKkmS0unTKZzWM53ca
+vPEuzx/rz4Afi6pEG4d6OX4BDbTN5lWgmxnmf2EDNCvIqAnYxdp1IMi2AZ3o4a63slxXOmtFbEh
5vHKbrwNidbpQstGXgvBKv6X66p9sa9YXV8Zel7P/iwxsdUKR9+pWK8cZZ43T8Ggx28Knv3Konm1
RBmUuzVcBTLUEHE3Dw1ADOkQdmJ+HINbT50h63e4B+J6NmDht1w5Rc+OhuaaFA+tfzQQnD5iNaYT
+hxj9jEJG5ApYyPhhohTdlqkiSvL79x0YunA1glsmRNh82R89sHYkx71s05BVMGVi216jnvfKZF8
l4gn9pNl0c93eRU9hzYvchXPq56dhbYNWKhs3psYL1JltFj0aPkU4LA/W7BlPaJ1Cd7J2B71XSIK
P5uHQ1VZ6RcRjtVbfTL3YSFTfPJQMmXTEN+rXFsogWRh95d9xs+/jjCQlK4BrpYo7fQNKLGF4bpI
BFIH2l+jop0fsz5URpd+pOYOxdy1m8u510BrCxoCorU1b3E6YGAl6LrGXPhGZmKPmRfOfS3b8lOl
1+G+b6R+LEdT+TuZ9T9PyUZI+gm9NfHG6aAikxjrRNri19mYmW6BGHRvDFr9UYub6EMkRYRwqCql
deXln1nfJC9QWK8xPmm0TcoISDaXqi4WfjxiOYVdEcpAgLCD/cvk5X65vNLOzCzNawQ6a2cukcLm
wFYmJ8hSy5qpPQqFVdThKGXEZv8wRm2x53fgkFH17d8Gcus5RsRI7t2gY3VLzjQHWSJlMxdf6JVZ
uY2q16D6x8QK95cf79Uh/TwQu/E6kWv3/ek7tKNIyoycn491Yu9xoUqBlIv+yhs7NwplMmhG3EWJ
gDfBnKgDa1K7Ul0ReyWeyfjQwfi2jDy/MtC2krKuSRp9SKcJHaXrKxxHgZuIEqSKiveHEPit4INa
e5Wjhzhthuv0qWaVP7Z0GNveuHQxyf5Ga3HmimhC2nUoXS1XVEYa+8jojWt10XPzQIROyyyrl76E
zTwETlBUuKygqEEO4XgIIYz2gKnyci29cO4TeTnQ5rVyV8WdQTKQUUwAMZeiVoRbTXVG23ON1uzy
Inp13WeL0zmuTY5zgrDtB1nj1lOOacHuoygWEjqpfDGTTrtppyn/mCPdexs3aFcceOfXGg/PhBM6
mEkg1JIg81Uhdg5GSDMWe8GcO8UjNTws15ramT5wLgC1zTpHvEHeNt/SvohjM47i14pVZ94p1zue
HTsC7inbi4qllT2mI63wzTzJMH0WbTsihGor50r30ZmBWNncP7mLA0rc5okLWPPPfCZfhAa9HBku
i+3c5VdyCq8uROv9cVX7c7aiETU3wUMrae93psDyA0MxG9fJx4l6L/LBn2xEdHcD9dGfLi+fM4uV
Wh+EYL4MiHHP1cAXIZmWlhG+uJnll8qI4SZysr2cZ3HLFTC4cv8583TwFVj+RMrcybfnJJERJl6d
qpOG7rpvOAOh3XMCZfCcOseCBB+t5hrb4B/40yZW4RJLlo/jmcLb9o5J7tvI4Xqb/tD1TrJLJ4KA
Q6d29XtFhLr5oMLpWHmiVZdgceesAvtJM352IUyrg5Z2ZsLCLQakULGdfk7CqC69lo27vMGyGH1X
lzWRvR8S2X0uihi9fBwHWuyFg54gxCyW4GOpqdkXVYnzBxFNbf0kl7SRvpOq01soXCOas1Yapofu
KDePSP6C6qBkiZS7WVP08S5Ksf/eYTOvjztnmC1cSe1c/dU0Q/eHuK8u30SagWYsG7X0c61E2A47
eWdZwHnb8oPRD7rlJq0i0Li2yC73pdbpPwfHho8biwBDw7pQmZJxVpyntWFz2hn6lDa0DQ6KfZhY
kCMmwcnUIMSSwVvKMkP5IZE2BXNLDg6td6S+DGCMNVJsnbuX6ua1rQX7BUulb2oXKd3bJO6b+2E0
ZOqakdF8Syri4l1Giul7G5TCvpnzeJy9xjHmz91QwadCDJe4sl3URxknyu+50fSfdtvp9RH94fje
hCaDVyIwYLreAs2ZsfjiQkX0OxnyPU4BTegNCILfN7FQ0E4vnfOuaysV70QwWT+jopssd0iC6oG6
8GD5PNPwqex7I3hr9iGbtmEmot5nZZM/9IVa0QxAGmnaNXJUmv1oFPm3UVAJOMrWzj5NIyL4fVCP
/S9dDHPoY7BWpG6ugrrcGXhn/IS/OPI8dVUUd1HeCbh6y0RTBpRKKhGm3muxG/T8oEObh3Z9wIQ5
yd6LZSx7LHFqVSONO7X9zs4Qy94oeTKjwdTEqLmRHBD6h3mk+WlTleI4aU6JzaSWt9IL65F+62lI
5c/SCA0HVq46Wjs6M4b81laq7PuEmd5PIrflZrbgZroF6tXSNbS6kYfGnoIf4BDLH7rscvWAWDIT
WMMLpcBo1VaeFPw10P+2WfO+4vTm8O4FP4N1Fu5t0Y3CNRQ5tqwQZPjeiIuEvg85m/78nwGI49Qm
teTUate/eibp6IZzXF1jkJ45Hh2OF6rvq/8KGZHTGCuRlVMrQav7+iixt29EVqdwYKfoqQmnsXdD
oyn8Bvk5oeTQBddu3FvxwRoT4cHCCbl2rQIJ2AYDZVPNSGZ0P9eWGhrJvODMiXI+fdeoUX23jAX2
RnXY/9E7OeaYTcXq+3LIsBu5vM+fOcBoZieJTL4Ndce2vJJLJQC5W2l+x698aKhYeHmWRVdGOROw
c+tdJ5rrIWWczWxPc9/JUuaar7UY0c8u8cEqqqWJenEFJ2i262Vm/YisuS3/XH7Ac6cLxzN1sRWA
xyl6+qJ1rODXUEHz5yypsWmJjfnYSrF8MCrbOk6t+fXyeK8fdcX9YYpBGz/pye2LDaqAfqloNPwl
yDuaIQb0sThxjVV/p6QLZi1KayzTIUKWey3H8HpNryxQRiaHSL1se2ZTdFLjWsEnoZrDxMHRzZI/
UHILLODEaNduXlpFv+9hidK0HkXOtbvnmTQciVtKdeulhbvZ9uLSzZGpz2aS36CRj0J/wKATm7y4
KGtXhsTZ+44rHV6HStxKnzrAajWoNzLnIBLdJ2RkRfrXaRdKeeS0UAsQArMMTt9+qsS1RICU3tQN
3tS0qzXO3dyqxi1+yfb3y2/+9UpjLDYVhzKbBXxnDYtfhExVSFtOKbL0BifInna+ON1ja9LfR/pI
97sN6fzyeK9XGncWJANMOZlr5LCn4w1DrNtxttg+vcXpcTJC20Uend/LZFaPcZuq7kw/zZUv+XVc
yKCr4Y3gGZFjbAalVQptBmatPkdI9kBEQevHbGJN0CPGvvx8r7cmMKRsGKwJE/3dtnDShJFpdUbr
+KVRaQdF79PbLpmvVc3PvLUVi+lopGtXO6lNWkgNFi4LgH19B+orZ1mA3VU0Dvt4FCNfqRpdySJs
mPhrbphInnoatUE+FbLxp68tmRY5TtzayA1rNOXIyGb7I58h67tprOX7ssYg8mbs0jbfjchkEa1H
avS2HRvrXazopXTtcaK0mASN8hjMVht6aivz7D7RsId2Axkv/bGtjO59IrD4frCKWf/aBTOt1iEx
2eHySzqzHhACcNujdAc6fFvNjmeNGNfoAn8SeMSiAwE3tcfL17LwYzTQ1/8Hw60SBw6tVZ25uQkp
re1UC8ofv6p7e3btosiVPVnj5lHP8vKaYdqZFbhSkmghR7m87qunr6pGhK1YuCj5mIoS54aD+bU3
8+aK1uj8KDpHBcAXOsc3+4bTrD5N2Rz4palEREWpTPpPYoKjcGWgM+cDdl0a1dXVjYEN8fRxUtqb
a1OvAn+xYmvxiNsx+w7sdte0PS5ZTWCOe9qd0NfOC20pf//m1nQA11eWvVgVcy93RyS8oCZaLcBZ
tYsfCc067SlNZPFJUxq9evz7wUgNEmNxh0UwtslGhq0djs40KL7SdFgk1wnWbGVdi5tBdeIrX8CZ
DYSFT36XkjJRxrYJHrI7zT54F8OJdnJk5l3niVAbD10z/5j5PK7simd2fYoVKPPIpFHw3e6Khui6
CYd6xac0Hr3VaHf0MPDL3rRwsd2iGpSbRs3NKytnfTmnt2V0KqT0Od5J5yByP3153YAhB2e34mtV
TgdMmIso2KW12hr4r7QTOrz8/3J2Zjty21q4fiIBmodb1aRqt9t2HE+5EbITR7NEzcPTn4/GAU6X
SqeENraTi/SG2aTIxcW1/mG0cZvGvuFvRQ/di962s/nm0jYijGAqAM3o1JbWBfysnOzCsnsloHBZ
aEEMr1074NaL2KqRDzMGQPjutQc3nJvPj7fT1gmFn48+qawmgZ25nT5HMR76tlCCvF7sdwX0pEPE
u3pnflujIKVAZ1amq5RMb0fBKBrqmFvxZWEBO7gwhooBj9yD7/l4Ols71v2VoNH6pkGxmo49eGZm
hTHTcagmpV4ncHgd/sU/LTo0UZH9xsnnWEjbJA75XZ7SeUmaCxyaQMS05tE0qpb2ExYXcwpl/vHM
Ng4HPXTZewWWxlZZBWzXosGt93kY9FkHPExy0z+pMUYfx6zoCxiMpmB6UJe8twcB4ilcAXJfJMLu
ggDajmW3MMce/8eAsmyO6s5if8kHCkUUW9/IUZJJBGspLUTpEeh3ea2F23cuX7VBjhGar4caHPcY
A/J2bvekZDe2JU0Wwiiai7LIuTr7tPLxGchrL8AtOnnJ9TJ+6u1hTzt2I4+QKRgTA7rI3l9t/gho
wIipJllRlkPWa1N8Lmst+ulFVnl8vEnW8ki/Fo+EBcg3Ic1lp9weNB1jawxVUi9Ivba6mhR6ztOs
Y3baqNiUq6GZH/MOp6I86kHptcPgC7S+vzXGgmEpfO2d+ufGtSztywho8vTfPdtyKixFM8n7vxUZ
jUK3EpAhmuEpoqB3SKDWnRK8oSMKNsqetvXWsiP3xqGU5+WuVZwAH0MVkLHptTT4qdsTcCi3NEHl
IkKEv/Xjpd8cjjcqYYcAfvcYT4xE9KVhkS0qnrjG9mQgomba48dRzNae/uJGmPMgg8kWFxQPtu/t
Zx6hWo/uwGdeHKDUGspWaCMgHoCX/Ay9RN1Tw9mo6ZCZ0hkEpKzzv3UuDF13zEur8wLEM7rFLzrd
KA497JHlNCMwopztKozSd5T52+xSRO1QnSCkJTWF2WnOL4+X+tdje3VnS+g+VEl2FZfK6kSlo9ma
qWuGQZuOhXnwKMLUT01VVPGHBlLu4sd56oancFGG6YiKS/ZuKNLppz3b/fcYtZPOr/vcjnz471hv
NxFKERe1652nmarW6PfhWIenx7/z1heT2cWvypjsTN5+MRSVo0ld4jDw0qb5KTwj+aFmWfUDvFw+
48c7WPpOLLg/ezzF6JSTFePucoeHcjjnVqwVLqCABaEmsx20H6EV1nj3mDCZTyj+NdkRUI75eWlb
T985D/exFSFWWmRcHTiG3D0+e6vNPAwZXPIqo/EOU2SnzjmbAPjt3E/bA0nRbGA2BJvVxRiD/O27
yHUCqIEufuuYt/SduSfreX+8mQ63BIA1ii3sudvv1+ZRY2dVyygY7521ZTCPRVPGZ3CJ08723pyQ
lJLDJkTmwautghFLH4NTdoI8BESDrlwRCH3od/KJzQmRRlA4pKpDVnY7IUC26tLOtgNdtimPrYc5
XTOoxtVRmrdnSawdT2mKkZIyu35r6kZkJZMY6TkQKg4uvhyIiMfTYcEJ9HdmhRUejS8UouE43c6q
LEiw4Rc6wRJP3zTAQgCxx/biZmLcudruD7REWMFrJmemG7tO2RPcDTOYog7ArgrlBOSOz2qRjYfJ
K3VIQob15gDCnHgcAYD9ZWaz2hVhbOgl6CI3KCtbfcLHNUOZZmlPpdEOB80e90L+xvzY7ZjjungH
ucBHVyuZlTGJQ0f4cFIVPT13+cS7rW6f0TW3/lFD3BJ2XmIbOxIOhBQVlt8IgPntiNHYNVmP+kIQ
KwjiJhUCN3TwMS4S+Kg/jsZbQ/HhSA5INbU7OJfTVR34McMNlnJxn2Kra4/0oqZjaZbDzlAbp5mq
IQdZpkAyBbydVebVBorAzMoYqNIic59hc6Tsmdttfa1Xo/y6v18VaA0NOdtubt2AowH40tNnmo/z
8Ofsogw2Fbb9G7uRTU9F3CG0k/TczmokfZtpK/OtKkRZTOT4Ps02irbIqiBDaaawXH/ji1EwxamM
rOeutKi4g0ONr3IDZwijk9N6/dkGkEe7bdpjk8gvcptdUASGnSi7WFSB116NvZW2JAQla9mo+qET
dMgykx2ZFUt2WEZDDZD3AgQIU+FopY3+7+OZbuTwjA88gSoI4Dr6Lbdr21V4uxo2azs6qSmCRIuy
n1699OYxS1wnPxS63VYf5zprkBxqdKcmATLaz4Wtt0+CEhlt7zFGOeTxr7WRThALQHjCcwFTtc65
ymZO+2YyHOpO1ix82nXa+7QJnb/7vm7HA/1vT2pJDP1/yITQi348+tYpossF0YUSG0zC1X4rJDS6
9kh47Qb9pSm3kwNET+X6eJStsMDmwtYVHg/4kHUqETnmlCi0HZysnl+avkxP6TAjHT3t+YFuJNSS
PstN9YuxxHth9ZE5UgsFHjcAezF8QC9aRySZPod9mMrc/mGWbVr56BONV1Xlse1pI23nTtlrIm2s
KxRJDEnp6fGgWLcIevT/INjMXlB6cfbSZ2Lwh7l8MzTfZrJcJnSr8D7jRXg72cY2M31sNC8IyzQJ
f1VHQGHPbpfvRAm5aqujK4HpUCzoMshy0+1AcRFJgEcUBpAMKsQVWgXx6yZvsq95HtrJ05jm9XtD
69S94v1G/EU7HeCkDY/zvvOBXiK1hCpnf+aZ9tyx2k+TE6MVFzXdoZxd+/J4p27uH4k3BNrHqtJ3
vp0pvmbkiJlGlcQ0hh+ZG4r3NlY49EjoHeC4Op2shBwVuqt3abO0OI9at7d5tiZN+4D9A4Hb1Nfl
k8nslqVN6GL1jZX9mNKq9S62U6QeglcoyZ74D0u2c/FsHFFScAjtNNy5V9cXD2WP0Sg8Ljq3c/pD
s8SJb1SeOKcN/oWP13hrKMaidCPDMFny7RIb1tyXvRVzx4Go+JInHtr8BGfLjwsprPd4sI3wClb1
/w0mD+qrC1xVx6m0Zl4xdh+r5kEhC//RL3l7nYCPlX68RNpHUCeu41cghKfg8ehbYYDnhmzs4yp3
552h03vECVhxA0Ufq5fEzMZnmAL6Tsq8taC8oWSg0WVRRv789Rwz8gnRz4TX2WpOppFEh2m2UW6t
RbiznFsTolJKCxmg6D1rBn9C9Dyx3wrCPq2vWbgg/Ycz3G+MAgRTvq5lI/cOFNClcOzKzA5ibA8v
S1ZUxyWpxc4+3KDcoP9LW5C0GAcdyue360YBexJYs9lBVecCrp3W/jEbiudzwKnpmZl9EOEcX4Q+
JcdWhCqKn6rzDIqNpqXZK0dVGaU+Xt28FGlU+eGSWjtfdivuUiek78vLC3WI1W8YDjJVjKG9eqne
Y+Rc5L52POFprJ4mVMh2ln0z+L0ebnVY4FIWSIBGdiCGQfs77EzjX47qgPZ41Yz2oWjMLEhFXP0J
UcAUT4BnBvPkhUu9BwvZ2tFSaAUmH01isqLbL1OZ+mwLe7ADBfGu716sJQeAZNGHDKW7nV2wtaOx
zYDKR+mLFHi1xHx57OPc2YHWqRgHUCWo+uFAcHgcCLZCOoV+XMP5lHD3VqMAox4TlzATxPHsXOMW
g2oD1Bhljqr8WKMDuNOv2dg4hpShQ6sBIfu7AjGkN9EJL7RJ65f+XTggx9AshfLCCiDYj64c8LFd
n4iNr0br2yC1pqRDjWzVQtUzL0RYmkGNDg3FrBT6ccREIdCxdtgBUW+sJxwEgDOyd8LhXe/UeBmQ
04j5aonwDlgSJsdBVNEldtvsAImvOz7+fptTezWe/PmrEJvjD5EOiKYGaHkmhybR9RfcfSdeCHW6
c2dsDkU3AwEryDGkkLdDCZxne4C/dlAIFBEjsLcfxloZv1R2uDOprUXkspfsXFDiZOe3I2F+0NYA
u6LrWCWDHyZjfWpat3u3jG56SIFf7yRX8jdfZZHSjgrWJfIPkk56O96QFIqxGF10NRqMeK5diCN9
WmpadcgqY/zLtScvP0n9iMinza+/67IhvT7+jhunndIG6Ax6UyS06+pcF6PQWepudO1Fq50sweOP
O6jeOe0bSQehCzYyAiESC7LaLZaeY+dWGxFJRiee0QkZ3tvu4rx3Gtt+jtDb9Y6sUBf5TudFfzye
4VqJh94HXTx6tLhmwLyHe327yh3v+UKZyvgaO5WHifoMAJxuUOGaz307gnXW6or64CR4TaIWgwjv
k5UPdDoHpRDVUcfi5tJMtrmcpd7D4tdu6vSXUXHd7Gi5okGJQZOQaWc06z0KwdbCWXBqWDv5z7qf
3QNnN4TlAYygjBsjHKQ457CP4495snRPngpYyc1a9eTMhXt6vG5bx45LgE6TBHbddRNDpwpzt5tQ
Yy/U8ej1i46CvzUds2oadzbh1jkAJCSVGMii7t8YHDq1KJfkWiKf6F1qEB9YDjci7/6yQ0P/yx0M
7cekmCBQkth0nzONF9AOf3ZruuhEYT4ivRjuOl1G7nWNmfTx1dWm5OS5TXjCffCfdo6XnSizcRWh
U8ZTBlVjyTBcnfo0SyPVnBOANZ7obT9OImhSSa80yyEuAEf6g+114ykB857unMONAEe9hwcU1Q26
NeuAo4/URY2hVQKD+nX/vhjcFP3goeLNX/GzP1oz7uudm2ljYU2CqoS0SprIutYxxYkuvDRTAjDS
X/K6K7+oefGl6Nz/K9D2/5We2VpXVpMEECwRUgDy56+vJMfqFU2vwiDHRxHFdqXgNQOX86kenaHx
B6AFJaiJqth7k2/NEDYjzwA+J52H1bUxq1rXd/lI8znvYveYCaVUfbh8KSLrU7PspMAbIQGsIF/P
4NogLKxqRw7ywlwltJubSejRxesc6KjuPLhdUKVWU6Hs5do/YyePPpfIl887W2hzeCra+M6h9HNX
PM+UAXlO1w0BaOjKF80rgNNHTjvnfkuaMT33MHmrAHX2qrnWyzgoXx+HpY1YIRVwqN7Tc+cMraaP
zFGlzU0aX9NicIZ/IXZ08VPF/htQ+h5hYAjXSUt4GFii4+VtNQKp/Fb8RmFfwv3BkNgqjbr1IQYI
V8+ZAM6koN+OCHSf+m7ew1lyomLnAG1wwl3TpSEsuRbs7PVzFoujPFsURwma2lai954wEMlEvgSP
nGE2zGvlVPhr+D3akPk5tjFa++YVUTodVD3KnXM9FE16ceBLPlmTovTvRkWZX6ae/s7O1tw6CHwZ
QhsX7v0rxSpGoXqI4oOmHnsL9bos+ksZhsY8hBmOIjuvs61gxiak9Uww5WOsjh1u8GhoZQAU49Lm
YWTVleWbbrwY18gQ0d8J52c+P958G9kSNyJgcekeTk1oFWLIcdA7QOrjas5agf2tg3HxaOunx6Po
8jdf5YUkKtL4DcCXLIPfRrLMXZKpci0ylqaLi3/rKNOSd62lzYmPWHY2IZWvR97T3HnldOlVZ1Gu
VT9a0GwAb6XXSDfy9FttmnHqz43RjO/Ccuhf4jGxu0NnDALh9iVFIr6E7z0/6ZjkNH8kvNbtnwpZ
WOePhZjIaqBA7Om0bNAbYHhyaEDp0g2+O76jqU24E2rJVcFFz7viJYzvnyKhLhigzF70vk9V0Rz0
EEWVQ7+0rHBhma1+NgwlfxEeljk722jrm1Ir4iwjXskzTW7qV9eGrSmtOhp2ctWcUFyTGpODOAfO
9/ibbhwN8hrwyWDW6WWt37t1rbtDY7vJtcBY60klHf6YdYu4OEmp/Xg81OaEgDfwBynzu2wKlwPE
sDGpueoRhpcTwIuDBg9yZ9k2blv5d3PMocuQIa72aK7WmUrVMrl2PbhuxcFfwx8bwASVgLgmTL17
H2mxuPzO3FhEdLR4767fgvkyGGXdcQD1SMOAD/17JT1WqATvrOHGLQf5RnILUJ2A0iB//mpThKPb
VnaUp9csinkSMUeKlImjG8IvsjLERzR0E/FC1X/4gupK+nZANO8dJmhJogPQllWgiepFTGaGXos5
NzzL0DI+1EUtXspGDYOywzLm8bpuxFKmitYQJBGKI+vGCZoPkaCSGl8LzDfPC7DgwFyEcUzmeP6m
TtgTvXk86pmIwgIyoLG7jnCguhxICHV0LbJWnPI4tfwxTcoLyk1ToCLA/PabCeVXeMUu+NL7tp5j
jFFO6yK6zkMDHqTLxXkmlJ/hse6RUzZOOkNxA5oADNCuW11LhO50jOssurZ2gqRzbevvalVoV4Ge
2PXxKm4ORbmWrSqBKOskBDVVLa90XofDCO11Sdv8XVhH7pNS9OMO5WbjuKO5SU1Q6g7SlF1tyKXS
inHAgue6zNZcvhva0Gh8wYPQOIp6geo84yQefreKbom/PZ7lBgqPLhu4Mpqy5Hx3m1Ozslq36E5f
qwWtpwsgEhilk+tV/7Zxp7/LMMSqzv1Sh8aRpvmMgi7YN/vs2EmcH+y07+eDYgjz29BKMnjd985z
b/MfTraVJi8RSvTxTpK69WGA2GsQvKg+UAG8DR8Z3CRQLYMXjDhZHCKIewFVoPyJl8+etOBWjZoC
hzTbo854zx5STOAQNHU9CWPWX/A5MkmEq/E06FGFLQjOkGPRTqc6TJJj3cTqoe6SPVXhjXApJcAh
7NE1oLyz2h1t645Nqjay7yqG/6pqGp7QyDCPIWKmh9lMxj9cq/gZpvWwszc27jpee9QnwIzy5Fu3
lZfYqtDKpeGbDWEXIA1if3SmcU91ZAspQcbicc4QpL6nTE2z6I1JhbFHup2VsP0VE037pOvjs14Y
zQ9gMOm3rlCGb1Y38H8w07jkrRlXeBErS5zZF6dbvHgnG90I2hTt4MLjTs42W2PQci1vYzr3YGWb
JnufONHyn+1FC5JIM85wcyi+Pz6IG18ZGBoLzRdGz/kOLzg6EdIv9LrGhr6LZ//naMmHuLHf15H9
rdGMv6sSuMrjMeXOWaXCkniKmx3SvxDWVmlGO0IKaLIJAHJkVD/asJgPqouQYIQbznVcxL9qZps7
sW7j9HJ0eVhwcCUlTz5BX13+tlHEHakvZAsPUx8KQ4cW4SkEdZbm+Hh28m9azw5Qk/zD8eVRsRqp
sWyEok0a24k5JAel05Fdau1UTH5dc9r8yu6s4VjFWv2/qFna8ODhIfB2OBx5OKvLJ6V9tg5WVZMr
Q1JTUNCEohe+k6n2S+tYIcQgu6urtyfCNJ952TAmXK91Imy1E5BWHMZoVPQ5SJQq+tpYcXpIjKH+
nYm9GkoGj1ffcUiUIZqKIQySNi0vda/8MEQ6nmctG3/jJFLQgSyH+BEcx1X8KxCp0NOwhzNTTMpV
6LH6vDQEB3euuoM7tebl8b7Z2qGQKYlFnoS5rtM1YRgU0/I6DAw1QwQPgWe1P+lth3WVtuh7CM2t
M8jbiBcbjZH73llSqrXadjZcD9tqI7+bkiJ98cCKZEd9njHn1lJdw0AU9O1eS3proqThgJMJ8rId
efsJPWOyxxj5lGDBY+wklf5fyqpQD0Zl1qe3rykVPNrKDiCvO0yWMiX27MbwnuoqWs49fdZDa0Zq
oPXuXgV4a1bgg6mQgAsFrbQ69l08qAKAuhNk1Zh/LLCF5OzhdDjg+bTH4NgKMSROtAVlu/Uu0x4d
r8wWlcagMHvnY41iwrUPTfUT0HxEA7RubN/zzGqvEEvHHyOtmb339datAZbSksLHMolb5UKRmSnL
WFg8DHE3VK96HZb9eaFs8lPNo/C/Gk3r9hiNufGNbCHfw/NtLbX3S7eCwj6/wXoD0cOj7eA5gVPM
xYeusKezcFtcAcCQf3v7BqL8CIwHjiMIXPmrvAo3uMnFCf6iblD1Q3huUmM51kOSPamt/hsYbbiU
1O8ZiG+6DtmGPvO2wgY2aD13eRa2tA0E5HaIsbHzh6zZ27Abm4jFk2AacGD3zZHISss+WVw3kOjf
FuyXtXyp48hpqERV0Y/Zyri9mhJxJx4R1dOst8nPx4u7kegBSuBKJspK5tPqyMxR1yxGBXBIF5Zz
aNouPw7o558ej7KxW+gV0qcEYQHdad1uM1xkEPUYuHY/uc55xEweFoE+XXBjtHcSm1+p6eruJ21H
Gwz6wIb0RFy4fWX1nhcMvZoNgTUmOEr7Hb2N/yEaNnrfNJGHeEHg8t78jJTOel4wz37RRGiIr4uJ
KtDJHIQzvowIJ03nsavn/KsyDk5zzbrZ0VCWqqLifaHFxedK0HfxIQQtL/bQ9sphHptseR6Epn6m
Adw1eMA5SB4sczj/66UCnY0kbHXjrI9zfezBhJYHnBXj5FrlWAjIsrOGphQU4/hpHkO/8XLvu+aM
8/QJYT6vPehGYuIEmrT5Z21p8axoIY0PR731qv9aUzp3gmMU2FwWpY7GnZ10fytVjRlWE/VsJbdu
4z/sDG81X9gYgF7zbqgH+gwmFtCi9HDLUPu0A4Ck0iY7aYWwFuxUXfMl9eY0+4ZGnqHu7I2NbBtu
H49tTgEbcH285wary16eOapaymEcU3FVjBRFrtJaroNe2m9PlBhPAp1QV7pXCUlIQUNrhJ5qjarz
qcLf46kTAK8G1ds5W1u7nhgIhQplDdQN5M9fBa4OP8oapdnoGltmVp2dvsRuVssitz3r+HzuIRA3
0gluPmnfAG2LZuv6KNeAHXg7K0EPMOjM9Rj9ac1Ti0dVbB9T0zQxkzLHneO2OUf+VikmC7ZpfbJr
u8ERRoV9Xw5je+XjhS+IedkfIDp3p8dBZCtYwj9HIBdNKBp1qwuvdSZzHtuGvgSAFZySMc6laGE1
iY1qT5O6RwNTXfOQ5Kr5BN0KVbg0dow6ePxbbE0Y3JFsuUI5vrv3oaYXECWoFop4jL6Ali0P5tK4
XwsF+/XHQ/26RNehjF1K7RzELNjk1YyLpHGMDnXtoCERnD/3Xln9RT/UEb7IEzM+5/kyzudeD8v8
3ZIo6XPU0UDz8XG2v2fo8b8UufC6q5FbSnlEvc2me2uBaIKCpJjppySyvfKQTJaT+ErcN1/qHHvJ
w9h2KjJoXYaTaElv5G+wG+lXUtVSOUPG1p7wOcpjf0Tg5F0ThVifPp72xgpLsXlPWlUAy1zv44ma
nIKJooLqTfElywzvImYbCWZ1Mna+5cblJzU4GAepba5geaJuDmiqewg2cGKyLkfdviD2ViLZ+Yxb
lSRKzbQaacwQDdZPs0oI02sKk8+YmNNzXWEBbFtSy9vTWOK0NM3/Cbj4p8nOvo9DnCBYpP18vKYb
QZZfgSoSoN0NtRitp5BZegrHFDWAQDGzHGPCRCwngELaWcvK6O2wD8IeBX4ue1Oir2+Xtl3sbMxb
lEcy4O1+GQ75wfSU5NIr3L2P57b5FcmBCXu/6mSrU1Ivk5FavaEEFoY/AepeczB6jbUDdNwahYe1
BHRJVdV1USgpa1xixlAJ2sicsWkBGK93YHgfz2Vzr0iQHEKqlNTv8JSVqyTuNFPAVzGevnpQYoNy
MswPg03l2/Km5T961qrtm4NnPxuFtcRHEGD2p8e/xsZVgqAKZqX8kTWM1VWCX2+Bu1BCWT+b4mCG
ZXoY+iY9kZqi/OxN/YW24Z7u4NagEqsE/ABsOWyM2y1T05kqzGikyx1HaK+rSvhkaG35PkdOFPOE
sv5D7+tup8KwcamgGsMGJRBIU49VCGjaOrGnCWGTKE7EVxy4jVPU1YAUFyM5TkpTvJsgqh/iiZtT
K3+HgSHxJphi8cC5r9qoaFRJbTbOJU3O92UnyqPmiZ+hS6VRkm7ffFSoawDuAIcOE++u/ZVqnSZ0
vQ2DeHH0Px1jjiXddd45+3cvU8mCAIplSqAzf+RRehVWZ73u6o6uRuCJ1v3UDI340Ht6e+zz3nmp
MS2GhCcAJYJfevNDg6EhlUgtR8rJ5PS3Q2OXFqb4OfTBNMS96i92XP/Vhssy+05phXsU+fvTKqXD
eXzTkqJdS1vidrhods0Fki1uMAN5NKIElZIjCZou0YfBmWr7qAkKoYelFNkM31Dkup/rY0lObVlp
uoNn2Vh2HsgePUtOjxTquf1lcLe31SgtB+ZeonGbAdwvThGr8S2te/e7q9a9eY5awxlpKlk8Jh7H
jI3hqSjLC4b0iNt0FYb7BVnXkQ5/QNpiHKqOwhK+6Xbrl1kyPLclqE6R586T3hff3j4yRGf5suQu
v2tWeDgmUWRpRi6AsEGjROTv1NKsJ98syvGiLZH7rmnq/gi0Orw+HvqXW8pNiobeE9hGEm5aRKQr
qx2AQhkeIJ41BuniDE9Z05nZcS5D/agP8XKZtFZ5Fmlv/PDmHlv4OmnPqWqEfm23i+xhNj5qePE/
fVjuqf7cRVMpRMWFz79ADtmGzAheHcLKgBgdp/oQ9KNif3VLJLBKsTgXOAjLn40XG196Mx+/PF6O
uzSD4ptFMQPGOQ8fLuTbQQXgmshq9T4QuVDVE/KWedA6cfJh9CqlOUNWNPcs6+7uZVnvk07PdGwk
n3+969Fz19NIDIFX8u619GQ+qZTBT48ntjkK2CHEMLgs7qBiXduY0jl7CJqmt/6H3r/4QHnB+I1R
eKNxC4EXkD2S2+Wrzdwtm4SiRTO6FqrRU4Ulj7fXKdiaCw17RwUli3zEGvbWzpYp5mEcArNT5oNo
5hjntHhX40WG2tXJoJ+NdRWALo1cfpUBippKhY3WQGCOjnvp9SpqcB+3tY9pVFvJUQCO93wKINbL
klTVR3w+K/eI+hW2CrPI3b2r725rwt4AR4KcOgkNHQUZvl6fBwcOv6PVixQnyHTfKKm6oISuVrFv
e5Wu0Pie5n/fuGvkmJTXcI6D5nnXZOtEFQ8tALBAIT392Jtd+1KIcNzZNZszgywLE4Z7nQvpdmZY
UFoWeqsLKQyyvZWJfWPaJ/UftG/1i5bE3h6V/y7S0w/nqNFXI0kja1qd8gjL+pKvPgdLbqYnDzjb
s1M26efJiIU/aZFz0bWqDqIuid7aQZQj00vgf9wx1JJvp2onNINAgaiBotTibBZG8smc6SXYntLt
BRb5d93sXzkW9xlfT4Ji149D14Cr2Qllwca8Mk9N6M3PXWPHn8fGLPbYjveJBIOhegfPiOSXDGYV
rSc6hMjOYY0z5kr9zRj1+B35qJuci7EZPH8w0SDzu9bq/hkjz3xxB2/6kKZUBHdyiLvYQJtGqn0R
G6Bz0bK5XWA36sSA7ckS6LVefoSs0Z1BgqEV/daDoSFrxAtf1/k3zJXbYYaiq6zUYcuywcLUj2qU
Lw6eFk17b++t+bweaHU7ZJpeKHVuLIFWKOa7tBnqU5Hlb0ZdsWqvRvmFO30VW/AXJT9M5yWAbNz6
cTksn4SZ/hPqy3BECH/aybTurnY5HP5ZkvMjWaVy0q+GaxakHmNkIgL0sJZThWHKNTHN6TKmS+2X
UgNoLCgK/8YnezXoaiXLctasxRyWwLUm7YLyUPEU1aO+s//uDx1+5RS8+EfKNOFPfjO1DGsd0144
B3hczx9jfa5PnZPiygzVYWeo+61Bwo5EB1RMZGTuxNAVJY271hyMoFSy+GjGIHjMvt2jvt1PSI4i
jzQVZzjGq4glK5ZgDjENwKm6PuhzPh5GYxKfk57q++MvdH8PAFhhY8AgADp695RNTT0Ps0Q1ghnq
tO/i6nyal9Y9dUWRHEfQuN8ej3e/DaUFJom35EzAaNJvv1XH7s4hu2MT4OXDBTOx+q+qStHujUSU
nNIcG24fKKu6U4jZWlHZJ0ARkK9Hfel22AqKsINOhBkA5IyPIPWGQ67RLK8UQ93Z81srSi1GwilY
ViBYt0OVvORqFZuyoM6z+hp3ffYlqu3lecFG5ac3U7LdiYvyEN3eOWDNSJq4Dbh57uSWLcRzExHD
/hyxRPsbbXinfoLsDSHBEEWFIjIeBdYlbwq8+aj0X0tTr/55/FU3llf2c8mSSCfIdFc3UaiPbS6S
EgGuEDfd3nMwfsxC7eS66Zt10uiJcDrYtGSH943deY7pUkXQ4pfKiC+Q4uzjwtqcHk9o4yNCjeFQ
AFCllr7GjUIBtYqBMEq2Uju05iykNITVHyGOigsGHziaPh5wFVjoxHKxoV1CjgnyhwLI7a5xQAGU
dJjyK5UV99kKkavuzHjvfbcxChRobhYQJACM16/9vOmxMG3zHL5OVr5gQdkcl8rdI3muzrici451
HmUcHZ7nXXPOMessE0A/r6ZW9n7eZ9oJUYv/OYO2CN+c0Z7xI5AQOyu4Oga/RgUQw6OOGjJ93FVG
23edBsuiya+jlZR/YpDTPg0hpq3oDqeV51dZLWnEfQJqHMkd42Pm0k/7nd8BVjR7U3IY1tBLxTDn
iUs1v6Le7P5hGSRcuFw5fh2F6cFOlua9oni1b89p8T03G/Hl8SbaWnjeOrTzeEzz3pQ/f3XHi5zW
71A11ZU2MwqX82j8CB279snPuoOu6OV7yGFEvTePakCpRz6APj0qPKutu4zN1HpzXV0XyGafok7V
L7U9tV9bdXLfpyL7mYDB+P54zI2NzP6iY+/Q5Lqv3mhVmXdLM5RXr6qND3Wl1H6sqHnweJSNLQX8
gAtYp1YD4n5Vp0GpCYBcrZRXlHfdv9w6TbPTWI+ZCMhsULsq9KissFeKUtvPKg95E9GGTfLp8W8h
1+9VfJcbGxwbpX0yfdpY69bW2Ller1l5dZXFhO+hOfwzl7PlK0mv//l4pK1V/QU6JEMkkK9vyVgT
C26FRXWtw7A7e3lknRdjyi6PR9mcDzHu11VBaVmu+qtdGrdJ3JjNUl7blKcnLcjGr4zQ4aWivBHu
9GvpcPagpADRR7ph3w7VWlaVlpgQXR1n0r+ORg4jtFc4u+8RA5YZsF4N9jVK41QcKURaxduPBqUZ
Khngcx3K9auYhE4MSNqkE9elz5Rj2w/zFU/G/jRWZnFEv5uMZ+qMnVxn4ysCQnIMlSq61PFfre+Y
VhGmYkN1HSPVOBthX/neNO7ZMW58RVgx9EBkHx/83GpqBsL8vPXD8hpruelniRAXYeio0CnKcHq8
YdY8NfkZGYuCiMmjWn7O28+Y5dTuVYXT3tZxM12MJqxbHyOc4mM+4oV3FgDPnyO7GebjgB5O9qzD
2FNOzezUIy69XrknFri1xGjzYBoPPU6/k3ecijjqF21m8sNU/lPrYwcZHr/QnTfb5jDcnyCsKLzd
6Zr2U5vV5DvVNavb5lM0Zs4VA1rl+Hh5V5WZX6vLXw8iUfZB7sj2dZLrzeTV5dUavMzwS4qZ9tEo
+lQ7d1E8PplzjNJ0OijppdKRgNz5uhuT9EyeA9TDoSCxYW8/rofRXKS0S3Ol9WH8qVjV+KR5vb6z
lFt7CP1lEnIpPkGZdDUMnYaRd0nRXCPFVL94ShN+EI3qXJRGaw8iM5WDwMLvMAxLd8a80Tvo2VT/
aSlFtvOE3Dg49GghTNOz1HiOrGJSMvWN3sVRcwUFUr4MtlV+o0xUo6IYDTuRdmtpwZzwWgVJwB/5
q7yKtKlIlklL7fra09M6DSXkOfbQG1uwEqxEMi51oCCdkPmtIgF051DhpZxdVadEvTVnpzGb0Rs4
o1yf6plSfPsx0sPxjb7Cv0Ym05HYBEjAd2D5vCQVSmuIgdQroz+MDt439NR+h652t4rMD/AQFwjF
WPLK1QcLvaYrXS1L4ZA5vV9Ce/TLud476/cbVA5DtwD2q8EDdb1BizxKyFDD5BoNNWd8LiAh+FZT
eOJlyIox/KLH3aI+jaPeGudBHRLA7IVVKic6AEvm+ghypPr1cWhYy7X8WmHZFpWEXB4o69wuFGWr
O3GbXksxGxP3lkr6OJtRQW90YsOd1CKcr6KpFseP3dT7xyD7DX34YWr6LowT2cjqssxXG4xB/ck2
2h/aDDnpjJlc/GfbiKxEEClL9pgqd4eMxUQFAgz6/+HsPJbjxtm2fUSsYg5bkt1Sy7Jl2ZbThuVI
kACY89F/F/1vxq3+1eV3M1M1njKaJIAn3QHCKCnG2Tdzx6kS+DjJEyowy6vSr4rTUitsMpWOroTb
i0uRXICmRkLk2f1lRAyJdbTJE2wkebv1wo6XWga3xaaeXv4al1baregpfgGqPuPb5roGwpYPJQdN
+/HgdMNJZYuDsIIyDi8vdW7q9efDQ3eljNsbUdyaf18dE4rFOQZi8kSuaf+sXeZkUNec6MmA0bVi
eaz015Zv8LUsTVne+bBuw9jKR/MLJLdOJW03ug6zbWmMr71m8h4HNXjGIVBFUCeLHVbfzSxzrXjq
F+djHWIKG9tKgzadc2e99jQXX9yfzjzooud3v92C5GfgXp6CGYMyMMRl3Jpdm0wMVq5kfJcuC0p4
xLohfHOWz1IVrDZFBW65PLkFBsDbuBb3QLfy48uf59IqhGxwbrtHGS2jv78OgNwhUkFQnvwyCtNS
IHtUF6uf/vsqnHxiM0CX5+4FmOhuNPPH4uTp1Uuxm3OO8A7/0Y5l32nc4GA/drDrztr5+1kK+Cqi
xsvyNEs7f7uEqHJ7/qj//RJnFfJIAOWg9M+HzKvhz5Uz5qxirt0BHpI8ohPvXMkyLmw05iB0wHbR
djLWs2unM6Ka7p/kLqjaNTgEuexRXlzCsIr9BvOeK9vgWebGq9vZJDuxlRzqPL5LLZBgHLbyBDxk
vR2nsIJEomDlRfgVf1osgSi4WTrfTFVeq6z2HfZXUbovTeHt/bn2nqml9SLw94ZKeaqjzkk7J28N
mE/W5twuGOm+tsQyf6yAuv1GvTj42Zrez5f35qX1d8lmj8Ichvf5CfAzT1ZVF8nTVOl6PZL1hR3s
YTWGJz+SMsc8sO0ee+B344EbC7MDZwtlfSXB2r/n+VtAfBbQAoKCz1NnhUSog/uKPAlz0jfO0nMR
u0C33g1WWb0Xsizsu9btr7WYL2wzh1Yt5QeZJLvsbJshiD6jfuthSzp7zppkYdV6cUH3G+wtNIZ/
D3AUkVw0e0uJuv08v3MC0BheVZ3qdjbt2MKi+10btvnPxVn9ayndhTf612L237eBdLPW87qMin2U
+pURlnmKTr8Z9+WTUZqf68yrrxyis1bvfv8gD8CoBSVcrtTzQzQWw9xGjStPHorRUyxVOX/oK9SG
scIuzHBXUtLL65d37zmH+c+iDPe9fdBPc+Ac6Vr3yHlOON2fdNhuj+i850iPLestWne4WfvVfJzw
b06X0rew1aynBPxDdyB/7L73a3WN/nLppRMYwaXjogYk6qzPxe4plt4OSSy8kgc2p/FuicLmfsxF
mWbUTcDFJS7HL7+EC0FsvyhJq2nZonJ7FsTQcZKVb9TyhDn79jjUAMBa0wi/v7zKpc/LJAYK4S6Q
4p9n70j0YO0+kMhsIjSOFRbZRxQJ2vcd6IN3Er/2K0Hz0tnkjHAsOS8c9bNw5g+k531k8C4d+s3T
ttQHLx+xqPH1NXH+y0uRl9MHJeicDynMxV8wztDy5He2F3vt8r1xrS1ZI++awcrFTwXtBZAgE9Zn
V0DZF4ahAO2fxFhW92ZgzHcZvbUr7dYL4WxXFCWL3lllz4SVI7Prx2Cm0HJLvU0PVdbnS7xExdYe
ClT5O1yYc8dOo2xpg7tK1OL3y1vlXNtrP5XodnATIIhEbnVeNWxuHwT9RiovqxAxR5Dj5m1uoDVw
MrZOzp8dqwjUp6qtsXUOaarPcWGsqM/HQxTUT2tR+m5aNmXXJ5tXutWhwknTP0ZNZF3zHbvwQfil
EeQAYsBz/hM448oRHWen76lqpCr0K5obV47OpUXYx4yFmWWyzNlWnjKX7i/o6lPB+P6GwkbG3rY2
V/ohFw7oXluyicGv0ys9C2YoCFXTLgt68uYueGdla/HQe0vxbW1C9dSSq1+zC7i04K6VRL/gz8Ty
LJ4FIBoNoaf8ZNR1mw4FWprDkq+vQ2P74jD8Pry8q/6klmdJApk6s1GQrnuFf9Z5ajLsOuZ6EqdB
t/Wj42/CjaHyCS9l5l29t+Zsql+HmenDFWTieTuP20R7353XO3/dbO/ojDIs02ofuX0rS+1ocAGl
WFN/0JMTm6vMs2Qoq8VNxsW2wBJbjsgPflQ4kq526NCHgeNjxJUuLSOpu1wioLtL8ByVqetjFJRG
d9dmoTPE3aJKJ9Vl0DG1Bn8ZHDtrqYt/vyNpiJNQEP+oL8/fSG1XbgiNFQ2Z1V0Pc4iBEmQbJ82G
fr2y1KWPzVSVXJxjvTeo/s4nFH80016FH7BE6ymr7OrDMNTqK9xFMymkYf8vu4teJkIgaEYR2M+2
cwavwtU5pq6zNQZpXjtvcsul3sSJ7W7bjGvSh5fOKANPev1cXrsr1d/Pt2lpjoB38JA1zT4tHC9P
G8x5rtzMFyINOGmkqPYJ9fPptIkOed5GvnFr2YMJtau1XvW6698hCCLfv3xcLj3Qf5faP+h/epYQ
xFBnDpFR6rGrS1xD6pugRozqf1gFpgFNASATiCj9vYrvb4uYdsZMrroulvTFb5jiXfMAvRDQGBoC
OkT6bWcyn12gqhCLwschP2WBgyGItIwDdPDiCK3WvtN+J27yUJlprrjzXn6+S9s++oPKc+FsoA36
9/ON5mDDO+KEjctaJD1H/qaelBVHksedJ+0lL693IYOkdYlZ5K4lQjJ9tusjaGHUoQGSZe5qPLq9
FR4l7b/jmuMwh4aKgji7XgMEXlx0N3tgKsS/zntUA8NWVXqhOM2WnR3kvE3J2AnvhCRNkE61N9xG
9FSvZK0XjgLyTphhogcHRzXa9+9/9mfQ+21mGD16N2FlvWmkP1DsBuNHY4qc48sv9eJS8KhA5xLm
OeJ/L4Vhoz+FivhbFUV4HP1MxdrQ+ZuwnX7+DytR4wEhJwB754Smsoq0pxsU2UKvbcfEKjBQYMBW
6y8aW8xr2ONz4OqeZ0HwIcHj7BGDn+kHLLloBinEqR/G8d4NDXkMsLt34jDM/ff9jJrfwdPbphM3
692vbu209+2m9bXx7P/nh+zDLw4Lo8WzbZs3bdDWCjXywmqdVFitvMH4azzOdoOV6RQZ1IDtxKuw
6jBBNYtbKRu7w8sv/8JZ3W8HYhTsOYow++/PDKunmr0FPfZejkiplcFP7dg9kk7So7HiB//DBnYY
+tHZBchPZ+/v5VQ9u3ZW71bye38vrZexgJ44iO8D+OhrwpQXbnN2E3Muusg0rM+HGku94fJSN8Zt
oec5gZnX3a3SNE8vv8FLB2UHL+7qrOCCz4Pgqlt/9BTk36Up+in1wGvdrhJaVzwNhfPl5cUufi7q
IPR3drGz83GXmE2/rm0YhwL6lpdUQ82XyyymIGVtpfNGXXDli11aEQoCgls0utxnRlqNGyzEFjjs
MBHQyQ9dPQJjKPPsjTL8dUg9pQPzyoV+6cPRGGGEv4NCn0FQ28agUFNjfiqLkmOo3QiSgH9tlUs3
OGkZeQWdh+d97AxuEaM9UvGuMkaAGD7mwTcdhLUjKvPDq4EpBL7jjvBuXv6GFzbMPmpGXxPGH2Sn
s6wwmmkuicpkW3qldSdEXRykMwdxBmzgysc79/HZLzt/By7soyhYzf7+df8TMFD93taonIrTJHJt
3tg6G9pUVyrbknG2O+NjNnutf3S0rYvbyveMNsmqHmSMvWVAY8zSDN+boWCOmkunvpWjnp6U7kv/
WHqZZ15JHC69mf/+2rMbsTPWUg29RlsE4EjqrhPidfNgx1hq/qO3/f97MeDFbNTacWs6L/xUXzK/
Y0ZN/2ebPpjLVid1xejYMfr2oR4bN+2HYbzy5fcve1aM7SQpMkiw1VT7Z8Uf0stdW3fkDEEVlY/D
bK2xb1giGXHSTkJfGSkaGO4XPo+ZTmOkH1/eeBeOMqicXZiBXuMeBv/eDFMt/GEuc3Hy7cqp0rxT
DE5Db9D2Tb5gzBGvZjBeq4EupKGUB4CgSHSpSs7reI0gGUBM3BQiwy5eWWPdH715lvFmKItNRIvV
wgIQqKD4R+rNn09MckaWxMyFJvnZ4y55U0obDObJaDL/oQ7MhoGfsBK77IIrH/bSm4V0g+bhDsZj
LPL3mw1WH6ye3mchZban9K1j3Whf2jd+Q+cyN9vtykm59FbhUlAVAT+AlHK2YDnq0gEhWJ5EPuWf
5l42AK7a8tB51hrcFf0Y1TFXZnSkejf0lcX//O1n+xi3UhJtaj7AruetKm+0MqbaLW92FOUIcdRw
21TB4xB3DqIn3SEv64l555SL1BkoeZmCCNOOOyesHgzRz095ZwCLlbndVw9QTjsvaXIruwuccZCP
WVYMj1EXdq/R5MUPtWnCZjt2oVdXV07EhUAD3RQaEzckNornm3PpROsiRSpObVMuD5iMWnk8YkF1
fPngXVomYmZCfcLA6FmXCdqTRIFQiVM1Get9OCKqVLnBNRHQC7cn0rFIZrAF0VI+zyf93ttGf/b1
qfFgvaQODBR0sY0GhJxLW/jry89kX9iCIRpcAHwYnoKgOgtjEyZPjdyHJZnTh/kx65tlikFo2e8L
7c5j4oumymO26WDfrPbalDH6nBEM635Z1Vdte+V25DkKla7lOv500HzbEnexO3Ub1AF/waINFOjH
KMz6m3rLl8cZasb84Join98Pvp/LxK3w80jGNsuNOxRtWyLWNKpXbj5WjzCbtvbKh7zwimHyIaID
9I4my/l+QQhFj8HoaLLlSm9J1k7zjZO7ojmNJf+8kgadU7X3GwyPVMA/MH7go54vt6lqmHD34xUX
kxUm6FwpKxm12em48lQ+JsIe9NcB88Tm3oQ6bt40uVHOsZ8HNJjAlfZhbEydNdKfd9BlnDfdtOnL
++DSK4ERB66fnB4hjLNbtjItvS0TePuqDPn+ZjMejWXtY0+pf9S6/PM6II0C+4RHBuL7bKnBrYXA
0UWdEEq1joihDT8ynVXJaG/V739/KtSj4Xrs01XmQ39f6Pk+3W6QgDmZQx0eV+n46YDOSeLL6sPL
K106RsQnAHK0Z5HUPWuWzJkc5dZrdaIb81XpIjxEqE/GJqIpj240TwlWLjKdraa8UkpcuJT+uP/s
DrKA4M6TkWzwclN7vM26HpqDs67B6xXw17/Pb3dVGLoyCH2hGnJ2S6jeVVXf9WwP7NpuN2k0B7Hg
92WM1jVl9z07PItKLEU/ksgEROk8pSsGM9OWWfJAYS7uhJ6rpPOpyIpxtQhAhkig+NdPL3++C9s/
AgHBDgGO8BzvnA27AcoEdaZYux4wVJ+9Ki0M2+qguAIiubBRdp4hBkrkGM91dobCjjpuY3maF2Pa
TpGNXO+d4DJtktZZYHdsZb0sbyagpv77PA/t7Np1dCHL2acxXMoEmOewh2HttJnXJgQe0y1+ZAY9
e7ykRfnB8pVq4z7w9QfEuujUIv1X+u+MtYFo05Hx+vHoucWDPeDhfTOhyPAKjBfGss2c526sMui1
h5e/y4XNQNHDYJKICDP4vKlUBO40lpJpWkNKdqPtxY9rU263tedsidLk91mxTFfI3hc/ESBNqkn6
S0wZ/r41wqaezSyY5GkMlPPFimr1tNbVTF3uipuyH+S95v0S3kzv9PLjXmomkWFwignHVMznS9M9
WivMIOXJDlaBjbeGih3DVNnKRCHF3qZEGqUQFKmbKpkmaTnY3IUOFO2pNd69/GMunQkoADt0nOSQ
QeXfr2GoHGrnwFOoT/ptGFPf25+L3G136xZzWK586Qv3GCwZSDL0Yvf0Z/81/ylxqbK1qBsCENC/
AJpDjxAj+nLpvz8T+S7diJ2+9kyHKCdfoXE4soqygkdAtE4szLU65MTFKw906ZiRjNLQhoa9t0T/
fiDcB2VrDD4MNi+TN73WQZE4iwg+LXIWDvOCsXr614eDhQuOCDwVyRyZzd8rIgoMaT8q9clWiLfH
oYu7IdKLzeDF9YYV/MurXWhKkAkz/aSx7HOdnRNTKpc2oJFxj4RTiKr4WJdoSVfakx8xFaeScXUf
tskAQbB5jOpZ5HGWRcDH184z1hufQLzSH86n7FDNfikOfuvO1aGt7CGLsaFo3X/+ICgWI820Zx2Q
286rO7tH16RC5vMEnbw7FNHi3SGngi1yaMuHIRq2K+t5vO6/AxksYaaTYHSgDj0z8wBP19B3qctT
hnRwQtrRJWWIrUPlTMHtlW+xx9/ztcg+aJDSjILmcRafUQ7DL80a1IlLZe1TMU4Isvu7LHWMioT5
oaZs/5Kpvq1vtqArxmSFrrHEcFTLHK5028i4HbTwX4FKX+7Ukkc/ATF1I0KwiwmPIZ/nPIXq6s/p
VM5E4yu/337++xmI/NHXBCbKMPXvrRtsaOAGLQCqIrC6txnttu9zRl4H1dPe/KTLPPcXhWMEC0pH
3EAycMv3Wkq93vuVQiNZwKcpriQ9z08wMjXsb4AxNN6eaZXzPkec5vZQbdXNB6sw/NiZo+gw6cl6
asbl08sv4cJye+eeC5cc67nmfGGY86ymQsGcox4RqJa/GcsNQFPk09Rxt/Iaa+Z5cOXokhUDCAgv
YGVKlyvekB7Yn2Io3s0CTPZimivkfTfEGnQdb5E7L6/kP8/veTDNCLJjS0TCykz97y8NG6CGwyan
UyPN9rCFvdp1poMrgXQ/Ys+3FCNTilqyHPhz55MvXxeZOUkVnfq8c8TRh8WSv6nWwDtE1mqIWM+Y
myezWIIv1jDX/UF4Sx+kyCZMa6xDY/qJCUtl77Q0//OwePlDkymh33htj5daZ+mpvYdVMvTJXC1r
zZi5EzmQHjvvb7I1Q+yszYdletvPlfLjYsNnPFlkpnAfHk3doXgfRN86Uxmf3dbTbzVRNqeNZ2ef
wzwXW+wr0qoU2KHxe0PZbE2rbarfWDofvq3rovR9tC3LD8+aphJqhDdViSPhdSQ8ilAxintoBgIY
6z/uR1jEC21R79gOnliTLQpW+RalMvXBrLT8HJR2/dlatrK7EbbqP4qQvvbBKrZti1U3z7gBjZmU
v5CIEfVppDdkxGGkxBw3Hp6u7+esGjAQgRsp3Zt59hmdRMa4Nt/ywqFHuK6t984w6/B7MUetdyjI
w+cbG2c2iYyCHLp7aTAqvdfQpfJ09BYlX43aWM1XgMYd5/ukosKIEVeatx/caBK1rVbZwNWtrcqS
IlrVa237BhGv6xrrraqy9r32jCyfYIsskflzW9qoujXsdnZel07NbBYr4MW0uZoDo1LdCU9tgKk/
7VCMfgIOq1rIdx3vJ5OFyn9FAb/eyHVr+2TcvXJuFzpO060KJ/VTZPb4mYExmYoGzvA0mkhw3y6K
/yEGZTlXaTms9hKjsBhgHATmvsELT8xtAoAo/x1WjeMm8B3LLR4rrb7Waz5D7tb5zNCiDcN3CBtb
CkSYFp9aL2taKGad+jKg6KoSO+zJyVeCXQTGDeDeAfMR3cageawt1psCqqO6KgJzBWP+Z5Yjv5ZY
FmAP4Pj5mqfg1CKV0u5dPmarsN6QxgxfABEN1UE0vewOk8rnLu7wuhtjH7l/lYQRUr9J5239b864
l07AKx7XPqqKuFgH/96oxhCoXcDgUdeWtBIqEZmUWeOPyRSJ4tHoO2R/PfSUxxia//hKlqGqMdus
u495K9Wr0nOqG6PSzffV8XV0Y8vVatIe3wyVRIgQPxZD7ZexUdnTkrD9ZYlNIooucbd5wS9rcrLP
G055d3W5FMsBVg3eYJWpHJUOJnHmXrStDblENu6doF9dx2Yz96/GolxB7gZ59mhtZvE5IoQqZNWL
/H0ts/KD6bXbV2GU/ZZ4hbDWpLSz/AdOSMKIC3tSRSJhWeaxgQ3ZmmYyqMLbxhqWj47dOm+jRjlj
XNS5/LjIzXuKcneck61d/TejBlmaiiKcf9SusdrxONX0L7swrAUMrtGB+t83JQLegS7MVNTTOsZR
vU0G/32MDmU4dhlOE3X5gEBrbvFkRdCW6djXXps6a1+sP6DtcZT7qPBEWjP/U7fG0Lr3mpHZw5aJ
KNUw1FEywXRyjYEdulsyTNB/05rhno412n2JVv38znD8rk/XYbYf3NxR/MOrulQ3W6iTZZs9keho
rD4XslO/sc11oA1XjcXXXfNgYBdW1dt2xdU+8dZi/CRy1edJu+R6i/E/4YBM3TKgDO1V7XfpYXoV
Z1xmOu1xqM2Og/D9j75Zzr97P1QfnWqUy2Hwp8FLot4Xb73G8PMb8OQQgdaqHfNUqM4bgWjRCExJ
+COLLCfP+njODfvG7aXOj07NECme8r57vUjblNx0en7KbJvmV+WSN8d1UDo/CrPIxWHtEIw6SrmG
tHaYvnxxtqoUaUirDLtWROCeekNkY6IL3/tEf68bDqWRd3UML3P7bTDn3WlsS7jFm2WsnzDerrok
yg1927kU1cncSguxCXRZZeqzZ6LYMprqLRy38jMACzBgUz9MSxxF5vA1z7MW86SqNr/hFzF8UmAt
kDDobflVeavfHnJk/fw4mgd0H4OCtZKyKHaOBWwzLy6zovk9F0CI0s7zS32YpiUIkjY01YMNHeDR
gpWwJMMixIDpmnA+wuSmB2kWY9g8ZYPpDyDSpurbtgNMOI6W0R22vMI60Q5wGnQtPZgpTm9Dl4SB
WD42sHRITbGs9XB7qrColmhrooeCi4EVb52NcCZNWzR+/WrbgkNozAEYnMAAvgBOFRFVF/3AU21m
XnbT183O+AvcgpdiL3T8E09K20iqxrb0oZwN+yPtgbpF7HUGoDfWtfOz11H0GvYRdMNgheMSt7oe
K7wt1froLFNz70nRB7Gbd4CbCJHyYbW79cmt5fZUq5a9ilCY/zvMyOMO9UY6zd0h7bullGi+qi4P
26O7YFsXR804rMAqkQONjVK76t5pJ/dU5KP4ltdcC7gjCiGTtZzap951hDyWEySXiTZ/fYcUz9Yy
/nH709L01jfMB0vsMRr+hhG194JrfjTzQ9UF8+9m2hwktSH20E3WPdeg2dfRa0gOWZ6u4xrcWHbV
t4mTeX6VoPk5/PKqTHnx1phCHMt1CDSnLI9+Q+LusJDlNjHirSZaJhoYoMDMtcAKlBm0/j0W/rSR
W4iaXnSt3DW2gBUMiZV3uYqtuYoeRC4QTTFXb0lWhblV7Dpt+XlSo/hVN/Y8pVmgw5WutuE/5o5Z
c/49w62YOCmPBANVUwBKBFbZ8p1jd6z6hy20xz5ZSZnfZQZ0uGPP3X8a/SWL0kVnJMcNkcimV7iO
IXDqAuVbqHpEXd/Puk+2W9sbIJxcfujWLVKHqgYAG+MmFT406A1MabBk7MnaHpb+VsJW++VURvVW
GhWGOp529ZzkYdjIZC6jaUlXud9aTDHWxyWvC/+2tMviNVJV2Ff02PWB5/C66a3EQWK9WWtI/kdu
CfNtiCP8QlJgrYd61E30hhK+fMTegtq3c9tAp5W3AnVbjR0uQbxZuZG3XDUHszDVEDe5SdjBsU0E
COIos7g3jLyp46GrVZPMkC2Ij9PScES57X9V21C+RS6N6t9yBZ6xuJJs9u02VMvPyBrzm96vvIjz
Miwfan+tX4nVGT6YpiYMIrnP/KFq+zaLa5sbNsFPQs+xdk2CvyElMilhAO7A72b/iwpLTpi5dc5d
Vupw4AlofcZZx6WcWGpu8M8zxFTHuV37r6nliiUOELBtUrd0RvOwydq2k0W03Iuds3heCkgHGJFC
ncHmiEThAyAgnDmCTGQyNuY1q9h+wrjvEaXQcdP2E39YTNFDrZjbEWcCXIWzOZrnm2lgZsj8TJF4
lbgG/Gpsbyxg5pPEAqfUGJWq3mavZOsof+J/u2RIJQvrvdZN/mR4Y/Q56E2CfK6408cSm6ebWYis
O3a4ZCJN5NtWR4e6MWpcbBbfYMNXBiMUv6o/T5E5NXTu5HiL76uobtVSOB90NyqH+sMqnLjpbDCN
0dhZ1dFsDRdAtwdGI2WqgfihOVfZgxvulsrCZVIMFslD6pIKS2HWudpiPgpGNQMaZAYy0Av0sjE2
fE9+H+1q624rVxjvtDYRKeoBqj9ZO0Ak8ToE1OLSBz4eg46wbyttLMzvUIDFemyZx/dR0bRmIodw
+tqbVn4v8JJZE9k5qr2lTrbKBEoFkcSg2JGkh9p907lZxWwwFNbdvBrWfKOB3fWxCufxAzIpHr/a
9BRGX6tvfpVNWd7NfjbLpAoQK02Gtlk+tYD2hlhYvT9jBOwsSyLGbhpiZGCyBsfxWYqDNZKIJ1FF
ZZOyVa0qYZTU/RDSnVArioqgjIkyhvnaMgCCvKI4CFRsI5tGKTXZ+l1bFHUfI/1j/4B27pGCRBVi
1UHb6MNcVmwyF6OWOUbwo32bA2msY5QHsu/OaA0ft0Z3S7qQfFS8p70S6PSiu3Ra5UDjPFxkF2cM
LUHftG3xvi+36AHCAvF/89duPvakSW5ctlH+Y2id7BtjT0snXtiaU+JnbsOyyAi/qZkj/excjwxb
mP47jWBgF1dGJ9/kjckAdq285RuGQijDRxY86MStm35OVzKv765ndZ92hTHjOJOPfDY2a/yNap+W
cEjHcL+k9TrEkuzlm1YTj2f360R3GR7Am4x5zHy0DVX8oERbfqtGiZ6BgGKLurrpJNXE1M5xKVwu
4Wzx+MHzbCHaoqgxdE+LKXOG1yAaPDeRVaN+YB7V/XDziKihXATe4lb0W5EOpeF+dkdqs8Rdgvkz
BS0XGRcWOMmQ6/le5totktUqJpGS5jX7+9FIigybWr96i982MfY91JaevTlfIYqS+RjFNCyp9CLV
wV+a6s9FVsw/vVED5Sg1pVMMOMV4IGP3KF/HVmU3U6utOR7HYeEzK68tDhjN95AXwFkORMVl/aIL
ROjiIehMIyHAl3cZZijcNp1cvxtzXryq7aUvHysLKFBtaP+jgCguj828RpAR6iZyXiGAXjRp2Ov8
Jsy6QabknQ0AFmudmhs9Ic8QL93q5OTZWV0BO7FHKmft2hxrvajEzPy9YaxzwjjOLN0vTHNDGc/r
VlAD0vtThz1of90MdxliH2iQTLmjszdL6xS/fX9wy9TrDfVuss2iSvdN/arGS4XEvfXNNoFXYGPp
UAY02voB9NxM9vg+XP2xS/p5XswESIhB+DPk+FNmG5y0yNhqL6bIXW6rMmqtmNSqe8rDNVySoESB
Ija6zvimCBrfs8Wvv0on31BdVtHI3e/VHhWxT9ZluYsVcv01RpSUquk/rSrwCmx1li44EvfX96VZ
F9+AybSP6C/pr52/WcHNMlntkESIwedx768NEUNXY52ITQdc/xo4cKypcCiOpXC/jWM3vHEK1o0L
HEF+Lo3Uiqp7mzN0BEqHUEOs9hKzXea3ij97pwojMm58ba1fMq2jd9k0lFGaGQCvOAltR2R2aeDH
fyhCsQDWcJrKbBOJoUYHOFi4eXY6z1XxJMl9byIdRl/nzXe5x6Oq9LjvkKmPmyaLfqH508qYZLDr
DlGXueqILkJYJk4ouFDXbNafyBqt+xn99DF2G8/CjT2w+v5Ym234bcnK9as728OdZ+0adVi3rj+5
rtkr4eCxYKTHilsSxGAeW7QAfg6rFz6MwdZuCeKxxXfyo8iN19Co7iBlDAFdihHEAf2ANjuJZqOP
1LfmNt+U0VzSsjdLooe/dUFEQevom5LKfLnt8BgzIMV7hnUQvepfg1tZ16QYwqImMLW0oCoj5+uX
7dipuLcrRThz1jl8ZTSz+TSKbnyA8k0ytLla3JM0U66tQuUVKIl+wpB6smnYFZvhkBeC9FOxaNDf
P2jPzh9NfENuK9uu381b3xuYWWA7E2dWuNTpnImgibdwmisEIsKwSIRYOR0jlAraZZO9HkJXqO/b
ZEVfTWPoSnz3IouBbLtFYzyFq53HTUiTPBnHxvngmFP9tRyiBZPTLpxnms99Y56oG8eZjHXuigR3
O9NKBI3lPPZCZFdzt6He8KdWvDGNSLUJGZ0wjhATmXbAg/TelcK3qlTZI1q6Dg2uNXYtH8GTMljq
n76asOnLp2Aj1kdh/1GWS/ZuXpwsSxky2L96nuaNjGz4hIGlwselGBZ+oy53NrIdfM2AZOlYlhRl
cZ/R1I7dLsq/Dcg55omu24YIk4uwPTRU7b9sZw5Fiox4TVgZJmeLvcaBFloDLH6TOZqY2tKg6Y/W
zrC7G7Z2ejBUqQV4wCF62/wfR2eyHCeyheEnIoJ52DJUlUqjZcmSvSE8tCCZEsgEEp7+fnU3vejo
cJerIPOcfwznhQPasg+AjWj2dG6Btg7FEUiLhwHG20nt/nCvcpGhzwcuw0+yXHCzxd3af7N8p36k
HsSEIHpGfkT7ovzMDoV52xq34vuq9vBqzdKKrsiPYwdiaakMIbdVFF7pMTdfI9ls1D6gn/sa/R1Y
pvJt4qx75CjMK7pb/o3Btszprlv3gclsX879zeqXJgKMJzPDaJ5nxthfQxIu5NRAxr8n1MXVLOSq
keRBLvEveuu6t5VuBa4KQ0wqOsiYXaw95PqSJLKp2bSl6xR+f/QhlqrI/g4haM13g2a3TpPSDZ+6
oPSuBA0nbhqv1fLLVEH/hwnO/fL6HS6gpkeYcrrRI8hnLKO2ZmI7nPlcDsK+x0M6zgirS2nyeKvG
38Jb9hgKLakUIQ5JqAp9VPOPFazNZXiv2rFgFgBajJZDEBjd19NXZ0+2ggMq+7/rXHF8dmC2cb7F
0uLNO0z/olqn/kKhw47tTsv6djjKPO9+vf3k+fBeQ0ro/tSgnG1qFOpQojHL6VdPXsRjVcnKPR/t
Wv3emRjjbG52eMAkYhlLj9aVH9W2Dj+P1rE/18EZv89kBX1avZrD84Z+8Bm/fvRbiKociUXc2yaf
QOCG/LAcc0aXhqqQIdP970AF/lMRYvTZDaY3GVFHLK5Mqu6/fgfnz0mSCnnmFl6SJfZagvNsp30L
/ZL4vNYtEZX43P92mhDNnKR73yVzFtjGmHMyg7Awtkj9A+La/dZEify+BLW8dyYRtRfd23adt2SD
+NnGZWJSXXs2LSguPYnpvvnVW2lNewUP5zYfW1JbHJtmo8JByjn4b7CiHTgVyufzEAuJm3UnRh9o
u7XHAs5nu47hZiJUD5H+4VRuPXGoVV50HoiQjlOeSyTP/O2IGtgX+4GDiONNlLKEeR2d9QspIaeK
vdf0R0IuSevE93Vj+3jM3/YxMuwLmi3nzhvNFqS7hEdMx6Q1ccrosf6acA0MKbaXGCyuYZZNO1iB
IZ1G4VNsojlh0h4BtoAyWXiwvMrt/lMADODZjo0Yc1becPLRFjqZryldz/d6xo6LTYSjcbI6VuJj
JFUlDQAK91yCnlZISbruZWknKqvrrQ8ld65Mkqxqpvm6ucS78RGbtcl7Cswfu6lPwoyyJvtHaebw
S0FffB+qlRlDtzyfC0rfGZwwkD7Hk7IS+vq64cPVhJWnRkTifV281XunyMV/nZCSjcMpHiG9P+Cs
1X/L5Fqc8SpeaEY9K+664EwfwPjYusnCPjP184Mj0HNcCOBb+2JfZflr4ey4YzI0/akZ0VBkXajl
P1+UDbnpZRfP5LeGQM9U3SWsznJd3ie11aCsnNn1eY308phojRecFvj1q56228bGgvgt2NvxZRdO
NJB0MHsbw3/TP26j4760q7FFMWHQEmks1f7V9KF3L+tofwtGp/3oeUoDko6n7WU33vxbNlP4Y4Bo
B0ETIevm4DXLe4fcWj5E9ObMbETdxlo5uQzPa+80QELrGrBLcJCK6WkEXZ2dSydjb20BYYI98ID2
7V1qGzVT5PYhYMGsqgJWYIiYcpqdyd1GGNwW9eyU7FyOJ64j/X/864EatdSKjWPnM+fre2O13ksM
csq4gRTnv40QoI+lVdbnzGdx0oEM/x1eSDnYE9nW/0Xa86FXWJG9DMVBc9VgWmNeq/GGA3LKPBEs
20lcWO42FU3Jx4HVMOEVa8Tgn+wag9C/zsGtnPqQ35rUuXJlkkkYKEnkYqPncECGpslwK0NRPgXG
t0227n3yfdgmM11conr389qT8noDF+zx4m4scUXg9mYtOm+oPgYLnSzwxQykQ41iHWY2sa9NXu/1
oe/tsGrKwnhHlOTDEMY6FWqMtlwixYgZS/TwimNjbyDm9wkpdrTxRbTJvH0HiJAqa5LOjv/VdhfA
Csb1bF/V4hxBGnF71pkaPcYzHZddy8vEmH6GGKIMQS0sDlM4Tn0+9f20g59i3Sg8Z7BZAEVlk8aV
7Ag8TtTFGueFNpwV6SZ33Ie7lzHg/xDcUh1H3+vtIuwb82ONFp3kmxdpHMwhVFbqI744nvn5JjfT
IYxbrtd4vOfS7j/XefMuSdNNf1tusPqyosxtT/G2980pnKbkuV9V3+a8LEAIjRtNNWtG2CaFdHCL
pmIJGBAFAPt4ul2Pzl21CRk9NiwKf8vOp7xuWr2fUte7zJvOGYbUkM4is6TDq0Lq3OF8BYPPZJMC
h+nw7ESjq1/2QCzHJ6CHUY8HEHhY+IwxdVp2W/UfLr5qPztQd/19T+URK8FSR/0PSQape3ImojBy
QEF/ukNa3FSnNZpr+eTvY2nSajui4W4DTp/ZRH2awnkvGIJBo8V+7T1fOZ8cW2w0yYgLQaRim5cw
7QR38JOxOxG8WAnBJ15qJbvRBebR7o2pqgzvbNPL+Vm6N4FYGwe7m/e2PP5JART4e7mZN8+aB03z
ytsQd7WwncLjyGsKUeH3y1ZNZTqn7tA7pymuFnZTnh+oVGcjxE0QHaz5L2XpX0mjCvV9chu63+kN
ic3fprMWxRvM4ZO2rI98X0oo80T26sLRJu1mJqu387zHyJhQXNl2+zbDHtEApG9bTXJoyY0f/pVh
MCZnoPy+yrpYwY/UQZWsBdxE8qPeEwst4HS4f73dV+a1K0O1FHJr24SO5JURVU0wuVnvSOGet3Gf
tkcCZi3nbDUCUs+iTUWeOOemL+NZs00vdElsg4YLPXWHs/0bqwYcpC13szG8JM7Xyh++PgDBTe3J
A8TU71HNGXTej4Hlke/HeZY27rNsxKHAhEsMj5c5xIvoB9caxGUZVwr2iOtZHhxaFed/XCzxlsE8
Dc6LVU6xl9XxmFgvPgPcSFjDsaxPSbnFUJS8/9s3Ry7z9ghWHfmfDoEgUaGM8mFa5O5u12aPN/3I
O+DojC1zJKdT80LkvsQln66rCuy/Djz3nMcCaP7O27puvAPWJV0A/T2XiMaPoDi3uCwuc6DHOg9C
samzuyAnSnGu7O5bBzyk0r7dbMAdGyg9m3ZphschUtwFHXusyrd5QKBuyK7p044k6C5FKGHf287a
ADoJb94zd/QTzWpEQOo1AXj7d4w7HDPadKULFtfSO1VTSRJgxXmxPgzJxHMExX2YXDP6yO/NzTzB
XSWIxTGLWaxcUind8jGXskkKNAGhyUqp119ue6x+lmCMPlIeOB1eqi5q9Em1R8gWkdBXX7jDOuhs
9umuzRUNhXtRkjDn5rX2p/2jjXvXhqz0l/AtUKMTXRO4VZZEcg0zzxr44DTf6fd5MiUOF2qqZbZi
MjWZotv5yEW3rpTf6l1rc73leu+5OXzRFLhqXP5a4YGfprbmTT4l2xC88odzQUr+cj+U3pSTH3pJ
iLeA1//HJqWeCEGq9gskX/3hl7friGbx2H6wa2NvpzHZmCyCjXkTxs5izKvDqh+vTaW5F9vaOsIc
BcgB+60jb9wzYNTJu9Jh5H/3WW9R3zWagLsUsLIdWBvK5fghd3vqU4oX4xJ6YYD5lclSlid7tf3x
HSJC8cOsTV/dA2SgAlBCazBm+K2w6EyNEBHdmYLKrjpn/QEMX1enw5SkjeKUCKd8pPsHnXcQa/M0
LJH1GCCviO+AE8IxtUZbOPcB2Mf7spYBYGmNIAwOVVmcYHMyAM35rU9DUoTyMOt2j2h85fYjCJ3T
l/VJR1XYp41gm7yOR0AmMK2AzivILCtG381k6+lkAEnt51L9qn1HHrncDlFmfXiMiqo86Yu8GdDv
/Bz7nsnXg55q0sjrhu4yS6Hs56TFQ3nq1z62H23y7jjBVyADOE14EqYerAFeUDBCEOrTlVuozzyM
BzXss8LaUzcdIK+D8td68krk59+CWyLHR6vruoYMXmFri7Ep2Xt9lNfB9zEU9povKwHD/xpdxhNk
Aedox3wOfgM4a/OgTzZL2NmfgSyfDtdpRG4hfPUKHWyJvgyVr5ZTgj6w/r7MZmacwBU3nIxFkvjY
rbu8bLQxv/XkUd/PVFzPuSv0AauIziP3aicYHiKvkeMdt1yP0tAIIBKhFUThLLyV9npP9J/gXWWY
iSkua2phguWrP3QoCAjoFv9urGZCmVasIP/G0VHPG+TXJ95283/cxIYI0Hr3TkDFlkvNEPDAG8Vt
8U51mx9NuTs2VkmWECOxIQQZ0gt1gXcaBqID38iuQbIe0UX4X7Moc1wHDsGtsDYRowLhyCMHf4S2
2Xjd3Ff0F1LaWd8Cf/8nu61rzjhO2z6b4bGj3B2icD1NPjQ9tjJjLZNMo6Npqf+27XUdHytixVfi
ioFoHtC8ivUUNnL6pWe0UWBUiwBZTOyB+AyiPUtOxIo6duUeGPS79Zg/2Cb69XkOkvoBV/Fcnet5
X72TBCQGJVhbeFuVHM6AzGbwSgrs2pbm8U3HqHvCGVBQTbYfpQGutD41lrc9Cjj75Cw2DpPMUVCG
WdAbd6dca2abWywlltPQTuNZI7aqMo+iqvrBhTTr83LBMXyJCchChbsP7Z5TtbyMmXR358h1Fcgl
g2PgxuaaFx68tr9Y2R5E1aOhbogg9WGLQfaStn7SSDhREtVLwF9MOEcRCkd75z0Z5p/NMFdPK65l
tDCCz+0QCNyfDvaoH3U9hU87n3vIkjJe2L4rIT8207m/CUFoX/2gG39VpdOjvFgP/3i5KW/iR8db
AV3RLilCbAC9R+r8YnmkGwmyv0QbjHXq6bhTQCAW1XSVCpPjfBhr+M8RvNinzpR6ONGDGARnXkYd
F24drd2J5AhEUlru+3h2rbA15xBFgcqUqKLghCFIlW/rwrKcz75/uxAGbX/whznzg2ZgdX7TOZsE
Zyktx81lvR31aYxDlZz2hjKT16Vcxbvf+Ly6Qs7lzzZOFAiG8b1f0D3ouBpiw77rHcCwMNUW/Jor
LCTpxIIHV8zQwivPwfRDgbnVWVnP09dG7W+fC7ihJxDBFllNqKMXogFmxA1xsDYn2HXDm+TWpZ3a
nhTojeRiD4QFViHIeG8P77U0yXuzh+MXqmG/e/R3WyBe7nE+uKvs+iySNRhbYIsRT9vEJ/uug0nW
F6RbdBuaFeT6bYlupAWT9vIt3Kb9j4MWpydsMmZnjS05/YOga8QDpYhc+GUYKv/e27VSnxt6yehU
0svln+ea8+XqWkC85+pQ3pJPylvRzLhbjwW1ZLFpgJTM3SIi/Z1oXh5RywrHXz1etj8byutvVkKS
czZUhMzwRtImfWkMcQF5Pa20jIxHafs3dZZHayma2OFcjuv6eui1Z5+eR0JhNAx9krvxDndUWZ0G
rqsFXQHjyHqLmGPb1QUh07Ll1jrZL1iMQMtkPc3kirLv1qeedfA/ucYGcmqPIKPnikfvbzuYuUo9
1xwuKOZqpjtEf3wJDBJjqqgI6U9erZ06D432f7JfIBkARNv7H4vUGzf4snInUUQLq53iDZHkI4+u
qosFELZ5bGUjftRb27X5JBPHLtpomeVnNJVDyI/mwaJ4tOTqi+1ofyNZqLf/6HJDuIMYPziQVG3r
H6WtgzSFSSz6glKIyoQoCGhTjzfaePLIbYNnm3l4+9fRQ+yniwc9l222wkHcDVYtUXjNoTjVfkO2
bELmHul83jj+2FySrk/zNtOgy5nUegX/7OBNWOEGeB2H51lNvd7wo4rj06mbcjiT8Ev2GbI9Xxcl
DyqwL0r796ar7OhxCssKrUKlnaowtQZDtxMrvO7WMgIW1dHUweHMtwmVUMwgowoOwUiF8RxwtbJL
FEkQMMPd0FEJk69DXJkc7VtdIzMZgbHWsdK0544x6KAjI+vHPvRsUnxdP20rplh3GbGRwexD/+Zm
raGJ0FraiCA4oSn6rPiV82PpovkiINd/H0oAn0VgxytzXNUyaIh6eltXkax3pjbOf6Gqw7KYwb+/
NYdCZMRVWeOsGKPwRk/2S4EtO8RSYmo/h08M3ibkNGGBpaH8jyxCtDm3EJ2XI3T75pyUvR1dOT7X
Nmfc9lyuiHFiIw4OGw0R+3x9qhgb43PAD/9l831NzLc6EucOoXL3W80k5aeMHHDSqYgG9wItUF1x
xlvLHabSpL3pYI4xC3vDfu8CQU6vMgRNT90hBuRTTeyYe87NZsuCZIyL+OYdSzWMgnMJCG7tzyxG
NW6/qq27K8rl1iDKDBTG9Aik7cQTPrSPDgLTnjcQlKPAsF9eh3mfH2vNz386wsX+Dnm2viaxl/xy
BxfWu1bcjjb4tM3Dg1DR/hJzYrWphtisc4ggxzu1iYHcAIXvUIQZgPBlEvNrtPn2ltOaY7B0LsMY
pxrh3IZwWW1uAereQvo5wkU/DkYv7ls6TWbsco6uIPLBtT6jwZPWg/AYBPJkggbOfLslrs6tXev4
hmYD5E1PZRLmW2cHjx0asPp1l2QbNfRY92rJUKWIx04bZ3j2jm2G5FN7nZw9S4hbkr5yXm18mITz
WcI136ZEVpiH7VH/Z6RutnsDBiyfGUn2W6ZBXDIPD7a0z1CvjCN+qCf3BWRK6sJikx45XePmQ6qt
9VOvdIP57QD/ZZxqK7BhhnBjfTjTZK0Pe+fAzh2YS4In4K9uPdEmEPjvluwOL0fWZYCOQ+HFty1l
w7uBaKnOFYOtSNut0RZf05i8NCxowNcQo/YFQXPy00P93Zz04vPcJElnkDJ63v53WZOdO7CdoJ4r
lDQ8VKWuvqxxTtZXpOMQrz606vzi1/GOihSwaHs5vGX9haC2nZG0otxLp/UI+7OvEUMVlU4sRarz
rlQmTbS+HEvjrgyypfypGYQq/CfS+rmPFsNiF7i4mhKvX7e3GB+I/hsCCiMl9zeNOUYeo/l+UBxi
v2gAIyQT7uL700VsKxdUhSLumxvtvg8OEiQfg9PZv6dkjn54KPWX2543/eyrrkm+u2WDeNw9+iZ5
2Oyx6l7M4d0Qq1jE09lFdovG1+O2ykYXsvfbIUCWHuZ5mpIHZ4zgF3y9tt8DfKbhk6UXtzkzAZVu
4bYQKTQVJasFzmWVM5ttWAnz0ATgUcW2hOvfhKt2zVQ9jhzVStoDRbATq37pOArsn/y35wZNYp+G
YlyQXwxswi87AJLMyfoaypRJo6e7dTy6NUUWO5OOSSUd2L25pRmwd61MLeNB7/HMMHZrqDtKnUXz
LoHCpLt4WcX3TnTVMm2S6SKMx8zmwL2NsPgGc7nDfQPso6G8lryCSbYLMMysnfpYMr+M05ARg8wn
jJPRnr8O03hufdNHL3sxJ27gZg6w+E/Rbt2W4gH13GKJ6sh/VLPkd/QV4c2P5FogoR4Td1RvHRjt
cdrpKLk9jQmgHM6MpsuOUA3dyUeqsiPFZLtpSPJAE8V9zSW4hsGnMwI0ZUy6Tn9uLTXO99vaijdn
HnuVrarZrXwxqHRhZD00yz749fNBA4d1ouy894phrKrxujlTU9/78bgyqXorGk2+GubPQWz700Bo
AhFfUydJVzWNbFg61aAYvZP9ih+k6T5xPEcXEkOX18mrkQ+ZaRx/b0HUfcFFxm+00wCJL26J/J4C
1EfXDtrnDufzyzZIPRcGpgKF57K7rx2DMJw3dPerv3IJwWkSgcRstM06KzsX+bO9qPW0DcpLHoAp
nShf4lr94m2YuEqBAKDGnY1WB8kU+rOP1xWzxD4jh9urIP6qTOJWRSNUazKEcWq8JPXkffUW8tYi
7BBVsEjSuUd07tSMIXx0a/4sWAA+jOKOuHHaoTr5x9Taz87OOZ9BY7jznSeW8ji3SNZ/opLCBOHu
ffzm0Hw8P4+I9DSQVeRs4CxxKZ+XeOeQVvFKjN1q4uB3LdomOgN1wJbJSomrF+0JpgYS7LsLl7pG
ehpVdhEF0dwXaFoRzyk8mPcHk+WO0o6AwWvvJM43qZW8lINE0OROJX+pXWwlg4y0/Wsc9Zyy3izV
z7W3XPsU1Q3nO3s7hywfkiWpFV04/Xa4UN5NHao5q4nH8Qo7qL340gsG/AI3lD8y5QwB2VBlJSN8
LyPKsibc+r+mi5ePfbem5WpF9nbX6mr1X2N9xLsPsSyOf/a4YevxBxcqYCNL7OeMOj+4Pzi4cgTm
zYArd5yS07EE7F9gt6buT45lHIGFYVteassa/pH4wT682/b8S4qukSekWuiVm3UF2pfDKAPm88H+
oDpN1W/4cLZ3NhQ8dSbek3w/uDdRTXg27pqZe3hnVP9D1eFmcksuHGQUZCPPsr0Y+XPPivnUoLl8
J1QAus2f6ulvhFZNp3GbjPeRJ2nRjssFMEcdrbgH+uD5IfHWqCyu3eAXxeHNj13EIkoVhEmdzjsy
D7zX4lhTv6sFOqwbefgQ0z1jCqdUzJWRdlCKY7pGyrF5lguConbSvzRJGm/+0VfwFugk/kYLbue7
aN0OfNT2Ec6nyEUonpW28aazx5hW3nj9RGQrREYxWTXTFwn28q/gRayvesC2Bpjoul1ubR4H7GJJ
f+ZiZqR96HsoDZT8E9oSFIUI6AeXhaDoVGypYkwq80Ry0hb+OfgmyVlhYrTvx8jvcUk1i7ueapEs
XhFu3t5eusj4E99XwBnRHZ3G8bPWRuSsNeTXp4ZBUtF5AhcCSD/KX2RvYfrip/BEDjd6ExyNdvLH
HlFepSjHO/F02KqbCiuM0XYxkfg+X64/cDYP01oupxmzjLrEFqA7VO6BanbWDhizQvuqchpFZILi
ZkfiKxi/Me5V1IgVJHq7SFtq/dRG2/gYRVpVeVTrKnoIvd354xmyi2FW180/AyyZ/axEso2/WxUp
NxMrGvnrTS025tRigIEA8cVrHloVLi9Gizi+KGdrmsdjcuRfluP9lfOsFWecNOLRUuEynjdTieAe
kXjyRjyV+DvoZSfkDJWzjyx4mKn/koOoWSmJ8E77aOVqRlU1CLYSZKcZZgPsSNC3FSCTZE08kZhG
nd8kPK5mhHjBQan2qv0XjFWOOJWubh6IYT50oRh12yfFhnEaFo/crcSaZk5LKhC/KPHxmyvCw/Uz
8Uvx5LNpmBw5ov6vCu3oc/SwXT3FyTbLyzHb+lvUGa/9aYNAHO9HtW79JdZ7pXlGcZHkQzStCSNC
G6m7poq4Wzj8nHfjkHqbdX7HKcewz7HLDbiQK8rWpEijdQb/bG2Lb+V4FYZXAGzxJa3V+jsi42Ov
W2ATkQ4u/W+rH5gQI4fuggucUSiKoO5axqfG1AXNqjfKK/YEAiWm2YcZRGHIJxuZLt52r/WL1oms
ANT+iP4Mpoa8c1acQkwvU3vkZsBlWnSRQE+4EsPmXUILBcm5WQ73Z7SgqModhNnd2Q6j8k+48VHn
pVxIPIKPe8Y1gtRqMchibmk4aHl0P+z6LgD7PrXhbiYUDzxLPYa4Yf6om9VyoXluCYSzF2zmPIF9
ThwKffwbD7H3DXmF+4dTfQ1vWqq2OgE2TvV3p7aXEW0/d7T+VrebhMFBZVoWTW/2jesnEO3FcSuX
OTvcWS6RuQ8yt4DHP+VU+8vZ21m14LQq2T/WLiUqePtKubzYdTCqfJ329aFd2wG9KeJIVicPJvAR
44W0kcWKA/K/90aaJX0tFnOxHODtFITVubhjF9rovAzuHkwbqskJBBrug2aY/Gc6J+r5FFo3GEat
iXjhAw2/0Bnz/aQHPBnz2u7UQAo0LY/fvdJAeizHqpH5EmmPK2aTu7o2kUz6IrFRqLX47dDiE1Ye
nznj7PVi1QhYEUckitMRsPwNgfrO/BxMbvVYzcugn7bkOBZ8kNGBesHGDgF1ofG8qAWr/RlMv4xe
+VAD+C3WnTLbStt7LyXEbjY6gnU3quukRIw3cBgnNZLB3V6wna/IBx5K1wqi04Dp4b5teei/RTbJ
SRf2dAT67FiI6MLJscrPrjULeOggt68AIcJxx9o1m7MFzetdkcszaIZD652Qunc8SI1oHxfpbKhT
0ci/4Z5C/cVzKrtXhs/kL5LHFt9wVC1ThqXLZWMlILR+C6e6+o3OKNpPI1GeAZsE3Xw4tvzIPU39
/9dOkvI83jsw97/uNs5bip62eQQjmsWVpod+JY+rVV/GrUG5AYPQ/U+EBvIATQO/tmBwP052sIzH
VfIqV3nnC/Eiqr7BoRHxKv/gdh7wAqAMqB5r1NLxFWG58PKlxY6KWBIaNy93Pd33ndeUGQhe/DER
OtWe8Q4yySx924x30ey09dVxhaRdk2IIDDpQTKRnUn0ONlvCe2dz56vxY5Mtb5nrNoRaEpdGDUIw
2FoXoN1x94xQl7T90Oy4U3Z3rJ6pjpPcumtnCkgAvyz6ZgPiHi0vfqdXXaJImfatfOQlQ2JxW+a+
25XvLJfuiJlcyijmiAgDjEohZt84V47i6k+8UYYPi4mwHUTAABy+zhY9bm14fIo5QC+nAOWTrPdK
WLektdlp3GbdX3r+P3wrOBUEL/DIJtK60SAyG/lAUHg0b2xF7+ELLAbHB6GQFbheusworbKwcv32
jBynjU+uiHv/bCzIUjK5hvlsxwJ57aR2T1z8sBT+aRW1d9OPBc2z1lsp0bi14fh89LMYvvH+yvCu
dKzN3GGkAC7u/OW5jnDSZnKsVwSjfInM4sRXufboLI8kBJn4mozz8FTtGNrvkp3UEeQv7cEOIfYY
9UvZfB04Xec76E3WJyCpRNgvvRXEY0rEWuvztDVHl/e6DmQ+Q6P+UT1UfhEpS87ZFIEhMWId1TeF
L8D8nrQHRyaY2NqiRBwSnscVtusyrnPE5Eg9wpfHFYnHI6KfKbdDtxnO6+Kv24t2ZBti7uv2H9FG
jj//i7CPMSx4830sTWWfbY3uNV2OCnqCyAcO9qHCrwgONXHz9C1SmNS0ocMHLRt4D8C5DrmybYX/
kjqq5qxyTS2yeN4np+iJtL4zCcdnhtqSmNPgcMOZ+8vM6l2t1RHCU9GuJBmaGK3natnfVVvG3yoo
HofRAUl/bvuaTm8HYRJ6Z1ljex6Ib8bV0QVqS4Mymn5DhUDbJ0PiscP6NVJDvhwBZsFc2F4Qkztt
4XrRAVQTLr6ABcNUXBCfU0UnZwb8v9uR0gBaDchPGcFaWwEGIq/Lp2gTVta0irutJPnRvzMHgvJL
YPr4H5wDZizgoKYqPDMZrzhkv7/zFkMnYsbc09jZpXP2BrJoCVRY/bcJ/aF8kMm262s1BesPXvBb
Q9+6VEWfSPnP097+hVxX4CCbrB1NWMzwHC4oPrk0YvxPYwPebidSw3hjqkvOllHHnJmqLI9i9jz2
Jx73F4lG6gsSPcnRAN68SCDT8+exr0fDhwuZhTfWDawlazU9Q1JNjIcGzcsdk/sWM5fPc5zK8uDU
8xIiHjKsN4MsKPEI0L9MnEa5qYmFTxlq9481CfR3b3LUT9NH+6UjpkhcJ3Dq+4iktJuJdcN801Gk
go43Iv8fTKtsHiY0cJ9uPccDo6V0RmTYHNw88tFkCjKtShBN6laiS7xZcZvvXo01KNlI3qhjxA7n
EaEfkQ7WFKNIiKvhhaKw6Sdxt/Wr2Fvrp7MMEDt9xG3yQDZW5xUAlWuQIXyPH6LGYCShccdHCGVT
6ue1EQKJvnS3y40EhdpDdA+ujsLuUflm/GNTf7wVi/EJIiBQAc94FMsqPBv6OxIQQSRHr3oPExY8
7p6UZSn5odDiCXwz5RISM1QGbwFq5gaKxjVvUX9MH6Hf/o+089qNGwnb9A39BMhisUiedqZkybKc
fUI4DXPOvPp96AV2LYrohncxBzOAMa5mxS+8Adsp0yjC7y233nhMqT//qDQQXztAxsF4RpVe/86W
QDmUNEUnL7KH8S0CE3JRzJstiY9InSTHxu2a5gmflxpQtTkbP1U152Qj9OHyQ2Gjpn0IZrt8H6H+
Yx6rsgueIiSkfvGY2+qgdekkSKQNE2RtnqY/cjp1IxD0yiavmQcJys5MaGnVfQGcaDYJ5ucSzirY
WCexLrYgOduH4O4pHgk0mHeqRp9iL4yQjoYcAxeNigg5o5YGTXdOgqL3eeYH9QUn9gF+i5lZbwM7
IBcyYtf80vu2EOeusMd3cZQG6b0CuPKfsvvoS6OVnOWMs/WnRDp3BxTvMnuPNFL4yS6KuL9U0Qxf
ww5s96K5phge4Yfh89W7YweeUkTmdOcoUKcEjz3VkCLBw3SXtKP6Og0jMIGxc1v/nNCWvjcg7UWn
EvcUndCoWcrGECLledbm6U1XtUPnCSh47kElJK0wDgfXvqdL2mQcwopfoXUFhWh4mnFCDxRNiYNl
tHH5mAc+EhfsXv1jwm2Rn4Fs4fWkmcnUPCeqi5+SZpp/GrAdvNGAVbn0yTGkb/uiCnCNn6wZcpJD
wdr1lSv2siQK8HJVSR0oiobmnIzCJDhbaDPQlLdkERxGSXx5piIfGt/GZhw+FLLXmhOkRvUwt0FW
nxWSEF+jjsyC8mqZPQPozIfdYDFxbAOUCva8mKhtDL6an4u0s6YdhYQJ9G6tocMWGAo0S6dNpDxk
+1NwCahRHoU+0uGPo8yQBC599asVDklCC7Sg3bWDGiXZzuy/y7rM1E4mBIKfepqaypODMH93c2ll
lFaU/uTPSQbkvnC6L4uFNGARiP+ECjJ3rbsZoCVW76iGvM3RrgLKTDOpu5vK3ppPkM3zJ4cCOK8G
CqTfBwj0FM0dq/nuqizUvI7y2vsKfkK8gxIdPbagiGN6QKV8MiiFs8smk16AmIrIf4B/GMHzTGr3
bWOk6XiGl4kJr1g6MiBoqvea0VKY0nPhhkerTSuOj1a33Vt3CMbgOA0pVmINyu/FheuJiMvNDAx9
2Y4p1kGjk6TsJxstkSgHOxIGdMe4iVrHPJdCWuB3/lSIsoUZSm2DZ2o/we++t4qxZ8dloJgInEI6
MWi4dEADDXpWP5I6dN/GPG+ow/CQfFPQu+q7KPQDcdRGm/oDBYnBPNpojEQHqLf2s/BnA8i7WYYZ
dhW1/dSGFbd80xHkaVkFOxZJHHB7FC5oyO3oJwTmYU78kvqaKO2TTl8KjFMemta+o/dC/VHXi2eC
NAK5odANqG4N19R5tszpbWpwh+76iTbaYMXREkLX1JvnXsVUxooo3EcjOOBd72OmdG+WetosdBRC
yR/kNLaNIogl3jLPvCWWpeMYBp9+eifR4/rsF1WD+EJogsOfI26QE6pdbX2nk8E8B4OdQMO3ygiI
EISqflfEwNEfKDtQCAuKRn7yncR/aoPZf9Dp1Pj3slCzvUdzQxuOrjsY2W6eDDXdl4FEP21s9ew/
3AfLr1rY+Z8mwKOzl6DI9R/NjwhDsxwIxI6qYo8qeBVSGzN8N3uDPDSXrin78Ad6RqF9RlQOs8Rp
SidF+oMsgqfZZfXWDyuDCrwi8TpaNa0+liHM4TFZyjcvtgaIHj6+mkEz1lVND6JwjIPMs2qfYDZo
XWiL0aoAHRP7BznbDuA1kM54byRplz/Deeieprjr35lZ0XBNA2hvQOOH4+daLvkJ/JH+Di0GYGNO
ktnDPXecr79nN0KkUJOZ90DWLMs4Bj7FEoig4Nd2JKaL8L7eDve+M4KVtDQLtUyad9leOYGhB7sE
i6XfFR32BbIG03hH0b7/2hkOCHDylPo5bEsg+6jh3BegpKyjP9GCQ7cpgI/mm0H0K6g6YzwAGUf6
ZdHMELsZyId/sqi7tAgGmO5nyxfhJ6Tai/fJGHFwIpm3l0kVuk4bJpT3EHQCsYvZNEj/E+/ERysx
UZWYIt09F25svqEr2+a4cVPmfpt3KZgcCtXWh9Z1+mZXdmbNQQD+41NOCHgxJeFj8zj7UeXuAsSq
rH1j5AuLOyCuOWqBEX9RTVzNp4pGS/fETx2fax4nhPm1yqWCqiyzPc7QDcBT8nYppsuiw5nJufmE
5BPdnzR1yp+N29v1zgiUw1ORdjA3AHGAGZF1CxIwWMwR9rHpZ9G51keQPojiYN1BNchsHsXsRh8o
9SvrkY2YohkqVOcfjcriTaP4T+s86EBbU7S0quCoJwOKMPyvfXVE/hjdgtiekcKDz4jIP3ML54ry
EYVXpB3s+FD3QxufGiRtQxKssH8UotcXEQEnfJhnU3PeB76cPmTLYaQ8EZPlloWrPuggQJA3sMrk
Pqid1ERhx22+9DQ9x3MGx/4x40HATi3HFjag7VTwNHTDtxZp6N8oJsg3Ussk0ka24zv7QAKivoPJ
pqPgXBajhzqRdVfXWC7uILaAipiJrNiv5PnWN4OC6GcDhCZhE5gjCprQN+33SqRmeezrXqF0w4O8
byAZeQhR9NWZPwuTXTOMkG9SoUr9YMIsyk6O7KZvqT1Q2Z770A0Oggw4+0ZR1jlC8V1KOmZN3Ex6
p5kXAIXdXW/21JE0p7KIS2zL/U73TKSQ8I1weR9Qh4YvkQ7mB5TY9PdjI9KfGvvka5ONxUMog2mh
jfjcoJY/5T8h6usLQ9mgXOYiYvc7zDTM7Oi/qHE38X7du+z06T6VWfqkJXFi7WdwwfHOsoEafEEZ
I4Dthg8x7DTkmanbz2SKvDM0mw/tWA7PYxzP7XNBuw7elFu3nzJqkkBDEaL/AsJicM7Ax8wKFFDO
TYkppG3tqorE8zLohdZ8ozGu53sxRFX5hrpGcVcQX83nGliMOIZ6oEFpAMKFSE82hu+IQ8Q3I/CJ
PvMZ2AiY7RYM3KzHVYucDs4Pu4q+UkFZ2Szj8zy7E4yyPCV4LpXusufCXBImcwGOp4wUjlugaIzy
LTDX5BEyTR2/GcrUAgqkZ4CuksDMQQvHMjha1JJLQsh+6YNWqDC+QwUN6rplRE7ugZJR5h5clv8d
Ba4gfio7q45PWGGI/FgLdwCU6YjqEQPnqtoZkc6vhmgjxJ1wgH+D0nbSc2pkaXhHgbQgbsOeqAeV
1Uz6l9YptV9k4zmzOxT2u0llEujlFNdqh2xkF72vgH6dzGCcumMqRjL+WfQNAFjTL06g6uInA6Uj
pKKKopwfo6oysZ2FaoMBHOjbIHv8H5CBSmujdvCU04d3yHOW9kMvIt/dzfY0Gof/Eb5ZS0CxmTf7
PU5ZRpaXOZI7Mk+PA6rA4wkUul7wV82AEoq4nC5lPeX2Me14saaOhYM4kQw31D03hEQVAQ7ymqi7
kqMsf/6XNC7Nz4lGT9l5CEbre8MqTHAh4HcFeeYtcehFaHMlJIpICDVWhRQl/6yERONFLRRGT+d1
yCQcfESPjpESzuOEOMyeCpH9TfNn8gmXOJCeNtizgmgcImBs3lDf3BKKtE2s42kL2dgyrSRBNbY0
5TK98xp7bk8depjIZEf9+bro5oYGprIRh3OEubg6mCs5Si2gjDuRhnidX79nAYPPJgjzpbeoedQP
SKKqFEL29UGNzVlGAN8Az4x50NrTJIcCOfgUHb2h740nYAzOWQpD20saMieiLpSLwNccs0bNh3JI
qh3mpu6+HIpbprxbWwvZrv/zQxZN0r+2FmpLtV0rJrnPMtT3gFk5jhHdQxftb1i0bi4ncA0MoRZh
91cKr2pUqS3rzlP0j8+mY1qPCtm4G5rVm6PY0ma2TBNg22o5e/ApnQFC1BO4s1KdktalGGrreH39
NjfNX6OslLHNNlCgsMbOKyFFezhUBEeH7tBnlLjyu7gGSEnM1984DxtLheWPjompodv4Cq8+DQN5
l0Kj7DwbPcSjVU7tY5cMPuJt0P6uf9/GLIIFBVWjgCuhVr8SQO8QWwIPEnceRnUC/myrnBNQSZrn
/zqOYDfoJu43BlK068smzLnOAbGw++LGfCxmAVR0HoMbe+K1ri6jEEaa0oYj+UpxFrFGcOEWO89H
bvHkFJX46LujNt7NUSw86oC+uGHNvqz/y0sUPyosJbm7bATk13tdYHVio0fUeIQI3afQIs3Q4jQ5
jrkKkFRetP4TVaD+5gtxQ/j2j1HHamwb0wRXoTmO36q9rO3fJ5quC0SwaPbaXlOGlwD0RXpJai4J
cJmLwuttcIde3RGPXegKqIo0xbDuug52winR3Yq8yodTTI8e3RYrtadsDyXCty45dFpABBk6oHRa
HTe4y2yLLnwJvHuXQsnPjthBgZDN0DwBKZjO8oNdz2Z54/p8vT1RueZhkCBmJN41K/dBw02LKIrE
5IVOoj4gFAWOYQ71d9c35+vztoyy7BduaMyRVuetTrRE0tOYaFUhMxBqQwu5MBTeUM7N+fpQmx/k
KtdxJRKKyDK9XDMdqursBDZD4Zd9TCSV2QU6eONUb30QJhc4yJlKKgrtL0dBQMqta1diMgiYaD81
FtIHM0kdnIVbboMbB4DKpk5tlazHpiv3ciiwzTm8RWf0AhKkYpdmA/pQ3bBIGiFgKMI3yKyG3we3
A3YrUm0Kb1wsy9+/OgQOwxvShrJKX2B1gVFNjbNOVqNHuUSjhJjRry0GYHpUHO6rSo8PyixumZBv
zK9DBdDCqYxrBufmlx9d+mUU2209ebEWYemhhvRo191wNJG9+felZKjFJ0Hi4IGR5MuhAhUjIp+w
N2M5fpFi7GB30etVpsxujLQ5k3+NtNo0baUhIdNlk9cShD6D3VKPuVtMUGNE71WonNCTddTp+nnY
HNSlm2hipKMTcbz8PPhwJNAOhI4G8MYPTkzwMytJXpxcGA+Z0YnvE53XH9cH3Vo+yZsnmVTp6Gu9
cGhrAU2dZPACOC53VQbHSpMwHihR1zcmdWsoRwkJFs81BIqEL78P7WlS1KEcvUEiCj7ICvJR1P/u
xsG98RJtzCTgCd2i7cFbgAfVy5GqSRZ5b6jBi5u+fUJF1DxNmId8pLVbvXH8APhipP+8PpGbY2IV
BOeMNxBk5ssxo4mKorG0R3tgwRld3ya9T5GYP0QjwkloBOjI/0ygyeXl+sCvH3rTMHgP8KPV1WLw
8XJgsHB5gi5SxaNnhdCnabaneGD8KrKu+G0iUhLcWMfX9zYDSt3incXoQ61Ns2oO3hCKpkLLXmvI
GdGSy5KoubGG26MQ0hI8C+7u1W4xmhx1x7GtvKwYgY+4wPbfubESNz7m9abkY/CidXhaxetlMyid
yt5va68e0DMDvdPMZ0U9cTiEqBf/d32pNgZTy+uNKxeSvpazWiq6W5NdRWHrIbij3bfYD57C0c8e
J728Zbi0bPGXb4GJBCfRkDIWU4W1M5c7WBYNBb/xyrKp2l/oNZNFiW5KHxEoBDXd03zs7yD5+E84
GKVkugZP/fXP3VhCRJA4frztmMGt0xIUIGc/oaTqWX7YvdHbDrgLfKNP10fZmlSiFZdsDv8ga/3q
OdFcYC9VdF6YifDkz9l3mLvZ0Zagja+PtHHSlrON2bdN8irW30NzYQiN0a49Fc/6uRudIKaGjRg0
Pee+OyO52v675TQ5IUa+OikQT9/6TSgLzBRMpAk8vdbGJ14DVIXU7N4LiLmn61/3J4BcbRkecN4d
jvSCX11uuL9iaJh+ITgYRJEk3M/sbjGsq+mYQ8/ZwaqQd41VF7+hxg7fMSMQR+5B/YNA5vvGfbax
nmwYIbAgMYnb1i8SyOZRVGLBLYDp/YB2LW1KJ2q0y5QBr7/+zRsr6poIDnOd4YrEM/jyk207S1UX
RZ0Xge6614bS+uhXXQbhr6FQhAwkHjGHfx1SAiDn6pQAVDASWt0BIHXyPI3ixsNiAiUHSx3pvTYH
HdnzfT7AWL8+3OszyHCYMGKuotNGtFeRzDxQ7gpbp/ZCI+w8BC+Ks8a33hjl9ZoxCmHvYlimU6tb
zWMKrlj6g197UevOj8jtOOc0cAFXL1Iv1z9oPRQrpduKWh0vj8I1a/UuaJVEub/TaKDXfXXXFGYD
UtUuToEV/WvA8mcoDrvpoDnovrJspAEDiqxOdQ8nkfxC0PIF4uCwsLKCG/O3XqX1SMs+/evoGQg4
JElbYFARlsNp6Hx1kBryHdenbv0mLKNAodFJ0w2yrnV+0seTwUvRGZ5BNILiqqU+maZre8Ts9rFv
jfiIKqT7gGdKcxzROLxx2DY+Eqcuk7NtEKeQir38yASrZLyLkIwUgC7ucs3pLtFCNrj+kesjzUcS
DtkAXiA6OhRyXo6CmJeSETeLlycW3PQMHmqEjCc+MhGobuxg/tHZZxnvf8cogj0JDefleN2sEQ35
mu7RGNT7fTYn8Ze6ttGju/5dG/uemSMOckDJ6K9egh60z6TlSsBewcMV1nQ8o7HUUsiFY4O+wY3h
NhYL5CkTSDnMhQ62egysogI3Dv+AtNmChFTF8RsW1/auf5S5zM7fbw6zx0VP2iF0GyO89cUhWhWT
zILC48Q37qeoyEMKHLJoPlSlBgbMwd0toqYShKdcNhPuF5UQPLczKpngV3ux14LIQPDE6ezoFLh6
fWFvG82+dlwQztUcTrggcK1CS6ef966o81Y7IKijnmawOpRuUs2UJzUkkfsVYeYJNZRS9OCv4RMI
mmIYndyNvp50exRk8nCPS48OdhzE53Tj/d1aYAenNkOn52FTsHi5kcZAoDuDaqkX6k7szfANd7GW
FhQTIJtdn/aNM0LZlGnHyn2jlBTHCFmgJz8jmxX2n20cbDzoaMOhk135e5z6G27LyxuzWmST1oHJ
QVnqI+uEwamHLp91hsOmD12hOcj+w2jS+RjgVLFH/Fa8RdsD5+cMv5LrH/on+Hs1tEWqQsZCGXT9
2mZpEDdVBdyK2m5g3Ze5jL6Ah3Cfe82xFq9VB027sAvezp1WfRFZV53A9asPlV+IzwNKCG97SobH
679qY6X/1H9BqDMpr8r12WgYQZRIbFAhaF+Cum3u0P0oPoKgi29MwPZQtLbovqqlrvdyU7lyRspA
U6x0q6MZWdSgdawofyg0ACb/D1+1VOkFRSDu99XDnPWiwled1xIhE7hLiGS3h1QLw2cY5+3T9bE2
NrC55E+KErfEaHr1WdVECBI3zuyBD5iTTwGx3ccRMMFDlyIK9FOISbvxeG2OCJNxqTyZ/Gs1Yqhl
UWAk+ewZQ2nDsUdSEtQbTi9dQB02DW45U6/LCVyMvJOmRZeAqO1V/tb0WmlXSTt5SRiIwyhgPfYl
SCrgGRlI0eCn7prqHyPvP2OyJ7mIiXhoP642SwiOMwssLuDcLp4Bh8DnBAJ8LoY0+v8canl+/gp4
2oL+ddA7kzcLJ46OOeYD77IEbNBOS3Ux3diam5NpYS1rKxNPw3VMgFSwckJgIJ7bDMb9gMD/uZNp
+t8Cnr8Ec1l+Qhe3vLFHt46egMUl6WHTVlo/bQsorxw6qpUWpKPHEYHBc1vWEXJIcLivH4etC5ay
vcNg0lH2+pTHTQ3PO3dHaPqCJkVQVBdoigZ0yQTlr4HoB1ssXEoB4N6o0twaeTk2f68j4qexNuV8
JMjEfZXZoJ/cCVHRMXcvcjS6X33YgCmoVZHfGNrYGnvp4XLYsLZ11s9KZZU9DfiEVe3ruuAlb/0e
ROMU9QdkgmNnj9VIOB5y0qJhr4AYexO81hgJft+9Q0fLMXY6BIBw7+QyQOIadjTqatPoO7vaqhrM
imYxwIse0P05Xl+wrb1BFYjgh76EfBWJZ2HmGxNyZ16VOulpcDX7gHRASvSoOzf2/tbFRUChC+I4
7q11vqT3SDzLYZ69vq6mU1CEzQW7nOKgB9P8JgyL6Xz907bOGlKBtAEJ8i1KvS93BHBgMwgQf/V6
13fFSXZm9wC2xQ+eerMQjpf5i6qEkTTt8/WB//SL1m89iBHoBzz1RMqrkVXAO6cjcOEV2ihKtCUi
+b12cYHxWrty6rMEB+GccOpKouNQJyHqBhX0F3CWo/VlQDYhfwvrJBFIy0fQmfxCDs6hnCKk4h3k
BZJTA/dbvxRVH3/MUEJbtHL8soPAEdbBHRj8+WNc9ToYpclSQEhBr8lvbQAdew8nqf05t/OMXoQD
ROgAe6b6MA2xDaLZqUZQ+R2Kd/eo5pj4Bl2fmI0dQLUWjTCX14Qoe3Wtj3HeKDi7I6F8t8iYlUaq
3cdJOHwDbhunp6brour072MaNiUy6vyU/NdxV4mnRNi3GhX4Am79oSrziW3HzXAE8OobkFV7ih7/
L2PSgZaWa1LSXQUgdUB1eKwZc5K2zyIYAJpb7oaTpY3j+153b2y45Y1a7TcAFzyVukn5nb7Gy52O
QKHZ+4jQe0GGd8POb7Gx2VsId98CzmwcKUlt2iJFUoq4YLWALgqxEM+y0ZOoPYQoTOiGhrZPhlsp
Wq0JMv/hPL+Jmyn+fn1GN64pKZFYJn7mXzSFX37hPMSN0i16ewKZcewhVDS5Ryx7zP7YC0vcaF9u
7VP2qGFJA7kb6nEvR5PZiGYtRCqvaucObaMWIVAZaWI82O2MXolCwPzGPbzxhNDCsNiiJK8UeVZb
xinCoDXDagaRhKrmQ5ss9GAVJgrIY/ZdadqDndvmuM+d1r/xZi+7Y717aJcu4b9h4Qm8Gho1tFxv
SE897pTqwuWfHrMWgF7tyNjDUVZeFLZVh7yOtXlX9lV9Y7a31la5JNcYFZjU7la7lxJwRnBucCu0
+TsHKyEPw4MfMy4s5+ubyNgayUZDfKn9uMRfy5//FSMkBqpaeVCxroRJ4m0YWxRVIR5o+QGVHjoi
O3fOygfT7uAG4/mSf6uaKr8A0nI+6VlugkKE2fiDU1CpuwjcSushrUwd6frv3DjOPFe4hkhBFEV5
7OXPBKPS2m42zp4M4W6KrkUJvIGFfGOU5bCu1h2+DOx66opUuddRiyYMHASRhfQMXv307PdZV94D
uw7uOvyBICr3Q23CqzHiexsjTtSegnz+Sh23wJ10TKC2AKDPz7odAfq3IRT/anSQ3SgpCxOTk1nY
7R5FMdT80OuBYkKKidWXn03QPWLXje0fSmsQtUUSWhf35IfpdHGaCtNlJe1kQMg0s1EJLtuJRYqS
EgH+lsv6TT9N8Y9RhuU7GQXBf6JUWXvwByOAvetjwLbHrBSjGpTy6zsTVbrgkGlqynHIGcSdqTdZ
/vX6TL6CE5KuKKr3xpIJ0otcJ4EpgrGIJQQWaXQXiZ9EBeXwu0Ps5zP86rB50mUjyXmjXg33VTei
GJqzMOGeQtr0nw1IPLvxAG1sdCr6HCXqcwSl626CYyBwmVaG9MwC1PsusIyPZPnyCe/B8f31j9+4
K8kJ6Xc55KN8+nKx/XWmdLfOh6K08NbUuFuQcmsrpHRiG4/hoIU3+kybIfz3hIYyCjVIYDQMub4s
gzkSEdL/JmoQmVIXwgY3Og0CD5ovkzTsW9225bytDooDKshCQG/J9NchRNhMNBdnw/QyEw63CWvh
XCssAFBezz4D3x5OmV6+uz6tG+8B+4nisZL0Mow1WIjU0e7bPJR0tW3wpwgdCazFnWx4qiuX6Lnq
KVMFc3IPBTq4BXjeuIAwpAfsCHSHK9ldremQzXDu8VsElYpCN1Qn5LOQVP/3a46HHGQgnVKIJGuk
3BDhnZJMufKSzhrwprSx2Q6NW373G0fBWRBBC2STFv66Kh63lutLAjJvRP7+4KLlhdVaqx3Ngs7h
9TV71bfkHiAHtJCqcl2D2Vvm9a+zAA4f5i4WzV7d27DLVWa9kU4bHSPNmi/2ZE9UirP2i+x68xBq
TnyY8T25Masb53FBnLByFG75JavfoOAgoCkV254F7ehzGlstouaGfyqcwfqMT3hwqzG89dWAiuVS
1xOAY53lF/311U6TqhKyj1qi3RxDewu6zJxD0XSt8kAvCd++CXucZBhRYQ2iAXPG2b5x4W1+tUOU
T4jIj1kfl2TSpzFMdRtpTleeEli5e9xy0KsCUnAoTDu+lfJvHBFXp2gtuPMX/PYKAwnxPVWx39ke
nKfYQSDETVCqlfmhdbA2sUu52F470TPAB4SjHL3B1p56/2TF9a6n5HtAf945R2jQfLq+Cbd+GHVP
iY+UQCVGXwUPRoEE/aBrFmfXkc82Ie7O6vrgxvdvXInM9P8dZXVDWAgkYYYeYXeRIPXKs/cNX3rx
eRzk9x4B4LtmaM0bYeqfRs/qGuahoWNNZxcijbva2UjTE7I7vLJlnXXarrS1rj4V+Vhih4Ij8K7F
xgWeTopowNscPQu4SiUCQw8iRlP4TaK3/VfEWqcLLjd+/zVKNYnfg8gR4JlQSkEkBKQWEovQdYN9
PQzJs68G3IwS0as99dGFLa+l4yd6OBoOiEHQWLjzWY19iECsnMOkRYPNxPoXxiEy/ljG1LHhH3Am
sfxnxx/BJRXmUlcMgOIHh2ZA2wGRXUveauFuHkiTUh98VAgOuhQvD6SNOBY60o2iFFZM7imOCd7O
dWXr4cVI8HzdNbV0tZ0xRfbFUN2EAIMA/QohK/TV+fp23Lh+l9YOuxEKCWDs1Tlxo85YXF+UN9Np
OMYqwB4tFph7uZl+4w7YeDIZisr4AjVfOoYvPzuxEmhGjuDVCqLwVwLHCd3iEn/CoJ4eIL6Nlw4d
gjta+tatUJq/eb0zF1QD5TMuBZqvq5EzpD/jaVZeMyP+llui38sxutUr25pKeqBkiURZ2H6t9j/y
i1MSObblDfOIWWJgZNxssfkZodqP/75o3GxQGhzgUkSQL78Htww8YsyMl9nF7zlJouI7kFvzIWqB
U1wfausioVaMofQSrNIIfDmUlqMwWJbsj2y0zbvA0qoPKsvEm4ik+40YkVu3VX0jttqaSJfsivoM
h4Mr8OWYQYzoWowbqWebQWcfNYKwbB9ZfXlEXyW+kRxsD0ZeABqboFWsDqOs3SrDvsfyItzMuRmK
Rb/ciC9IPMkbB+D1UKStOgEjhDzCY3O1DacoshLZcym7Ip3vq3pCrtq35vflHN6q5S5T9HLHLxmy
iSkFBV1CjdVQ6D0kXKrC8ix49rCjeeQzRA9P1zeHen2kjeUaA6O7AM9eFe/cPvRD0cWmNwRW5Z5H
uhbindUVQ3iP8XOeYsvndvfLvvqVY1OBejHPKmJhTfIBC0P9gyvBFe7rLK6QrTJiQdscuTYb2Ve8
1PBaaFqjPsR+63wabQX33AhF/t8Mt+F9X4LPP/mFklQoR9//qVK4jDvNCoOPMMWK7I2DGpqziztq
jztIFpqxd3pf/Uy7xDLPESKBP20LrQVUsjXrN0695s8a4763+Ko6P1rUdYs9KWw/wUsXJcaHld2c
Q7fs7A9wzShxJfNc9c/NmMb5fYJDw7s5t4bk5Pfl/AsHxTq7+AXi/YdpABKEnGYlPgyw48EgVaB8
9yC7cuNETQ7nF5nmg7kLkAn4mSZ+2B+LKW5RCiFgfkhKTWGil1WtfocPI5qAhp7pu85e5NRTZXbq
xjO+kSzTeOcJt5eEkQrH6kBEra7jmpCYHlEwDo3IXLnBD70KeQ0xqDbkQ1+aAziKJMbQMlRuih6n
sIcnnizj8+yUbn0jYvoTEq82M8AZ0kiDzWzY63Syb/sBtUidxkQWvndwY0bmI0aQDD3rsX5wJrs9
4u+M9EVM66rQpHsIZRgjOWSa9Jg0xIOoKn+4vvWNZRrWP4pCOcwscgkasKs7eM4KZCXTQngynboE
2RBHy99EOXoc7DY3+GzPYFguYx6hyNIgfB7vM1eftTu4OW16l5XZGJ9klOFReeOHLTfy+ofRVCbQ
B+RNqXL1w2h/gTOdCuSqwqLoUSXzy/iYTkPlPkyu3n2fNTeZdn2TOMUeOUcdPwAaWXitSHzEPoms
HfWLhtaTeTBxyi2RhWjb77Tnp7dlZPS/rv/ajXtKgOtxFlQ10cc6G7Iw98QStTZplmf6+wTH0nE/
mQg53pgV9/WkUIAHWQz0l9HU6hnrO4hYTqibnj7k7te0DzBwAMT51iRURdsGu5oMiecBAaKxSRE9
qrBSMG4AA14/pbwuoP4RH6F8CFaQ3/hXHqbB/UYmqOJO5j/es6QOarGZQG4ExfgAadvJvaTAIm+k
AltTzENAVwdwvAH++eWwUYmKU9POFL/mXmDBm8V3JA7ixiHdeNuENIEDYLBl0sdeTbCfwuSHkyI9
ugDYxKOa4v7s3DJ4J0FIx6d/3jUkGoSSFKThnq2vKKL6fswRxfaKMrO8CUOQd3MbBzfq3hsTR/Jo
U+Ol9wrYYfVJ1eDkMQq6pkdYGdz5OhI3kLmqx+vfsvwtq+MKcgO0nnAp9ZIRvFyefG5t3xyqwcsj
33f/cwehkgO8Aon6ZcMBfMjpWd8Yc2MnSrgMEI0JDl73w/NZjY5dQP8yKrP5NugLOgW5kZ2NzM6h
RDvwzVTg5Hf9Q83lS1ZfilGBRfED/gkFu+WM/rX/GxPb6mg0e69PsDR5yEQFVg5pfnonwJnqJ6YH
JyusRttFQDagx43il3UMrCYsF5F4uDlDGeIcEmVZbBwCFBWDtyPs4o9DNNPnWoAaD3Za5fgWJGFp
fAgDQp4dYPzFcznhwv1uYq6SfC15qr5rbWgUl4QLowHIJSL7NKQJQrEZ0XXwnDp9pnZhcZucuTX3
7ClwmZR/dFb+5SzYoWvasmpbL47N6b2PoQtGIQgLAmdpxWmkfo01ilENz9dnf2ObLa050Pr05+Dd
Luf3r8kP8woBNwl+3YBE9ZQGqJ+jC2Tvobw677is2hsX7nKrrBebGiW9SBLchST6cjxKYB0BNEBy
bFWtd0NuND8R7gr3qCYgPFq380+ANtUe9af8xj7bOLbkltxBFqkDM73aZlYpmtKv6YF2skEGDZGx
sxVY4/n6fBobE8oInKLldkAzbBVhV7MTD1Wp4KhFHZIlreXrzUXFhvBUOaiADVsk8w6zIk07pMgQ
zfdWw55432FCmuxwVPbbX3WAQcCJi65H3EzUAtxPoQ0fBXbU8sbv3dh23Jb01Rbu0mtCEfYieBfX
MU085B5oD6vyaUpTxPf71ky6XVT7qVeMbeoers/T1rhc0eAJgDwLsQaVlLGJcAwi/55W2OUl7dro
nawLPIH7xHjLM9kgyFpHn64PurE2f2rjVP4WeuS6v9/3I4rqC3/QdOYShUQddyend45jV3zy8Zjy
rg+3sePw+aM5y/uq05VeHek6T3TZY13pNU2H9Ifdu9gwyDK9Bc/YCs3pwS7RJiQDl4vi5aGarYp2
ICaWngUWej4MgRl9z6kwLdK++YQtclhLz0C/tweqkUTvdfTWxbmXlYXxuZDT9+vfvbG2NiGNyTIR
vAE+fPlzRj/X0JPVGy/CYhM77zSy35Xs43PbieI+QWZMHI00LP690LJEihwLc1nbV/2eOUn0iJYE
jMIeIXDfxz0xTYLm0hMWHK9/4kbciPQy9Q9yWwot69Rjcidy1ahsvGIOjb0VKGNX1bq71+OoPY1m
6Z8NX29PEWfpFGKm9+H68BulQoNNRTeJu5QaxRrQEc9g2yNRth7SGbN/EHaHJFGOTcFThFg1LHUb
ISyQSuz2oxmlkiprbASf9RDl3xs3+kaEZxNDEsHCFwSNsLpXR7JspB5h7oxJNx0UGB21k9rY1Yem
L+pbPfaNI8wNDoOBcwUUbf1Mku8C3WobuF1DAWKvDbsLaVa3c/HQ+V+cnUdv3Mi6hn8RAeawJTuo
W8GW5Lwh5MScc/36+9CLi2k20YTOGRyMMQtXV7HCF96wQyI/30h712ZncUFSzOBrEylf7uUQZ7ZS
c+L2hFAzpO2q1vASGvMp+I4nR6N+uP1dV15HmrKkZzxUbK3laDT0S1QU6xY2Wdd6naQgym8oxamL
FelgjSgEj4plPFeoQW3cx4bKRC4fZsotc9jMNOce7eIzAm+J/SKFQATDL+Go9oTqGD10mXApY8i0
wKCOPInUHl6dOMRIsdDt6Svi39KwA8PnU2W3bd/cB0LYNkrQpYxllO0PCOgNbYPJg6jGyJ3wUFB2
qEGV9b4ZUsTrmgCwzNFOinFWURcoggaar/zNHLxn0HQMJsu1/NJ6VcpGSl2BltmT3ynG38RSpPBg
jHQNTho1k09F4KME3Nd5B9Cj6V6dAQGKgwNRAxnA1pA0Pt6EOWVvDU6P6p+ZAObFjGxnwEpEXSf0
h79FiMDdCdJea3n4vhj5rkZr0vcUM8IpzjUyRJe9oApNY2ObXX94jjJYTsplCjnZEuFixhNEP6TY
Tmhnl/rrLMTg/MVeqwuP6KODJgmzGq5JzH3ru4Rs6hb0bf0HEBdRtpCVK4hfFYRYulkS77Gpt/GL
aMDWoFLcVI8B0dyRnlH8BLij+TDBKP12e9dfn2nipbnlQfzBpbbsyUUNvTaRaALNZd4E2UJnVMZI
zh0QUTlMA2HR7fGuzzQBB0EgS026g9rM5ZlOEyuscPuBZ6A3+T5CwXxv1PKftu8G7/ZI1y/h5Ujz
oftPdD2qah7hWiGfWozQ9+3odBgw9Yjg8yYe1BALIGOcquPtQa/DDgblFNsK8TylqEUE2sYTfPSQ
6ak+RdQh0uxzPyb1RnBDi/j6xiCK/lezpn97dfHn2TS01E/mrnmcD1+0HrnbH05VJNpbaUGquJf1
UB2OsM0wU2+jGn1xH51rZOJTNBb3eqM61YlQJaEkBXgtdktzasUOM14Vy98iE4arKW1ZuSnGYLOA
XlnG97GTUhQPzKTs0N8BW7vjoumqU1Pqaf+R2EKo6P/b/e9S92HGhlHVoj0d+kJC/l/BHrNKRqvf
VWHD3ao0Sovyd+rjMRzgZtfDopm07qMUWkShgLrD8ROQIOmzGcVoYwZp0AX3Rm9jKofJfPDXN63E
2uklarW7qovoPOpm2LhiQHnQE5hfx0fq/uUTHe0o3c/VJYFsS2R+0OmVhMiOtPmvgiDxoBu+8mwD
fv9Y8+Pv1cHBuTQIAxm3SkzCmp0QlCLQ447j6gFCs0HhGc33L0qr2IkX4kE2Mr1WfRpaRcTfGoE9
nUtlvKXS7hML8DxmdfnDjju7/tmmBUVRJL+c8N5AOXB6ErIUf2mnKfR3VdUMxQHJU+fYq7nW/sIU
J3pFODRLjqaJOvSdjXFX8VEuODK/cmoCNfOVygBbRrMBydUK9RUtf7S8mqGL0305ll3xMa6gpnny
aNjRm9pQHj03ds3TIrEwmqdktYqqoZH3zh3C/3504vCiHiKw24BFXraIzye1Mp2xiLVtLw+h4H1I
W2BZ4KJzTCRsPD/872YZm+e2VfHxojhOeV+j3PtNMuqmpySuJOOnVJSqs7Nhv2gf/CjWyz2shyzx
LPSb7S9DAIDwQVSgCL+YaHAXb0GSSIqrWnV7p9Xor1Hul63R1WNUQh+k1g8Gdxw7oitBy1q/r0Wk
x3dBVtTkUw1IchdRYEnBCXsyIzy3RdUcEEzk1Uvtmh6AHBta+bVvImv42hhSo7pppapvQaWFzX0R
5Xh/BE2IoNHI/SvfTbiFjriJzOGc02rFB8MwuSYhX1ryAUsKGUFHE4HeMQPku+ND5PWupRIfIUBr
Knq8b2t80kHjifQsF3gfe6I01B9Y6/mo6mKgB1o2badnbLTw1rMDTKkcZJs1/miOj0WWTBXSmnnY
eQkAi5++X5vUhpIsLu9z2xl/O40V8UYNJZ+dQtWIJXpoGdLJaqEquCkerREuo8Q4+xRfCNMlg8CO
j6dZTb2mt1sFQ21b+1kb4CD2dH7o8OMfiuZSFrZNtgvUWo52+ShF2Z2SdUoGXM1Hrj8qnfhLgXnx
vYmfG01x20+fZaM1jb0dg1U/w+vpp3PpKFFzsITln7iDk+EDmUT0iNeIXBzTwWxrD9tuDpYVTjQX
x3DKggdZaQftLk3l4TVFeekX5HdcdfUUAVJPGGYX7oahDzDPKaUY1Uez7hLPbxAJPeI3IB6n2q7u
WTUWnQ42rayKFlTmTracK3sRO5g8AkYxuy+j3NbWb+geHRa0TYfdF++Cj1l1rfL2TkY+m+YBCYHG
xZP1O8fdQ/k1qnL/ZYza/KOSqspnA5pMcIzCNDoNY5Mpu6nA2gzcYlXXR/4K7dTbZF5uURu0bBAK
2gpe/4WIixDyX8+P8BE4OwXEy9cOh+sCeRLbPA2VHUge5hTGE5VnQ/eotjifgFjGfyE5GPhNgYUr
3RmGWntNPeQm2uWAL1wKJFZ5QNVOKo6m3w/KDuvgODn0NmJCOywqa3sXOGZZfxyyVu24Iqcgfw0k
QKmPkxAQzmFMzHYi5IjoN8PzHzwaLvapF/VEUStOtF+05zr117ufXPrgPLiAXMDkLoEEVdGLCWUP
69RWeXwX4k92L+S824jRr5NOuNQQBogUoWFcra/jRH3pSJpFeXsoXrqpTr5jNFaU2GC3ioZBmBWe
8wyVZ1etq+KI80319fY8V1pulKPnJvVcQnGuKux2UhpRnEb2yW+joCJgD+2Dnqn6m45G4GuiT9qP
0jDSx7rU6scoCuxDE6jm4Fq1Ef4I+nz095i+YkOAk4SyUXZYCSNRhUJDAl0H9RrNIZmRao+dhBqB
71ceN1t5GB1nvM/lerqX+9x4f3CHxiN3Kw0OYPDq/Hv+E9y1AZ6FbclaxKT+zzVWKaNLoJLe+VxX
oZtHpvNpKvzuy+1vsBLeARFWqDkYlIuvkBfYSKGCnEzWyUF3ZEcdon/wac0ebo+ystdAkcAu4FYB
BrQ8yx0nvHV8drSUak7qkvf7OIbHg/aUa3rypa7C/F43yv4B28jhRdSi2jhSK0E6GmYmNS0V+o+2
7LIg0xirbc3q4g/U7hoNqGkZgIIeMUC7uz3XtY2jATMl+5lLGEtciQzrWB47lblS/3R9PNnJunn3
cRJwnhRYbhvneHVq1KeoD6MxcRWgq3HT4EzBOVbU8E0PzOosUsd8SX0hb8xsba9wVOnWA0Cab6fL
LQoKQk14MYBXBiH5bzooT0Y/TC+31+86y0ERhBYVdqww5xD/uRzFn0y16pXRPhmNJN/HcSBhJRta
LGJb3tH0KbxBZffcHvR6EVEE+PfQwH2Z2TeXg5oCb/ukp2arYoyF5ia+HWAEDHgHvbL/X4aiLc8O
oU27PAv4slS+PNRUMqcoPCD3qbmhbkzHLPbDjWN3/cGoKoJGo+3N2b7CVuPbFoXE7vapCuFQVHAO
Hklsqo0y0/WGZxS6PSgQgcekkHa5diIFPxUPunXiJvflPbjcIHW1wLBw/JKy3kWvFEH29y+iA8mC
gjgNB16RyzHluOE04NKHZq06h82cAsUj1pI8s62GjXLK9e0FMt1EQhYFKJRBl13npmnCFqMk49TN
rhQuij9BeDdUaQy6eQCxvhtHzcZCnuAdA2WAnjuaumO9cc7/yXldBkQa+BROOh1wCgpLyIXcRHHt
o+p30gYrV3fgTsz8dUjKuru3c0qkHtBqJ/NSUqRPPXamDbZRMvbQMPej9nuIpuywayUsqe4gtOEX
JqPfWt1X8WBp+0kaMClS8JPcokWv7EGSfQI4E/7tzEy8/FKpsKSSEEunaKGIfRQrGU5iGGi8ez/M
sR+iT9S92BOLPTjg+OnUkWOc8tlxuU1oErhlRDwoqlTd0i2a77nFh9DQ6ONIUTaeaQWXU4rxX2kD
GWKERE7sdc44fevFYMWYrYTTR50IpvK60JIfIq3dlLVYWU+NGdKYkamWsKSXg2tyH2iJCc6+sijb
BZOZeO1kbN0cK+RlsJ1IpsGXRfABdPvlMGiiNFZddfYJtdr2ET4e05swTH9uVAlNOvKSSaKwJrdq
RZZOCAn7JSErSHJJGyD6y4GCub0p3iBxAWyj8hoQUxaxUrgILLQZPjoixz6Emn66t5O4Ppct0G4P
09TosaKXDhA56ervZs9zhLdUaHf9zuJpkPeQ8ZxfttKitoU3rvbkZGT5pH+qVHjo9+DErYkcpVtM
I5yNMGJt8Q26sQasIwhVyyOY9ZnPf4ztk9016R7zau1OA4bz/ssN8Ud6INw6VE/VxQtYOLJvBiOh
ZwQv3xtbK8FpIMdXqZq2rrbVCYHaBR7zT99jUbzs1ZQrFldLgodG3lEDN3YhkdxGdW/ldZ15U/8/
ymJCFPTiStcTlk2NBKidMjsEo99/ijEU2hhqJXpgKGQ1Zhg2z9IiRvGHKC2TILRPnawMWC9PGEyS
6eBySW3owalo1kOVtzbCh5UnEAYTx3GGuNvqksTkixb7MYXipR5iQmOkYjjIA16RNBTGfY2T0sfb
193aZ6OtY2Ejxv66ggVmcj32+jBYp4S1fBK4a3uAz+yNd29tLecWHDcr7zr7+PIOcFIQQ1GPIBsV
SOd7gcG3g2UndRU8z85lM0gnDKT6LV3xlc0CxU6fqXZELFcPhk2JL63Ju0/piNVHVErBCZM3vOKc
0N4IxVY+G7c3jTgyIOhny1CT2x2cXi47qE2FOQlJYqi/JE0an+jypI9QKrMNcN5KpxWQHBLA4PZ5
OWj6Xi7piLlDgA+hf6L6Gzyir2X9BiipfaU+5XwawT/u8qTlQhSJs0vUzHyu4sIfD7d3z0o8YxE7
gQByTEATy/eLSKdAEa4IzoVJaR3P93i4F/E0olOCRsGXkPKDg2dVmISeo+YBEZySl9HGJbey9rP6
DT5S1DpQu1yshBVmUKkBYZ9aRRaT68hSNoEClaa/ufC5UkMzLDZu75V3m3xeRfcLQAGyX4v9rBsI
iIajI+GhI6LTCH7jY4FXntdHU30XhdXo5k4o3J5w83h7xVfOK7z2GZUJ/UW7+uxDkBmlIyheGlZr
fRxMfNSc3Ek3zuu/y20RmCDUhmASqcwcJc4/4z81hBgiaSCcSsLxYJQVnNZRpOoV3D7dZABj4ALn
lv/IkpV8jOFFY2rlTNEHGbPRN1URhviUhUnsuybBYUhIbYjxqYiyInOBmCMtWyqVqXiO1Lc4swRS
pBzaVrF8/JpiGf+gLnAodGIuL/Y9ZNaHBm4leiVdqgwQnFL8wUJzsjFTn6IheehT+gxuD27duCuD
QPkEk8EZ7hTQ1fQ2gl57aYbG/4pOT/TS1nmq7hKsuZs9rZSwPU7wYJ8F+lcYLA2zA3hLvgpSfap0
bGeT2WG4j/Tx1Uzg73sJEnwjtumd8gHHCRO7MiNLX/o8zMwdrqn5p55oDYdHuyTSaH0JxyojAlbq
1WNWA8esWqvZZb1TZl6LDZ3ptoGC25xBf+iFZ6YH3Y/kSueG3VjRyynG/NkoQhyb8GLAPNzO01H9
mMdIDgEZ1zBMjRN7OudkKn8zo1X/dgEA73JijfdD0GU/EKVMHHeknN14Mo3rn3CNtU91FmU/aWn6
37s6qH/ZKd4L57iLxWe4VZji2Uy1Rnqjsx+g0kLkii0pPWAXRoXUp3iALSaiUinUttjWP2eSZYYb
b+/KzT1H3wCwaDzPNPDL7Td1dqMpXSfBN4++TqNq0h2oFXuv63m08QCuDYWONCIZxOFESYuIosLg
mJ9BoCLn+fiM/ErxMcdl6xzh77rxSKyc3RnSqKKKATng6q2lwRf7mMjZp5aOyV2CyefTFGOYdfuG
WLkO7ZkNYcwoP+q+i7UzMZbCuN6yTziWSN/4gNV9GDlyBFNFs0mZCrvod7eHXJsYOBSQP6CqZIKX
xeeKmyCmwUc5e0J2Q7L6/jFV4a7eHmXtSxH7sW4OZWZKHpej2OGgVBF48dPQKGKX9Nm407vhF3Cy
ZGP7rc6HGxbO+szJ1eZn7z+3n25KqWmGzMfCjvoO/0kMTkt/qx++Pp//H0VfzEeCCJqnOUA0KmGp
l6B+caRxFHktHNi720u3NiHeK2rCs9gNMgeXE8Lf3k4w86PIoeBS31AL+d1IVvzz3aPw/s52eDM5
7arbgP+xnUp16JyCps/2WldMB6Uo8vefIjiEMo8SmDpCysWyxcg/ZJjcObgCRLZChjb4zh2u0kO7
sWgr34eMiZbMLFk6y1FcLlorCz/LmpqCdtl1n5IhBiigaqin0UWvgo0gZm0wnZ0GvgpM1xUfQfV7
yi8tiQ1kDH8Hyx4UbtOPLq5iW55wK8GLAxQYfzTq1xaZ7uW8AjMnclEp1KeUPyQPf0/6435ix5o7
FVLZAgjo7Z95iBueQt79fHuTrFxPKCTz6UhxCJ2Wd0WooWCVCYqymFdnrjRJOIIOYanDsi2nT+ia
BBufcW26oBGh4dIv4J/F3hcphbgYcMYJQYjkF7hfDG/7xhc7ekHpk5SCwYSRIT81fY0+3u3Jrn1V
aBI0SBGaohy8HBt1sqibsyvgveLcmr1BqGPU1iPwD13duB9XDjn0Lg2vEzICNLUWgzVcIL6wCgtU
XmDua83JnuxMTTdGuZ4SqhSU1Kluzx3F5XL2Woe5YtP4Jwe4wx3IhsbtmrD4MFqb/h8rnDUUjdEf
M2DpOFRNFzMCYKrQpQ79U15R6NmRpU/hbi4bRZQxNPszKUU9eBjHmsOuabNm9IoM13NXL/UcW1xd
Jz7cW2NjbsFsr/fU/MNoqcLFgLO2FAGRURgymzya4xMRBAfqnslPBEb1Aw7ESonMXtPqnjoFdeSm
Bbao+9vbanX4GUhF2ZrLdnmGRrvAcENW/FPUdUbmYZg99cgbgf50paAp7vtB1r6Ci0yjfTugbPbu
CEOXCfMojKDZzXW1uECKGlNMvDZ8hMFh/eiS4+xyuez3ue9oL1mQbPVxVnJdHhTyahv1GPLdZbpV
11VF263wT7KGf3qvtzBKUTswj1OH12mntPLeUGJcQEp7+Ih/MfaS+lC+3F70tY1PwgWChIKpddWc
wGmhbxqnlk7hOGje5IyQZ9M236u5ZWycseuTPD+glEy5M2Yq+2KBraQxg2IopJM6YlGhx+TTlppp
/8MuooGJThoPzyxVfvkOWKLtyjy351WNp4OspNg4tnm8HxOkpDqsU3ZpMmi7yELE8fZSzn/zZXbJ
+41LxCymCWJqWeQKO4h5vtD9E7q/pleZmv4YdFXu2bKUf5DoQGy9ritq2TrM7/msMuZ1KxDnNx2j
r9Y5CbADc96WJeoPFMKC6sXohZkd8qzLv1ptq31u+lxPPQtHe8vLfTsq8Kcu6r891L1nrWio7txe
jLVbDjwkoOpZ1wIk93za/xNtGoktUrku6denRpId+iFJXmUzVhFrRZ3v6zDJSnmAPp7/kCUn0F2k
8fNnLbLUejd0Viy8SiqVZGMLXld2gKASjnDqjLnOtPhRTTKrodSWdYoj+WXqsocCGfJj5DTGeQqU
dE948BuPbbEL0ir9dntFrquFrAP/I4dBMOLKD9DM1VAzM6qFgWI+dnmyS8LaA4iUPqVFCOwNtc27
2yOunG2gI/je8mzadEO0y08QBH0iaVXlnBw/BADuyP0+TBX5d6lM7299U9klqOQ5Q9WYF+RyqK6c
4HuBMzpFVqZ6mlR3Oyhf7cbnW50QTJMZl4Pu1jLwSCKNIJUSzAmYHmamJH5kGFANX8WgkWy8f/UM
aO78NXQKCcsvp4QGlar7Iyl0YAIqBHua75DEMfB59rdywHnbLW4OwNhcWLx7NDCXbRO5gLVuS51z
ygyji+7aHgqZ649YY7iYTo2FJ5sRSHS1t4NXGcvHrcO6cnMxPmEWOQH/WqI/qH3YhFjcI7ItiZ0N
MWAvtLbaFVafepDWtvS9V14CgOBM2KJhC51lcUfDP1WVaU7mu8YYHkmGdFT1o62e59qsKLZA0iIg
54FbvDdTL9EHIDE5BZNjRmcjUIrXLNK4huXS8rs9YkPvx7pzC9s0c5EkWGm7D1hKNmpAFmcN2h9V
buqHMhP+I5W4dIvauXYW0JdFEYbCC4YmizWcpKxzBvboaSzlAXlX9I5rapKejLjxRnV2ZSi6g6h2
g/uYdUEXQ8kCeIQ2mdoptEDR78VA54OSmSH9LcMmyfa3z93ay0FpFprVfHGhrrEYLqkUMQiUi04g
O6u/Q6YhBgbuWE7cOCVHPk6iKMYXrR4EavtBjUBM78Ce3iWJWlOFbWCz7ke5lNON931l19qgJihB
sZeo1izuOARQqiQLoPCnulR/FXLwdTRy6eX27FcGcea0jvQNcaqrTpkc+pqCX7N5Uko18BQqhSdp
At1/e5TrozEXtIBqgGPnfV6Gno1fKZ0+o9o6uyifJbNzJjy7IhOoqIjfoinQNy7T6xuOAWcNVQop
BtoXi7OYoHRpNQp6e/D4/OfW1LPDGDnlawFuxBVT2H+Da5R7Tmw0G0X/1anODz41PKDZy2u8UfxW
i+XeAuQ+TkcgRSXNJM30VAi3dCK196sioN5u0OTk3aARfnXrJI5Jh78Cs+n347EYfeWu7gfr3U87
cj9zMUpFkJgYcLEXOxWhTWpE1gnyMjwvWQse8lr8dNS+eP/6oVpKoWje9XTcF8+gbnV9og7A9VDN
Vp/UzgEW3TboztaSchByZGxUKa/DJDqNEGnQzaNjjOLu5bNbW30cmjCvgBAgfh6bUb0fUZrweskf
z1KsTx7CPe91LdfBDc2sbJPXiGd42fEDmOGooinpqdaOuYsK7EHYUOV+VoD/fPvoXR9wIG3AF+YO
m0OesqjCAvbpGH/070YzCp/7ZqhPdqkMW7Za13f2PAxPLIprLOKSFTxpLRqXcPvuCluXSk9SlGIH
JREPXllNtloAq4NR9wJfOZ/wpUYyEsk6V2Pm302ymR6brsSPyaz8u1CptmDA//qeF7ESspW09YlJ
KJYbV/Q1BbMzOzPr8CxNNqC9EHkOay93CTJI9aS3v6asHMZdgfK66cp1ihZRZ7T5Wy6cON8HlpGj
4D+O1dfcKLI/Q07R6dCJbiqoNKTFz5Bx4YpVQ+V7utFZqReLCjDsqNmS9UEL+GaqGwT41bqpiHUL
oaOoS70iL1DYzVTU0XaiSwJ/x2M6fdUqv/ozTEkM+h5gV4eCFIAObvYJbeOZ0epx11vYJSYTmy3v
rLb3ysGvPhiSoMSViSDEq1Jo2VeRD4hkiTrv/4o4qO/AFRnKLswdBaf2oUshfMgieRmFDQ3mnRt2
XvDZRIfOLJXGZc4EAzHLfRyQzv7YBDtaPfkpVwE43B7laguBwOQEcgbJuEASLq4ZOZSQKGhH6dSA
Cfusy6W2S4XSPYU+b/rtoa5O4L+h/qlFMNIVltUOkYEwDNAZVt1Ee62v1XuRZ1sggtVReAeoJ81l
gWVML9KuM9H3oJg2pM4RFUlpn8Nf25jL1euGXAvyJbPOJyj8q6p3KZw67m3DP9FcVPe+1aaeIqnR
N9/p4rNej9GWt8HKd6LKjW7uDHzjQV88PLTCGlPgUXzG2BvJ2ka2jj5YPDcM+62s6BrQyeSwmqdL
QRdz1r6/fAoKZVIrYJnSSYR+9ZnMUmt3czHtQWlj0bsUN/p+F6VdOkB1FANHJTTbM5aBwUusxuOL
mo/y62hobYgj3Sh1blGosb3n4OY/aT3XW62vlU/OrYTOynzf8jkWa6MIMx5bqGwnK8vjZ7nuoh+Q
K+UN2SBt7RMwBN0O2qDAcxYvpBIkUlqZDsQqW4powofB4PAma6QYUw1X7i7pR1u4jR8h0TrheiXd
BTTt8QhXWvstixwtfNbyQOpRfO+NbzgBwZgKkYrS7pI8qSeX/mNr7QeZy/O+R7En8YzQqMNnxR8T
A7GYzIyRkVVb4yhFkdR4QNKTt3zU+8lregO8IsqYOTccCoPa3rC6qjqEmuEXlLplsBbgjMRfqsAV
3DffV7ccote+AqGmyv/Ji1Cavtw1khErBu4F1HFjPeSyraaz5lcQSm/fImtfYSYhoR6E2PnVLdI3
6mDkXe6fKl3Kf3WGFj6WSjrqromA/bsxX5wEAGbz04oWp7NMiZQekQ/K8/4pjfsE2qFQXUNNsweQ
dP3+9ryuIvV5KHgSVKqoGV51vRFS73zNpzsxRaPuDSa6D1mS2vtJFv1DQ2HrKOVY6VSjaf65PfJV
cY6RZwE6LhcKuFf14T5ErFKyB+dUOUAU3XJKjLsooyyAdmPlSTaSjKqZAq/LDLGHs1ZsRJ5rGwe0
BIk7olBcOYuNMyhC5jltnJOR++F5CE3hoQaQHW7Pcm19QTDIFG2RHoA+dbk90csUveFLzkm3aiTu
8KPpj6kRpt9notedJA1v9WA1HqC8d1cMWF86TvNzRJeD2PByZKkAvIXTtn8yBqEdy1qTjyMoJ9DF
Zf7eigHxO2eZk0EvjdrLvNT/Kf42eo/C37xffbtOHnJVzu/zqrMOddlvZZYrX42tCiJkFjO+LtNN
c4kOzZXgjKJ486XSgpnxmfUb8n0rXw3OzZyX0F4mV1isnVnAfRx1BOi03k7+Bmo/HPMehu2+rAfn
h1AyjXvNyMNjlpT+xo5Zm+HM4vgH1507RZeLaSWSbbd0wc5l0RlH+PfasJN16Di72ztznsNlZA0E
mVoACTo9KWrVl+M4rUhy2gbBWUD92oMzvxNZv3eidrzD02TLV3tlRWceExxCSh3s5sWKTtoU6WoY
ROdQK6t9mlrOoewmE1MdM/6sVWp1Uu2s/tZCINnYnFcZ5kxSgc/J8eOao+l3Oc8xKRxEKOvonJpg
/EalN45tmiafoFNq96mo/8KP9zcKLv9u6MXiAuZEgAuTChpTyxt8ykxghlaanqEmlP6e2rKEhJBd
BI1rDXY37tumyOJDG8WFduePStOfMxBtwNb6MPia4uc7uhMqcb9g8quG2+tRXu4p++Mcojqd4aZN
0bSu1rNN3UaXgqMijabm1k5t2FxjhvxhDDUlPde92ZbnJqz91i2sFtP0CPXL33Y2wSWQnOjUl12t
umXhRE9ga4NvJr673/xAHv5GgYxNV1CB9XLD1lF/gbdIv+eYFQR7EzGg8Mkw8ONtE0N/oUErniw2
LGR9IZuTh9Zy9en2fl39jpx78lsQq1f13crJlW5I0SygRk7fKxNKq7iZ6gyG22RBaR6HCfM2b4Qw
qm0cyZWniqSagfFNpUbxjx3yn/sNvZYIKfMsPMdWl7bHtE8CcIxNoBsvRdLUj2z44acEXvoDYXGn
PqDtSl/r9vSv66Ts4397ao7HuZwW71WkaGk3aFF0nuKkTZ5Tg2cbPCMde4gkXEtuh6Kq8CTck3/C
UB8/jvgVyTsIoE3oKZXVv4pei6WNjOS6rc3PQt0Q3D3Sf1BkFteVOQ5+0LRclUXeNP2egZrS66sS
ZstIE1JxnUyJjKOi9GXrNVNlpK7RmHru2qmubGSVa98JSDGCUhqdnCukit4BmKAcEJxVOOu7uc25
j8vJf0pTMFZ+ZuLPKuX5LhphoyU0jX/d/kTzVJeHHsAifT/0Hq8TGH/qi6F2suCc63Xl2tJkPPgE
1RvnYCUSRWAcIxNQamzKZV99sskAIVoxSkCmCewJTRRGOQyV2Lo614eam6e0dkFrL4IX0tDG8p2E
JyJRnX3bjfqzFivDDg2LaiMOXR+KYjvTgqC5zJ/LoCOKiYPgHGdDi7OVrO+yXAi367utrvDqliWd
xXELC8wZbHT5ItRDGuYF9oenNE/Me3Rn8r3ka8YnTcqbpzEqUAiT89STUQg9tKMC00vz0y+398rq
cQbxTyYxVyKv9AYqnMWiUCGQ6ZTJ+k6bMyIGruryQyOnMUomWMZmxzHRQzDdCdfbI34ahdgVgTZ8
L3RFclzVzLUtQ+q1S5YdPBtT4LR0BU+Vk0xY3CLBmbet/4kU+wiUPQ3kz5bfNvdIaqI/oQ4Ywd1e
jX/1ycXRQTSKTIR4HC9yXbv8JHhO9nQQpehM1wUN+grjlJ8FuPS3Ypzk77naVS/9ZKX5ixr3Bcol
ldzJLmy/GH2dtCYpddrWekEBJ/4skNFN3cwS0hvegH3u5aJTPmmlM4VulFdV78raIOkeKjZKt7PN
cKKqIJX1oS90FUKww8NaDWUDG6+LrVc8EVLjrMH9w2oqrPGtDUXY/KB9kaf3GaaHv7H87cn8U6vc
4wj3D6qOzI2HAlAIbH1K45d4qqrfUhwVg1fAAwAgj94J2khZGGv7JC/8hptxKt4aWykUFwH7Cl22
WMs+khpKxbfGNop7AKKN9hqIMdlneiOa+6oZ419VmBp/oiAcfm98kOur7OJ7LI5IGUz2lGjszsFI
3tQ+svZTbVVerifi7t0jwcgGsg6Lkwbn8o7pJhKngTjoPOmA3owe36586K1dHo3Gx9tDzT96scnm
vsbslUl7yFqmKXlTIcAstdG5L5zivhXQ5s2iLna3R1m5yVD/JBei74WA9fJBtADBYjkwxmdK4t1X
3U+ip9zxo0OOe85GmHmtTQpQkiATZAtgAv60uKCpzqLnawTxeZCc6q0ZZPFjgln4RUYY5LUr2+HD
UJfZm1L1UXkXyeGAz9KgdeV+0G3/x+15r1wdvLusLGk9ugvLzlFogDDuK+ITsG/1k90KNIiwZjnQ
8bX2RhGr3xwjNTc+6UoSY9uUY7g1QKheqT3UTirlVaGE5wqtrT1kBMgdCCA/BV3deniYBJ//h0nO
jTjKlCtcMYS5OhEwy3McRdSYZrXy10DJLf6YRv53uv+jcHWqUNrGDbm2d23kK+mBABq5QtxwFyLt
RM/2HJLuRq6W2wI76tB+uT2/a4wZO4p8ZcalG5jPLN/hCV/y1lKn8FyHPhRlAIL9J1lPEe1ufR3Z
szJIP0pwMH9VuT+emr5MkVprcGfdD9lQeW0rx8qhEn218aHXTtXMTYTIwGa/6hMGKlSJuguJ/lUl
eRokazgOvu08JCLZ6qWtLPUsuEeySBwyV6cu36I07M28KKvwrIa9/MOqVe3QCliQt1d65bg4CMzC
Y+CywDNscXQxsa4c4ejBuVJ5cEZN7KLO9yY5njw/gXLVoff0/psJOAfPLCU/SuzLq3YYc1Q3W6xM
cyNNd7oZyEdToSFvovKxcauvnEuwtQjP47nAiMviAmJisSSnQ3Qup0a672O7exJRLE1eStTfHnKp
ULuNE7JSYSApnAWKZ/QPTeXLz1aC6FUChRMia2n9WBF5vzaWPd0jKyqfwyjs7g2zsSU6fLHU7W9/
zJXdOR8a+lnz0bnqz/eqMK1MNikjllp21K3oe19JxUe1qv7cHmhtb+IqATcF9DpQgMXenBJQRv18
PAu0hj8AF3qTgRtspFFrgxD0g1ZGCosq4mIlfVwRNUEh4qw0+OyMKIiG+1DT6y0a6NoR4DGYATCg
0K42iWQoeRS2TKZr+9eKMvSR3rV10Ns0qiEyyqUX1XCrN/bJ2rciV/0/zs5jyVJja9tXRATeTIHt
KNNeUmtCqLt18C7xXP33UP/g72ITRZQGJ3RC3aHcJMnKZV4DUoy54z0O2yzRLcOpj0gi6eFHUY+F
Zyv4wpjVfGTi/BItNxnHyn+nlQcNi8C6qdlhbGhtZNZ5AIl3Cs9q3zbpB2Ty+/8J3UD5EfoI8l1T
F+m+Rr/RcplhdB9r1CYAzy7x9zQdUJO0krD+pwUq9FOOov5LmXdoLhalUTfu6NTWUTJ+//oN5jJr
NoFcMbAM9fWHxCekt3Mx50Gt2VgR9aFyQmu4Pmgc7K2yzs3ktUN2P7exnZ5k14rokI1l4qfoopzm
Jqvf/WFyjDW6NrxqiNx3QaGPp7jrGiQZFzM/c+DzixBKfcsEbIv3fpoMa6CTrENghjbb8WUj7FRt
xzENLAksfZ239UlUxZG60P03A3eKDhCfi0KzfTsNLOauL6IuTQO5Q//VVbtm6Tz0MawPYcdk1lXr
SRGnAcjJERTjpQZ7fZiZSJEWrHMiSJLbWbBJMYWyZFIE4IO0NRFpVdsb1F5Mfo0tSOymyqI7I0VW
VLUX+rGm6UryJP9T52r/rUQedPDHtIdSyW1qMmwa2uJnU3QKJlJNhOBdDCYgenSqJAb8Ckz8X9qQ
0wcD/VTTgxShf9CdOPncKCZ6KY3qCJAUVaFN/tIpObZ/XWebJ7RKNSDlcaTOF95XOXtJvqDcboSD
ncNgbnUBQ1spOs8WqzRL3hZ64lW1rP+xaBV06cExCDlpNVMA6rmwERMy+Ndvn5X7GMRWGuTt9M6Q
udvOF4DFg6fUVK7HsksvOTbfJ7WqM6+yMucgmO8dmJVrD/8XrM6dQE4dzvEoaVMSTAicuiBWzR96
JsD5WoP4AicFh7apfTcWl0uQeSwxli4cStCbEDL0naI1GWkyyBHl2s4QXuTKwRJuUiUfOGdz8O3d
N/6Aq1DQmRR3YJrvOjqt6FA6KtNAsSsj95Ms1n+mwgyVlQyYoRTLDXS2ZqccTyBerJ9q1CBT/vY7
vc8/VrMN0h0M0/ZkKtM4k9pwIP+o0zL0hnCOvtKLzh/aeSwezU5ubroqemRl+P0Ha++dJ8pNxhxs
+z2iXADEmtWRtcs8d7wV/7hqKOuo4uZHDd+9uL06nZnUIXTit1udSQ0lTsF5ChERPk12WV8rp+gO
4vZ9/oi8NskUqid0hFB2en0H5bO28N2aWaBKhVflRXEJ6b+7coO0C7CLg1xc2dk/PIfWopVHupfC
iNI8k4wKDE2k9irKAHNkXlPQb1/tuGzD0xoNJt+IWnjH9kA3xxVNJj0OBagikSS5V0pYF17NEdkw
L4So/pDK0ZFYygusbhN/6SyvEywgoFycmz2ZIiIeumbcZRHOAJcF+AtIGCYC2DJ1yIM/KkjPyaem
r/sPUTjpnQfOa6hOSV/nX2UsGP+HFXCxPJhyUt0MVe5WWWuhY1KcpNbJhGKX+vKQ2BAQc7mubjn9
LynAJycfPNte/aBChFimUxGabQY2Mx3ag2O8c7YAGqEIYq2lJ+KFr9+6SScjmXteg4IayFe90B1X
Q0f6QKDPWlWcthvJeBWzTpgOICY3G7loSc09DtDIscU0Bwl68YpbmczHgOZJpXgA0Inmdp80hvLJ
qCtd8rSM8YXbGiuVTQWWV6DmNY+hl1py+SWMFh1RDxjpkzv1ckdLt9V7VO8Gu3JVbA+Ks9MDTvTS
qMyFF02z/UQ9AoRxNmt58Xo5S35mnd4zilzMH0W/aJ+Nah41VwEil7hyGyfpKVMn2/SjXjJav82h
dJ2UvjFVfxwY79JlsaY/KqEVujeMc3StKmPs3CJR5L+bOgn/LerQfFbMGRcHC1Ds12TMtR9Q6BEU
7kqndh7CEvFmt6bxGZ7nbBm+iyUuJJcgjtJCHknpeCp6CLWPVkR30K3GURK+g5XyNzIsKTsvGI3d
5iyXf9lhaY2upIvuR9EMM98v2M0ILRRU0V06G4nylOrN9IcicF4/2xDgDfKCWTsqd3e6Y1QxQLR4
Cprsd7fsbMY4EaEFfhPthDQzvVI/1UXkRXIxfVj7hM9Om1ZMzLryqZC63u+YoXiW1asH0eylst6e
ONBOa0EFjusegB+pWpGNs31DtETTT040xLXfpG0jnhdnaviy1DiJHjLHGdNL0ZEdoHAvZcm1TSdh
uF3njM4FmFY4nzVtRIO+sJBWyRDJNVyD1rz9yNhk7v+VFZF0HkJJtL0Ljss3uTfaHAfYJUYyPhLw
eyZpkKvPdW8P9bnqsvFHkVvYA6B7rlRPtr04T+Yym7ovYlN8TA0p/cuuMXiFjKFnBX9tavnlXTHP
ntRaY+pKqAl8T6pFzs6FJXfAxeeEwmSJ9WL8DKmcD2ZGGL0MhrmvgrFNemyFCTCTnzuz8kHWFuzi
LIdzdhBMdhIfiosV2sNnTmKwXjG/DW2HBvGcZaqcmyrjktuoReO4HTWWPyqcASlrGz8m0z1Yde/Q
sSwCFXDLGTBtx3NhtQJ2hWTfYuQJ3NQEvTFmReUndc80q69yzy7a0Ota0lFZrccHVLfERWvnI4jt
Tj7C9Uw5wm+B6XuHI0FjPWX0wQ+BWuaPTbY8S+rUnZhFGc9dL0+o2hfW2TCOGsE7l6m6alsgBimv
mt2bKG6BG3C0ej3sslOewzaVvbRx9PMq1Xh5O+faaVdyUTEzpBPCq75rVUwlo1YdH4CbnU3dJ4R1
sP1NbTDYbqstzIDNIls+pcmA5L7VyEwyIYT1ydd+lJa/NRXxhAZxRthObpSEcvluhBm4f7KYlSFJ
JX3XrJmwXBlXKRFbEvkpS4ol0KaxOFhl75yvkzPiGySRO5wXf1AUMyR7vA1TieEWwNmvc+aI9fbo
nWDqMwtHZiNOjjJBZSfrXpkNzNoN0K93CDqQ+aPVNbF0i8K8nU6aiFbRxMIxwK7wRzoI/a5GNNgY
5h+TkUz/Eou6z5wbhqtlNiuY9sZa55xMJTSaK9lmpvqhVQ9/zgDNGOZZqXS2J8H8PqUm/XxwdHZ/
/VrNkm4Dqd7OaWgnj4oawU+vFyIVOFJm2kaat4AElEJ/nDVsLCB/Rue6UuSHKYxU4VIXGx58MP15
xCvFa6VB+uBok3Re7F7+Es3teAWLIv2l6e10iXPpSNNnJy1GMI8bjdoZGOq2+u+dxWqdGMgxcSS/
pUsRX8ZaL/5Npyn7mhSScrBJO58yBJlViYnuyX27Mc4aOCUd60Gfyn/mMEwarxp68THi0j9iHuwu
RkPcwgcbRYZte7pD2R3jOlO6zVOf+rSgcGnB1eCKFJtxfvvl7ySacNUJjStC617KsUL/DZEYnotB
8uQpC24H1WxoB1Xp3ttaMc6caB6H9/b6BuIJSafikhohB3pSN0t+0mkRXSISIT+u1COM3d4GctvR
BYeSttNPhYoisAcJb1Nh9r5BZnWS8FF3UdN4fxOVyL6KgDGNUbDi3jQ29TC0pjxaHy2Zu0eYqTLS
yzamX/mQHMS33acCqEv7buWJ3UEDupExa59JN70ekqdecqYbXcv270KJLfftY3G01OaFYTajxFOU
8nkhynK2ZJvWGlzib1GYvFv2nM4614LJ/5iWgm14fTYsMIAjNN/wlmLJE7v9rAkPs5fxOlkEkbcf
a+eGoC2CEsJaUDM/WyPhb5mQJDo1BVMC3zzro1OrL+lzXAypbxnL300f/6u3ynhwMe/s5O9L2psc
YCwXI5uMxbkpZgI9DHe76UuFdupActoeQQj2no92AZiVF7TzNuVqVoiNjBnErbbN8lnCoeYha1r9
oTRb1GfHaOQSXKyDvtreE67eCWvXhb7aFtDKv1y6tg9tPFblLDDjnt5rtajnyBirg2O5E0fwwlyF
tRhuoXO7OZYz/q1K25FSVoPU+QuyjP6odRjn6UniUaqbp7fPy956qyjrimFDVX47A4YdHPZDibpD
1g/pOenG5dfYGt/1rlODxBycg3p8Zyepzuj0MAYlXd3yzRMlKaVcrFiTOEaT2MDSoMB454K05JEZ
xe5SvKuX+/OeRztVCbxF2AYBwXd81EpjfqbrY37sbbhGb2/iDsDLQAcNwS6UOBipb+cBhpnjemaG
q/qoo5ynuZC8eip1fwKXcZEUa6YQWSDWQlB7Flrd/VGMWempSi09RBEd77d/zt6TM/Y1wS1wlu4m
UVrD+pWjQq5C9fQ0Q4C7ktNJp4hO7QEqZedzRH+Gk7Nee1x/6utwM4ghHK0Bbh9eaPNj3VbRVUkk
+SyWKD+J1vg4SVV6AD5ZP4FNgQ0qgHuIcT3905eWz28hTm6LHGH7WbqlbRmdnLnMPjGLEAd6xbub
+Nsqmyer5aIycUuSboOZJtTj2Fq6qdMkLrrQgJfefmN7lST4fLivvK3VzXtzRfRhvugd9m83aB7W
P5iiG7cRKQp/CGEIkIo62scGx7aHLpycP5Qm0y0vWTSgZE34bpY71QWEi3VaQZlxV0trguI91UjN
6lnOg8608sCJnCMLpt3tReJula+Bur+tWCU5taK0qKOg1YwpsHNANLYRd8+OU/yHYR17CiWANGnl
S2/2dgRRmDYNIFp7ioFgqk55zYfiy9tvcPdDWFXfaD/QmN9eEQgROMIOgUaHeFa5szXjnWVmOA2m
yOAOedJ6fRYf+DTt7eFL4Aa+w/W01QkBnKRMFgK5gT5HLb1BtcIclt3MQkjDbz/e7lKrqATxjX9s
i5GK8JmjX4Z+NAw8b54zzDZaubiFyLcd5Ovr69h+3oA6EOmGQHIP7GaCJiq5oVZDoDW/9L0tI7nS
Z2dEVFO/6Mf0OwWY8a2Lpv/QkgacaJJ8gmRZ2Ryvg9k4IaCDWDRRPK6dS4Xklm8l/XwwgNgLXxRY
tEtIp9fZ2etVUOhXRsPmUwd4jBaIkORbpqrZwR2g7B1ICsdViQArJlh/r5exeoVxq4NkmSSMJXKR
qGpA0XbDrLgm/kXiGlqL9i8DMgapYlGm2hftPIhLkS/G2reahtplEtA5vuVYwGnXsxG7Vb4Uv+Ry
Ee2J9qZ6NAraO2ariDJ1DZ0UUtjXP1pVl3jCrUu6lYM8B4st8p9OqWon05qU//DBWkD3meIhSniH
JkQnS4xyndPQqArbX2FUbmLK/aXuyuGcZXPpFlWVHnDN9l7Ki+0b2m106e3NCQPZ6MRCBm4mheOA
9qOCBSZGEKfMkD6Z9gxdAUrWf/h0VzK8SXlKk27bmXJUeDQqnuWBpUT6l6wSiYcSt/g5W8v3t4PE
zpfrvDS9WYWqdHuyi3RR6jYF5iaVKCUxTtDFg5ZEyjPGaA72kkZUfDE7vV4uQEuPCp+dz4ralABP
J5JOzzZCWSnmRzjARoExAb51FSGD2UQBVz7Yzt116IHRCVtxJtvOhV6FZty0Bix5kdWjOxijdR6x
bf/x/r1c7QHB7snkV9u9jAuUJBZ9oImJUlLAsBlRqxkwKPPeMEB2vvOcCJoglh9H5f7eA9JaJJ91
wLndtWZUhl1mG9JmFX0xfGag1UA3EUeX8l7GQz2MfjkCNBbf4CYMhviiWHMDZTWOV0nWJWla24es
sGrs1vNCG3Msa+tUpE4RulBTxonubTwyLFm03vI0UWr1QTK79+QrkRYMA2jNu2Z2ZU+RkVaw7wtd
np9bug8wAqaj7Hz3ySnwKBZWMCjP/zrIGTkCiTVklRvsCOU60ZkO8Myq/MiE4qHlkgoetIieQd9M
rhP3w03unMbvR7s56Lbs/pJ19o5tAhDDO5rdaPTSwEdr33IJJRO/iIEwwAs3ksYvzdkyr0gQ9Yg4
yg2O0yqFyqlGpEWcNaAGtptJ5pge/KSdC8ABTQ90Za1F7xRJDKCVYjay8JbNSX4WoHQetXRSzit4
8D+8bTBpq9oFAP47XeBiqULExRLOuSXHJ6Nr0pM0NUcEpJ36GulE9JRJJxA23N5o01yGWtvgS2Fm
IKjipo6ug6xkQIBE6NdL+vPtsLG3fyDf2DqVbv0dQ8+hmK7yanXmNaH4ywJpiLoccJAZsvz9d9nq
47fCjFZy8bZzQH+iQZsqkhAxS8JLq7Wp5OqmqB+HdjE0MtFY0dzMiJc/3n7EnTuUNJuoSGqC0tIW
Z1khpt7hnkqphA/DRfSSCGxrjh7C1Mb6AgmCYGq1o8RE28EROBBKCAyEfMqtzc0d19DbcZkkv6+l
Uj8lNeJLXhKjxcL8o6Qcg8jZBz2e3pqbarH42Qsbqy6rASQHFTPkopczXfIhoVjztYOqkbk9LOjK
a4SY+5Md5+OneXEksCciAymqJP2UulhxpP/QXpyYrBdLkZw75I/+wpoxizz4vuK73ME8+dg6w4DL
HCCoa1oL2/IGQlh0kFLuXe+ELHRnEbMEgbSJW5YU10lT17ScpbhCVH6yssdmrp1zY6V0nou4rW6x
kznMf+rk8vZL3wvNQOht+PmE5zuF1dyARF4qDSLeqpqc+kbrLkUSHqEI9j5WR6MXArZqXWo9er91
FqqC+bo8cvVJTZpfDVnI4FQxfQ5rA4uTSssO+oov6OpNrcMl+/8X3JwqUeMxDPEA1VOrMumvt4W3
CnR/iCYAgvw/x9VnjJFyAG+uGqLzZSVMSt7e2t2HpgVIlKLfSPH6+qFxFkdHBV4aIaNuPkySI87J
Eqme1GiGGznV0aT0PkTB32GYQD5qIxn4Mmn8bZOlpk2HGM0Y/EsG3IUHHeUfWAknM8yPiqD7UPFq
KXXzaFUKwMhJV9lm2yp/LMUyeg5qSh6zO+25ZU7NHhdHUkFrh/31O+WhVulmRnarhcXmnTZk2Ew3
eadTqrKfoQMeEhDKyU7CfHBzs60+ZRHdP0dqMaDKzXeb4q6MYRClCp8o5PFt4Ze1hr1Mah8HmlbE
H+JpKR/tvqmXWwq4NTw4wXsvk+8E+QP0Ze+lsNqhHVUJJ/sgi6L8WQvbDjeVcPqYV116cF/vLUVV
iGLvC/li22qc9GjWU5EDbjWd2u9SG5MhpApObYb69dufxN5S9L+wKrNhnN3R22RR1nLUwYxN5kR6
mBUp/9VqQ+dbszZ9fXup+6+PHhi9BlKwVfhu2zfK+0KauXaAWFN7Si23haGN0TkLx8ynSbKc3l5u
J+VjvdV+bTVBI/dbf89vX59o0zmJRjRzkUq0vw6iDN1pCUEjS4VyGvp+BoFmamccGWYfo6vsscbG
ypsyRTtog9zfJrRaYB7QCQFgjjvK6x9i5mM81AM/JBy79KNTGY6nmdSmyBZYnj7Nhps0EtjvcjAO
DD12uvWvl14vm9/2AJGj3Bj6OQuaRZZbkDpt3Rkn2ciyp8VGo8+txZIMLq1nCMSFIrSgx1SgDvo8
lM8tF3PH7jXaUeDYuQ2wokHzAvFDPuE7SYOpZ4g1UJ8HaoltRFm25qWTluScDhPlXpHXD9rQpn43
DDYvTcSXtBrl/3D0V/VFHPKoce9q+FZXsKvgjARZZ1heWAr5u9L3nWfibnbwHvaOPr2e1TqZtuwd
pGSQo4YWEkSqrF7+REqhlD0bNRpfamvrS0kn4SCA7O4vCQzJKrLTeLxurgMt1tGqMKQ4CNM+P6ux
QocrmQvN7ZXQ9Cst1E+GIG5VqhJ/MBp6tlgQiYP+wd5Tk8msmF7yV2rs14cPnXq7bCPYckqT2n/L
ojM/DHNWnpHVaB90MrgjgbHdBdlfDDrBB91ROSwlTcPcIW4qNkfLKOT88yylxYM1SvGnHG3og1Rt
79Kl0EFuAYUHIugmwlRxn2k1RrdB0aNUYY0jLoPlhFFd2aczpe0Q+iLVtc9vB7bdpwTdseI/X9r8
r7c1jsj80wHNIeEM0/epjju3lOL0eTRChrVRctSl3rvlGdW8cGOgNm1vWbURhdyVdhxYjYn73ohU
jFIM32czNNDkLxaMA+PMm6mW3TKff739sHsnGRUnJOVhlhDPtz09Y6ho0zvYWIbMqXAXjBRELhUF
taGL1JnLucA2K1CFap0xChifaJdpn8sBK/mDcn2NlJtcR6EfC7sOUTDEnzfv2myMKc6nPgpy5tlu
jsDCl3qU5IMkY3cVqkxg3BofzRa9ZbPDdm4zK5qTRvtFZ+5bgyThnwd7unMhUafjnMWYnz7i9txq
9D2afrXIkUtpMVzaRLQRkyXpnnq5xsd5pkMQyHZs/cWXm2dgXxFNdcsBdKmb92B+XSkOF+HODofR
xTa0j7zFxHMcN4jG6Py+HFZvySrLpKNLfb0rt69hbdURRPeMv3LybCcpFEpxU28cTxrj5TGd4ta+
JH2iy9eUHKci9VS7v6JCHgzfsif5QQmz+p+o68NHs8rtwicXqN5tP7Dan5NFIfgOsOyujTnCw8hL
QwJUJkXjeWo67RyDpf+l5pX8aSqXIyG8vaNC5kJDEZ2Eldf9OgxwVCxpQOQ5UOGlB4YaIj7Uw6H9
+PZh2eHHoc1PAgVKiWrxbh6G3o8U0wWLgiJPc9uFJBf/E4em/q1d1IaTUISoGUJNiv5Re0uZnqRZ
K65oFonBW2C/ts/aXGXWSS3WmgR65/Q9tkwQArWtSvbVMnJbICo0zH+B8rd+iCHt5Isy8cX7pp02
CB8sRfGlskMMRV1mOnZ3HVEUc05VX+H3ZkBDtd0F84nxPE5INFznzp4Xd9ar6gF0nxO546BkX8q5
Vs0nOU77mjZsH4mLClbib4v/SPa/LoafDrRWRNaprUmRTvBlmujLwU7uHF3yXxUvRmBzd5HMUpes
WuYOhq48awHobfN5bNvy+vYqO3cSc0MCJtGK5tg2Tg1OUiEAwNylTiv5QdRj82CWSRvkS1Y8wz78
5lSh8tfba+4UEZRFhBJwIYwTtxPubqhbtag4+ugs1N5U6MWtYQbswyBJDgLAzuUHdADSMbN0JIO3
oYtLP82bBdDQ3FQ/a8ceeKfZ/AWzD+dDGDllf5Ak7qwHb4eewXoBMvReQ+lvCfQc2hGgkgKIQKjN
EChXyMC5ySUaVpGkicmDbimn397ez71FGUqsKRMF591sEJfevJn7Ibx1iaScllH9YcVL65pzjTRj
vRxZQuy8Pvgb7CXMUQLrtkvfWEkLQYn5RC+qkXw7WqM3f9vQvSrR0oM3uBO3AHPSueWefMkNX+9o
pGt1JDcr/qNqUIiQMcUDM6gdXKQ7W4hkJzhY1EVWMPc2AdYhYdcm41UhM0Q5NyrdiS/m6MRAoB2x
VKdaVJHpv/3edjbyBSFErUm7FmzE60fDMNZoUROUbs2oN2geLtI5q1PGgxS7B7u4sxRzFaAQKxeC
Acvm+fJ2TmNEywCsNEN1tihfn4ZaiwuvyQ8Dl7rzytY0l+JlFRe7639DATUlddHywEJ3uTwNoQId
01xkY3ANYxCmm1BG/hS9lfydFEVfuLoyTBk0rVz/N8vS5omIWy++JmAun+pMReN5imL7rM+28gdc
Htv0YqdWHYhXPRwhaezaH8qgyr80OzIxTKnS8YuNm9aRO/nec5FkqXT2aenctVr1qadDMElZUCeO
QOx+rv0QK5GDiLy3yktvha4H1qvbz0vnJjKmiBrc0Jf8Wo9I3DjafNQL21sFVCOsMBJU0o/1Xvg9
UEVKlNjakAcgAbvHBF6W11bdkbni0SqbcNg3LDOqbR4kBlACbTLjs2o28n843Gs4WnkHpDjb+wR4
Pkx2yCVBXciSN2r0i5i/VWcdcOpBnFh/8Ot8EqwAQQIx3P8nbvV620CNTG27pFmghFEiPKoJcQrN
wv48KGYR+dpoWGeUf6+alcUHRfr9J0yWT9v0pXOJ3crmE3bIC0150rNgKfUSY6dEdjV9mINY6ueD
4mXvKUEtMsCyVqDtFhcWIz5XUnXngRZDcrvEbdr2Z2FNduTlJQT6n6o1oFegF1oYdNMMAfftwLi7
PnNmSM9kkpDXXu9yIrKRSTS73NVG+aAvY/RM/1R27daIr0U8pc/Q2OQzjLL2YOXdTUbUCkw/RcMd
r7tTrS4BJ87Ki6wsHh7x9g8Dxmfk2mp9dG7vvw5Ugfj8MJhhybs8qBzrvG9R8g8SyNh4zM/xI8y8
/vL2Zt5neDAGgCARt+D333mHpFo5MuctIUwjqVei3jcZhY8OQVu5Q9gQW5u4C59MGi9HQ6OdlupK
VkAPBPU6ksvtORJyVPatlhVBhQTFt7AS01Oep6Z8KlAL+xl3xvCpa0vLR2G/f8g0Kcq8rMyr3DVt
XMX+w6ulbQerGgzNPZk+AlGdoqmR09usvzZxYd1iI1Z9WMfx1/fvOGCJFSW65oFb2SdQxmrXm3ER
gEzP0RZ25E8zlHXXyev2q3D68myBgjwYOu90PhDYQflpHQQgI7iND+3Q0LstoiIoh6o+z2aExoRi
TB9HOs1+b6m/5qZ3LpnoEGXM2/JEz+NoFrx3oHnTnDT6JmvdsvlupTFEr8DKAkGD/NI3tual4HoP
wv3uk4JKAEoKEuV+4izpdqTIoZEFkyPyTxidDo4rq5OTurlSxyvKfJwfqy6KT7aZFJVb1ub4bcHB
8AicfJ81roDW1cYewLV9Fy1CdYSujs1dgKdKtri1Zo0/6gzaJ9KZU3Qqley/fMxMzwjKClDoOxqQ
6NES7skLVgox7jk2l+vD2DL097IxNBu3z5Ih84Q6COPg89l7t7+vvP75bwkD7W98jdo0D+xKWp71
sTEDzIvFQed7dxWqXVoUzOlAP79eZaJBGhVNyKttHaMMIAGG6JwmUe/4b3+ju68O0AkiT4D/7kR9
Y3mk2nC44kJdbc6G9gslqh8Yfale6SDd/PZiOyGYaEAcpAe7lobq66fqO3mKrExLg2xU1fQrc5Ls
TxXHDPVDZlrhBSOE6ibL/XR9e9mdZ4Tax0iLuAAveNvy6fRZZ0ptoPne9iCgh4XqwAtTWmCJmrUP
atkPB92f+94v4qUIQ6Jgi3bgneA7sM6hTgS9ZrMc6a67YzOqzaMtdRKoWLsaPi+yOmjnpkzy+H8t
ilTduRijTv/6/gcHLLsKF9Lev3u5KCqpGUsngQ0g+glKa+XXqhiAyVXRY2z1R6JQO3MznhsgPXrU
8N3vuEIDAZHRCMozttZjkhWHtT8ks/4o7KW7CMvEOiTOkFya1dbDK0d4WOE+ZFKkfCetGw5e+95p
W+9d0FUreGt76yLS3us6jZ2gijM6mnmvS8XZaJ35D9S5En/o9fbm1Er0fulB8M7wpcAvrECrbe8j
QsUtzAqmVlEUFr6+lLkv7LNSAPdPhsehcz5qqVUeXHs7AYMkFUOatTdwP5AGKASCYXAYlckh8i11
Zz07S3XEBdtJC1kFFcBVQmFVzXv9AceOWjgUSgieGlLiQc4Q50WZQ38u8Kx9++zuLQVRbz1FKzZ5
29IvAbRU1oKIk7OM8J+aTuD6lHVOiJrzgIPk26vthQgoShBsaPCviPbXD9ZIsIzbWEqDQp5waktA
t3QACK7OkvxYwFW9P+pSn9EeA4xEd2Cbo0TpUumJUNNAbYvmxpjb9stRa2+UiNkpDY32IPfd20ya
cGs7mor9DhFXIiLSqxLrDWMbB/EYLqcOVR2/Ql7o9PZO7i61IjOZ2O9QTnJlmqUEmfRAKkhK6qVU
T9nUKn92+DAd7OL9mYdQpq69dVQ+iXKb09i2keOk9ZQFqNKTX1J5ntQOOuTbD7STZrGMjr0MN8hO
zwgIvsnBV1kGgWEPm9nsspYzp9qJbGj9mv0R+bDmYiFp6krKpPumLsTBzXl/oay/wcLxi8oe1b1N
RjmlHVJCMxmlYfQcGKL4dRqk+THlfXtj7UyGSzyvXFy/0NaZ0yMu9Prff13vsz5ag6jTcmLv2uNy
F5koDNrkI2orUtc0xUNmt+IUMd/zepA/7lAv86fOypKDL3P3JfNh0kLDu53z+PrL7JS2R2a9YPeL
uDstyKZf2lLX3n1qXxrjTEtXoAlsj9erACctkyZDyGqKpdCr+FveKBTLj1ohHQS2va1UkLhkHkrm
egfuXnn0ktPVLBV21XW0rO7cGVPtWvLiwJua5DMoyvFsdK1xxNHaEUjhMamzVaoyGD/biqxt9E6R
aGMEzVBan6ZKT38WgwH6d51EDBdak5hz5LGUPDF5q5ur01nJiYug982pTb62SwzWBHHHd7d0+FmM
XQAckVrf4TwibRhKSTPICyOzmUFupeHnBVnI1peEADT89ge9d6JgFQAfR4cBguHmRE1RnVvYRadB
iHi25qKPZX9t7K59vwQgT8XHCiB2JVltz1RiMXhfkiql6u/FcE6RdPxmIw48oNdhTw9VV1DbQ07O
IxQJtfCgglCVnU8W5SH0ZoFs3kvpW/qQ151TpMGyLE32WS26Cc0yLVoiX1mVB/8spnpAyqlUErTF
xnRUZ18Dyaa5qoL4m5vYeh3ji5CWlSslIAP9yWjt9povS/tXN6k1lIy+HtBznEPzXBfzlFxledBC
d5n1WDsIgPfXCspsK+eCcoizu+1tGqjeFlWZpYGQ1SIosmnyO9vIr92iHZ2P3YAPdpzPBCUdWmCb
YKuGjtK0w5AGMWCqD9WgayiVoVJ1mtFnOyVNMj3ZxoicEwS3f+0uBpGnYJv0/lOKhhGSdHD0mDNt
IlLaJX1kGAjIgjPsnqdlkDyrKKyDuLf3LZCj4kXHFJ68cdNMRZI4Ljsb2EKRNcPNsIR0RTPMPmoQ
7L091kAIk5eHHsdmR5fBHirk5piuCsX0YzkxvbaDsenkkXXAyr7P5GhAgIxD5wsY+p3iFkF7hJgy
kuUsdfekIBCPZTsty2lQBn/R7Nl/+z3tnhawkkzN6HPRxdlsYZ9NaC+uTkz5osk/UAOah1NnlYP+
kCtWqfiCZnjj5qgL5q5TZpX1MelL+4OcdVCY3v4te9uMJu/a5iQhuqs86NlGkj0j6R5DEvJtXYRB
nDrWOcWh7uCxd5eihmfGy3dyp5qogyKBDAqstwIrOPhKLrfK04jOl4d5C3Pftx9s76VSV9I65YXe
g0RirFFkS8ooqTqj9CYgTQ9RCvbASUL9JyDMI3jv7ksFHwLTiHoHSerNHaHWKKrTcsP5JhzV3EXj
MH/QOl2vr+gcL5k3VnQPUKeKvs5lnDanOhTRNZtq7ag/s7PPiCuvzX/0zHTyr9eJScuujBp6XbRM
lskrlAVHGeBW6XUox+bgythdi+BKfcAoFobD67XUvOdV40UTAG9Wr6aTipNjwafLFEgob7/QnbjD
qJd+E6swQt/ubzQKPYZGzPFBK/BSFG19DuXwiI+ydweS62AsSjeGq/DlNf/WrNPmCdouBIrARK1V
dxGknH7iK6X8DbDJftaUssKqYwzV8qGvhprLEO/B6R+01lPnhFp7/a1zZrk/6cj3XyvRRbI/1umY
Ka6mzNiiKjqq1V5K5S1czE2yFcBjWyd9rnPn/Z82EBiKYWpvdFG2mRue40yYUS8OJFPDkrexFTcv
ouyamblx8GnvfGwsRejk2gGDuq01iiHRBnVM8qBCX/xJkfrO9gR0pO9JL01nTQ9n5eDz3jt4UFwg
DZESg/leT8tvrynuFtQ6CrJvXCrmp77V7UsjRR2iib1zUE7sZN+4eAA6Jf8Fk7l9uHqulgFaH1Mg
O0o+SqWT3haRmdWFzdefoMxZ/8fZmSzHibRt+4iIYB62QFVJWJJlWx43hNv9mimZZ47+u/D/LyyK
KEK90aajnQVkPvkM9xAw16yxo4RnePAN9zY9RQx5DCgjcv/1xf/1mGhJAd3IWTtBx+M0A8Y8dUbS
HTzh3stclbG40gmX3LevVym1QQm7dZrm1HltusCaDDTapfS3uejpQV9hb6uAIwXbTs10TbpCUzNF
5r4T+LSZ6SlR4+rdJEUfK3Uo/cKyxwNtoL3lgFGsqTukAHbM60cbER+qRuB0QVHmut9y23yJeujN
kj5kl1wzjgZYe6+SljE5GJpRDNY3aYuRZFaj67kIFnTp/UwdQ58tWfiFJr19ZIRPAO0gWodw/K8w
MNQraKmA0grkcAjfKdVQn9IoPxoo7z4QYg8MTQBJXakcAq/ue92mzdXNkeVN9GafysrR3QV93s+3
I/x195UHgooDgZue+1WrMBtK0FGVyAK76ZazRFxkBhbb74HO5pe2bbN7UYfym7ugLIqcBfkycfIK
oVuA4KvrKCOQ1KTKRqQM3GXVv7efbG8XQkqhL0mmxdhrffK/j3GOZboKZTbQQPFCQW/c0qnnczQP
tS8pxcF7PFptswf1umi5FlDBHsrEeKhE/jOts+y54+h5VTtnp9sPt7dDALORq9PmQWt9s5yjzvAq
iigL5gGeQQ/kwJNi2KdRyQm4vdTukwFKBqqHQuxVCokP74KgMZtRlyTnnGiquFPbqPOSNJFPTTwN
59vr7YVf9j1sdlDG17Q7TV0cq7BpvDiZIs6k8lUQrqrKt1fZe4HkTohbcE1fz7gqHStfpy8RgbMH
52RAwz3NdCrvol5t/sO3YsJAhcq4hSRx861sWsZiNAmHUaom5zJMYs2XpmU6If485AeL7X0tC0ld
Bjt0ya6arWW0WE2kEQulWIakqMSjl1gIOcsL8zqrbI8QKHvxA9QNyFRIgwDo1t/z1ykDdQLzpOAa
m528+NzkXesioJuck6qVP6Mvs5zURDqCre4sSpLIDUMlzNfbZlnsw7zJ1j45L6ANSoFqsis6s/Nm
s4s8U8oxM+6b9tvtLbO7KjFyVYbi4t6qNEmWCsfUWtKgLbA6TKigL4IR0Vk0sfUOmZ7ivCyl8vZ9
ugp2Mps0lLVXv6lwqsFZhiptWHRus6e+WOKPqZJkfq5O+gFYbOdIUPfTDINfRG2x/ZSqFevOEOJL
OFmxYp9DU9Tvowzk5H1pUtoclBY7G5V4smI/YEWuKhqvN86Em4fQ4pB6PBPWjzquw8vQ1+3FSEap
dZm1jgeXzt7nYwhBibbKa1/BjnmJSzEMWDxCi5O8JMFLRNXj6E6L1eFcAI/3dBkr7Nt7Zj3bm4b8
Wg6sY90/CdHm86m13Q8mNu1BXSjVs6VMT5Sx5jmx8OW04jq5zFExXSbMul5uL7z3MVmT8gDpu+u+
lFI0fQbwhEYcwl6ph18P0r/5CItpMM3wP3zLFbRO25+4fdWemlVSBtThk0Azy7jz0MivWq/Sqphm
WAml6tkuuOgP7qWde4ILkHsdxXbQCtusD8/ZfM14ocOtsxbTKcSjjQfXwQfcWwUdMQosMj5i+OYD
pmYNLaqj513nRuVn89purIbiIGrvQM84b4z8LIg/FFbbh0kjMVZIZwPkU0givIG675tTV9JzwzFM
vQzVisJti7qoXAUmkB9FuhH7SwLQRLa07qDDsP9zVnDqSpperdBeH07ICWUOgpH0QgPrEQ1l7hX4
ZzwoS2F+xSW8+lagU453lJTfCeZufp/V3WM0oRp5exvv/xI6q6ua2w5lLHYmwclVKKhFZjTePOnJ
g5FKCVvaFE7QhlH31CiNfp5LY36PcrP8GDd4yuOi072d5wpIQ3bYDsyf0TzavBWsgc2lKOn1Nln8
S6A5Q9WWti6iq+plTKX6P2w9si4iP2H/GicciRYIimGSUirp8tGw6ux9DFTh4OzuBAqNzF/B1WEV
y9s2sBHfMOcI3fQA8Nl4ajX719zG3ZlUuTq4X3ZiIYx/ggTHaOVtr0ft71RhCO3JKmTI+E1Z/dTj
Mp3uc7sVTzLshcpt47wA81JjetHbkyldbu+kvdVp/CLvilYTgPVNohItdtUK2hWBRO+VATBwm7Ru
y7PSTPFdVuvmpcF34KQSyA6+494bpg3JTJ9AzN26/rK/nruPImWeRU6rW87mU2pJth9bYXahU1Ue
xJGd+TPgAeARUPEJidsdipILUbgdoyBb2i6Q5a7BRiTPvbyNphcLDX+3wC7tYsV4RboMWd/OEqQA
Xy8BbhwC83bUj23EiHk3n3geshMMleW8dAs8m65NfL7swYvdudGJmPxMqAe0ebdoEDzPSzQYm/C+
SB3UmCRjeLCtePYauZn9jLntKR7l6OX2PtphDK4MSDSdQQ9QVm6blS2ZdxkJbgQZ15DptEQWU2Fz
MfP8tNQlDi8DaDHUq7WsVOANj+bH1OhiKPiGGQ7eZFXKV0WJsC2w7fG3PMai9tUMKwavqXPpIavC
SMCzVhGobXC/si7DMkUfEmXqdNyEuupdWGaL7CLLEaXnrmnLb3pTKvOFWioTLkP47ifjojo+M+xq
vmBRm+h8dBRT/Vk4iX1XGOac+LkSlc8F9MDe75GGFL9oj1PcoeWwnJau16O7qS4j5auqdvML/rPt
EVJi5ziiGAs1hfEuL3M7dc2QTITgmMSBIcL6kuPUcB56dPCEVKX/SysGMnNYxJBxEvnu9gfc2TXQ
EWjgoFhH5rkdG8ahUjfFyJBLreIywFcS9uYU9x/oeqCPMUQNgqjZEXZ+52CSv8Ojx1YEtPM2t64F
ljm9Azsy76Pq5CxC9jPksr/WqiZQ6RHVZYqKwWst8GfDVPbfbz/zThZDt2A1LQTGtIInXoeg0hrS
DFooCRpC5PdtYiVnWSzNgRLI3ip0WgDxkcfg1LAJ8FWOR5YzZ+uIbSgjFx/fwS9FMR20F/eXYRyx
tiNgnG5TsnbheohBLxrjUuRuPkf5zyIuj5wtdgoUtI0I2AS0Pxnm63cWrTo17HzsHmPHeKxs/IiS
VlPdFsEEvxyXo3n27mORzKIfA2mHTfJ6PW3EKcopSKKLTqqC1O7Ep0kMR7OW/VUc5qAOdzF/Xq+C
sL/RR1z19PtQ+fejWTa8KBOJ+va0Ar9jYJ3cd2ThW/SGlUJjB4mEeNGod5E7KCX1Vmm10JZHCZD7
2/c3K9EtglYlA055/VRxqahpXoOZEwX2Z00FIjtuDoUG92IWLBtYwKRloFI2q5hd31c1CKRAjzTp
ieNk+Snibg+LnbUoW06WT0QpPEWZ3i6y/ceaCt6NihLHVQtpkRy4YhmwUWVhgDmXMrZ0i9R/gDX4
7fab3ElWmJCvqGA4GYwyN7twjG1tavI8CSKzGr6XRlHzZEn7MgGUPvhoewdsVdqHCsxQ6crZPHUG
zU46PJ3x/2QO0ThBpwrhmcXypYu7r7efa3cxvhn94HXbb3MFCPe2pGU6Zt991D06RhK7eS/b5wp3
7tPEuziYle2cs/WxEBeghU+Te7NXkkVXxaiVSNTk6XwmkZjvF7ik/u2n2vlarEI+S+4G3W6bWiad
GKdZmTDjVpPl/dTihmMyDXzo2/EIxbmz+U0wNmSWnLDrZMuU8Q7CACUOGLQ4epDKmUh9c+mbu9KW
HANvQTO9NGzSL069mAchf+85gY5C2mCmRF26ub8KrcQ3Bp+hYBpFk/nhmCufwnRMK1+O1fl8+6Xu
1ZzgCUCmMOWkqbk9A5KIwsKszSIQaBielFkL/UyehJtanXQeLDW8SxTnhUIRD2SjcCAlK7Fv99nB
UdzZsqsbG/4PXD+MCtf//lfdgNZ8HTbpkAdCLaP7AiUcbwKrfjZyhyRtSI9ylJ0vvJII1wC3Yoy2
j63KpaTXiVUEozbJDdIiSfxNniS19S0lnMlcEvN9m8WJP0NI/Pf2O985LoD8gI6AVWG8tr0uanvk
Mg/1PGhzIH584NB4jmSrO9JQ2kn+AKeR9wH8x7hky2FX86UzJFiagRiHCGXiAWos9/GpaAH51Uh6
e23T5nf/4eHoOIL5Qej0qvCN0go9tEYpAj2U23e53uT3zZjWB+X13qNRk8CCpQ0H3mf9vH9tF3Co
epVJcxEwGTJ+tcOi3oWKlX13qlKDTRMh5YT2cHaEWd/7cutImcaIAfh4q4sLTAX4YhgXdMWz/pQ1
VoLopjoewMV2AgCTHmgGTISQcNj2x0Ia31CPRBnIWlXKLjAe7XuTtuWALWV0aGq2cxJoSHPy6E0r
GK9sgnfdkaENUshJCE2nv7OtsX1k2jJ8ax0lLnxLAzrp4bPbK+Av56k0Lrc3zB4AmB8AEYrRJQXD
tkbRQyVj19hMcZYJcsrS65nsghNrfraxk2LEVxvVcjcQNmLXyqL8Xw3X+i9L3E7/1J1qp/SWu0hx
JbjW4cGtvfMluLE5Qgogrx3IFf7xaAia/LQILVU5suezpQn9jspHPngNOwGQFIQJ+J+odEUIk4Dw
m/TABLlcXfnGUg4PmCP2WKOt1utQrg+C0O5rJ9IShIB+XDuSS4aIYBeD/OidsHtqU9N4Jvev7TNu
q7N9TiZZWvAPnDLZb5F8NgNNmM0n1FZRcbd6KZXvlzzT7sDgI2d5e0vsvXaqnbUdCC0Ng+3Xp1uq
4rFUJnZEmRr5LymZ4bZLSHyEo6G/HebNG18vgNVG8Kr5K6m2mMg30CfQkt9GqDsPdtMPZ43mw+e3
PxSzLWgotCBX66rXDzXBGAoT1RBBNmelP8tJQnWFwFyuztZBPfKnxN1MYpiUr2BTivDrFBqXTWOO
kzoPOhGmP8aiWT50o1hCd8yc7F4ZHf1i0oExXT3N0d6xS+M0drRv3nx8HAILIzabAvkaq5IqheSk
pZYHtaaMugezsM98sG4rqG1WmyOZ0Ott49CsJ4NYy72V7Pf6DZdZP9hyDLrcWsNmmc3iy2yaPxF6
1d58ybESE0ryUYiwV83xgVu9CBGfD1QctFxDDpf7uhRH+JvrS45V0GFC1RKH3KvASJt81AY7YTCB
/u5n9ol8RxKX/dLA21muHJv9aZDRmD/4ateRCDgYrk4EPnB9Vz2jjDs7rdMJUcLFFJ9QAlZhNJft
kznrdXQZtERRz7ePxvW1yooUs/Tk4QVcwZWtsqFAM/QkGJMIp+2xy32pspSDCLv3OtkVsCxWHMRV
2qWVBLuWcX3Q1iK6a8pSOc15bz8leKudKQW6T6uc59uPImN7hHL/FH782WQqcUKhoixUs0laqG4W
cvQWp489GoXzpwZl298j09J7pW/EGRHCyK3gjBcHn3TvBRPlACKt0xySwtcno7L1kXfCMIdOen4J
Yyd8R/Jy1Aa57vsxNIQXSafKBKG8DdvgO2YF64c0qCRp7i9zojt3Epf3S6Si5XdWu0GW4b/H4iMA
3KT3mKQ2z2/fSSAM6bSq7CTizusHRbYv6nI1hjsQDtG9pkmKPyKWe9D72zshHE0wm/SvDPKj16v0
vOS+w6AmUO1o8eZ86p+zRkUPPYr+SQVgl9sPtRfXCOYmPSyAw1cIuQIVF5x5oA/ICsFNajQNV5rY
vu+QHTvYKHtnBBdHZUXIreXYZqMMuaqx/Syg3bGo/N4xgJijRQrDxDLjVWW5i+6WYu6/3H7CHZI2
XRHIuytHmWt/W/P2s1SNcknBHRn1FHo2QBtvmkL5IQLy+tvI26bz4MwrFyPKZselVtTDU70s9ns8
tyTGO0Vk/7r9m/bOzPpxVwYuWfG2Is1RQLSbeYiDdky0f7LILp714T8Yuq7XNF0oIJZAqLe1oGRL
MDUaRgO20YWBNSLD4qjD/Gg28pFk/p+B2OusgA+LBB4BkHHVFZ6TWhjJKYfAnmaJwMwVNYeHOh/z
2V20ugWjkUXYpEUWsl7nlCv0BTfBPPqnicoY9ojafh3Mqn8vd13e+J1ZD9rFttjytOi6xXSXuNQV
FwlHjRnMBCr2bHeOccIxp2ovUi9Xp6q1dUE7oU6+dZozzp7WDswBlGkBveUoSWl5C3hdzZ0UqR0O
ov/O51wlu+iXokR1LZSK6DS5ngSCYiqdF6UX5qNAmP2gLN05qSzCHsbng1i4jYCRJtQu67QkgFzU
+fiFMxNQl/qdMYzywZ25E4MA54IJWT/lddWkxlk11yvmRR9lBU35ZXw/dmr8aC2L+rOQp+EgMuyu
t8462ac7Ql6DVSCZb3FHSwKRxCQxv6HDKe4GupfvUfC1D+7Nvc+FLgd1IbXUNUtCqpwBdYwYnbpG
7pnPKdMJhnp3sMre9+J50CKm03bd5K6jRWlLmJfBNIv0ndKblV9KquJBDasOivo1cm4O3yoZTgKw
SodzQ72+M0r0GHEhAeAQN8b8K0Nr0uuZ399Nvei9SrLTBwunqOcuPTSt2nlIVBOpp9apPO189fXK
SqcwXNQQJ3NoAxlndD2zpyRPm+8ilboft4Pmzi4BpEQfAcYXr3SrMmQ22oy08konkOfkjI1D2Xm9
zsy4yFqpcZtCVw8KuG0DkxYeNSxpMsImwN3MbScvmTBoY4xsB5b7PnI/fn14+vThaDy2yWyu1liv
zb/aTc486BUjZzvI3G8/XiL3IXQPIse2HL9aYnPzzmaV14vDEu3pw7fHl+fUf16877J79Cjb2vBq
ofVZ/3qWWm/EbMws9M5xFf8l9nmY3D/Kew/emLEygf9aBbrR/3+c5fz+veNdnhr3iIZ2tMRmX9dM
84ZQ8OFz90fsvXTuk+oePcZOGML2mZqdqR70ze31nGnaUkxJlQdLLJWeORTaZXU0Ot0+NXsnFLIK
za91rnHlf2VKBozXJcmDptWZn0RxEmADbXpAHo+EYPaWIkOHJED2yiRmE4ZQVesdbGzzAJW35Sd+
lVHoMe41vyUwQP+9/Vg7ySRyQ0C6DGbxpJObtQaufj01sOMt1VE8KtM4N16Yt+qnJFSTwp1UpUSL
txQHN/3+srRoMSJUmCCu3/Svrdev3PdqBqXd2FPRuz2XVuUOsTBO8aRLhtegiRfM8ugcmTnuvVtm
fGCKYSlQA22edyYG/z+S2jj1pp/gXvlSaPjq5pOsfrz9aveWWlv6TG1Wrus2T5cyQ52y3CLR6AoD
PSPsC1yr0sUpHzXANLcX27u6yGbAeIPsutY0GTHgnnMTtxd5NMyvrZgU1JO11ro3RWPcp0ul3Slw
0x7TItWPKOd7D8oAA/IfL1W3VO31x9TBZc96R85q2JCqylpfTnKd1OcksaODm2Tv7vp7qc2+Ef0o
ompSwCTYeXouUrs9j+QmvxctwdGqjsO3D/LB1+NZ+ae1vFJ3Xj+bJrV1lRR4XPTK+DvRh/BBtMkR
FJAshn9mk3msaRTbhcYjnd5NnERmJ2GIBSQvrGJDf8kpnpfSRYtBgvXdq/JZLElruWGoZp2HVJPR
ezH+EDRjoC1h7FMUuWcpvTRfzNo2K2+ODPkDHkraV6vNI8uFt5U2uFXkk+HLumjN53nJmt8ZBLjU
te3GeYkyoyjuHBMxk4tm10p0auOibF0J+fdAKIrU+U6ehbIXF9P425QLG3+f0pa/KWbhqH4EBvfD
MIzhx2wwl/Y05mpR+aY6YQ/gpNHwIE1O251rJ9W+2YU0Db6e9VHtFUJbcl9wIzp+a9RD72LRLEnY
2C7L06RqlXlfjT1MilGC0OE5kKh/GS1ti48hfVxiRmhmykWtmhZy7bwwBRgQNPTmpMyE14WSNbmz
0QH4WADF4rg550X7BJ0NH+ta2KIidy2nf3LkLNFPp3MJ7qmIpi9TNGWfiVLW8r51LKaeLkwSYfyL
lOmE0EirxN/btE7G+7zSnUs+wEi6l9SxjU7UikrqaZlsi1Moi8w8yXmk41GiR6pGXEs0ySu1NHla
QKMIHyex9n9Ej8l8p4opUU+RJDWg7sa0GD6nMyW0v9h6XjwvZd1+qtLafES8McrdxRyn5pmUJK5c
0ZjLN9vInF+jucxnZ8Ihze0TZKTuJMVsrEsh1zn6meMwPPVZoWaPYzsOowu7ObJ9uhYjxWNuZJG/
5APM5MwZ9eVOxnkxciOZW++ECYQlfGXu9carRhPfzIrOZ3uXyYOSu5Goat1vOid5V8xj22Mrnznf
ULgbba+bCuNz7Rht4VpAwexHVRrHwKiUUaBbDaPck7loprshLucaURE71xPMc9pccTsHXh40smrs
fAH6rr5XstjE2Y3LonbtIer+rXVEJN1QSGaNGSJ4Bq+t51x+V3WL8aWXwhh4oZEWnugLJDvNDASE
O4OhjJ4HWhWtm9tmLX0ppkY1vQjyfiBV7fJJS7FQeC4wcV5cKoJ0YFOSX95PSd18HubW6Fy96rSv
Va0uyhkZX7P8jeGpmnsqVi1H+c1OeAWOiBQMvUH+bmHKUzq1ixhrZLNrp/wwxdOMQWU4UrU22fn2
LbK/FNIhINuJeVuQSDoUReTI8CDDEbpqXkQL7IzKOKtSeOTStQbObcQj3WByioDPNUUjiRewnnbB
uLse639Xs7JfSs+g8O0PtEoDE8JXyaRtUzVKkLaDy0DxqA3sq2aZUsez7dT4uarnLm+/hFHEBBjB
LUxDeXtZ6F2lzU5B/ZghVPDgJNp4GZiPTxdTm8iraieZ7vWhUE6lrEz/ZZtg/E1XkGE7GJxNw7Oo
wR7SIUsDo8U5M+/0RnZV1r0vpK57uxgwGCJgEcgSg9y7QhMVZiJ38UIbWVWQPMhUzpDdTZcWL5aD
d7qTKa41I3Az6DwMWTaPVWVTBJsakpvR59ozJIfwxakd+1dO3/NT3Sr/NlM1H6x5dQxWchvyeqSH
pPpXLhRtZo9WDTsLq7I58doVx1wlUnqaJeOf2/tzUx+tG4XkG6gUbRS4/dvCeGJkKhujlQdmq4rv
9uTkHyKtM8FzOmn3rUL7+NJnbcm9M09f4EKk1en2D/iDa351DldgLFclGxZX5Ku6RjUls0TwF7hE
KtLRX9vx7+bGaf9Z9ML+nxnr3FdybmeqmzdN8ZiZTWw/znqlSX4XS7Y4h5NIvsthIQMIGGmb3P59
V4nR+vMw84PnwuT96gBjCDvrmOHmQRw2hVeoGvdIu4yaLyrn5xBZ2sm2J+GFYXFEz7tKNVmZSgHu
wgpQRgT2deZXKkk8RnWfU4aE00nSivwkqmq4GJm1PKiJMR9173Z2HRMZJLaBLFM1bPcCwtZ1WMcs
WOCZHZSzPBG1qo8QnsRBI+NPHN9+dDjaFCaMuWk4bxoZeCrN4L8t5tzqEg6uOkbwASZ1NCJf17qG
ezGs7dIlY1k5u3VRI5g8p80PNUvLDzIWYS+qkeizv8zoLdwNPVLsbpEYbXynObX1OW9bc8RmpMp+
AEYR34UagoybJx7vNKilspzGWlt+FZOElGw1hEBnkPNVBMaMTaN+IaT0nZu2yzR8aGL6wCerhbLM
DBf9Bpe0x6RlCwb0ex1FxuRSDliJh39t6rgEg6FzoxJvoSduhexTg8hY6CqzPX69vTGv7i+2B6xU
JiLoK8K+VV9vj6KIzSkuME1IeNaTuYTdZyORsvv/sAo9Vobl8Luu4qxspXirySIPZNGpXCOJ9Njk
9ZFm6rY/9ycMMf3keqAIuZ49JmkqTAFiOVisMLkIEY4n8h3Zn5K05/sroRcLVX8fJ12Ch6Gx/Igb
S3s/gorwbz/vVbTnra5iTWR+UFTh2L1+q+YYyvRJQZUkmT6fsLriLpVakA+yNvmZLbEnuXsOjsNe
jGE5joKOu+0VcZOT5iwrrIkeSFT8LzLy4T6VIttyqS+tc6iX+g/Yh+ljiOT7EZ1z79CjFrXyBkC3
kAG/fmC2VsUhq4rA7OfxXSOLATRjiPHe4ByJS+8uhYQ2DXtWu9JOSqWKcm8FxiF1btM+lyJ4UEhR
TNliH+SRO5/Rlhnfo/lLU45p0uunooqItBk1qGBunfIy61kVVJllnhQGWV5Vx+U72QqLg0V3no+G
EtpDoHKZT25zvUarTTLzJQ8Qcu9+aPidXpKm73o3URfrCLep7FwP9MsQomLYsmOpSuOMCmJg0zSU
jW4zGMq92TS5W7YC6ctkll3IIOmpyXr798gg2q8SEJ2ZKbd3KRSti1Qsxj1dsG7VQl3csJaPtLJ2
cgvABHSDkAGTQbJuLrBVl0qZJu6TxLAA5yEfmhMskUA8YxxSvmA11X5bQKefpwwFMrRcxHx3+zTv
vqN1CM+RXeeZmxhZ24CpGkrtYFEz853cG8/Yn6D7Oubw8PDPOUjb9pZjakgzmKH4tXBmZdbFwjwz
DypbkT7bZYushZGja1sN4rRYczcdLLjt069xc6VJY2UKAu56JN4OVeGIvAMRHZrVEyi16JR3VYyq
l5Gl33G+Gs+i7irL0wpnfgm7dLiHSVce5Eh7G5+BDgIQ5JHX7rPqJIkm14Fw5WabvMvh1qEKPdRu
J+XJQXzefcX4spGpkosBTXx9sHMhL7WdjXlgC7M7WVHiXFDjEXdOFVnvuqWxvt/eQXuPRm9fB3YJ
3olnfL2eGk/VOJo9bOsobn+wkrF46Hrrn41haPSDz7n3cGwfDh3zTNR8Nwemx8o8wiAtQ8kL7/ZM
yZaLUqv1pUT2xuutKf4PD0edgd8qLU127frwfzXBhVJkVrjgw1FxUi5LWHwcnGk6JRjufnn7a/x7
pfXJ/1oJzJISLaRDQQeEwQd0mNH3ou+GO/FRw3Tvi1FPYLy10m2N7ZlXWzyGHIWKe26r0i1BiT6K
tsOzDG7l5//wVCsimW4o7MltsjDDqsbqGexdKhddkFgcdr+0iW8jJn/SQSdh3WmblHklBGhMDf6o
6W1eYUarTKZLlAZ9HPXeaGvzu7iyl4NUZO/trbKtpObGTl09tmaid4CtUUFftM/pEmenqTOWc7W0
R0Xu3gNR4FBuUFmtk+fXe2IQDhV1zRi4jQSaV7STA6BhR/jIndyKjUDyyjUAlmI7BMHe3UynGi87
6MCo7spt7Or23N4bgxmfYpv2bFIP7YWE8ChU7b1KMnQIQqBMr9UKclOAWeFSQ/QtTWADyfMddXjm
iSkrz7c34u6r5IYDgwQc4IoY05oTFmaxKQLSa7j0c4di62AdQWd3bxuyKfiE1MTMBzfXKert8dRa
a8kROv0pbdOFRqkcf5q1JT2TXIrURX2rO2nZQq9i7FvssK3ygPm0HYL/ufNWzhPkGC6+q4w17FGL
pfgRONV3anRK1dCc6KWn+nlIEboAsmTncM4lZBzcsnCa/lKWOXrZWYYfMNV2nrsAVfp7cu6jnuLe
ZiPm8MtoSV1TAZohSotQZQhQAMZ/N5o1QwzTkp7zpPxnDCf5p4MU4I+BkcPBzbG3AQgNFA/Uadfk
cTW0TUlzKhFM8mA+Wt2YfEUI50j4bC+r5pYHGgYbEpuYzffH6kQtsirPAyuxol95P0XfHKmbXWVC
QgGA2uQ6U1Zfbu/tvWPEI62KTyvceBtkOx2DJrtDLMzIDfkxV+a8ckPH6nQXwJ/6z+3F9j7gqi+I
74xNx2+Lvzeb1l7knMX4MRC2tWSsLqiRhOTHTaxfUJyKn6ZaHn36c+1Bqb0G8E2AX5Hw1JdIKNDx
2aAh4kpESL4SDxko6R9rRfo3m4TzG6O3mBq4H5qDUebOnnm13uZrNnGoDs46Au+EMgi3ULv5H2dR
U//2K91dBqY9LCVSmqscnPAPeTbWMtQhSulRqmHDM8Q9yGT2QhPyHitPF2CRfqXEz9eUmVtikjfE
6jDcIWNFK2mWUtM3E2EqvmSaieIaRW+qbtx0TeHi4ZQIP8fN7s3jaOTQEAcGPk75yUHZ3NSylTUE
P3LGusx/aEaGR7Xdmx6Y5vLttzXGORhsEJPxnNlOZuRQb7S0Q8a07/PyS1fadK2KEu6pmM3/kBms
HxEU1ToHuoKHDwz3tV7QiLNRMflUWZnxPk6r0LemwToo2/baQWtTkFBDU4KTv0kNMJkpJLNFs89o
9R5m06z2v/OsKv9p5Lp6mFIlPCuirZGIwKHvBEF3uFe1oldcnBK1g/27E3/YUXhBg2tE48RxXqcp
c9tUtqSQJKtmHH3tm1nxjLFsAiGi+XT7qNxeChje66VKTLSHxQGEF89h4pV9X/tIouVPkkbhfHup
nVAOKwWdTPowzoq/eb1Uq2E13a4JeZwpYJYs2C9TnCb3ztRllxrd/bs5PsJOXEcCkEuAUdmvFHDc
4K/XnNSk7tKioZU+hfj7hZHxQt0oHylOX8dRlmEz0gBa8/JtyabFkWUsDr3EYbDnUxIl2mM7SoUf
SoX5kLTtkUzF3noqwpkQztm0dGRfP5aa1aW2KLR9krhS3LZSwkd1jLMnVRtM8EvYMt3+dHuvET4x
QI0VykiG+Xq9wpycrq1hQbfhYH3qJSV76mSlPljlei9iQYatCRNfjYxmW0YlOrW8ieRGMJL6/0KR
OTxnfTw9anJ2IEN4feeyEgXoqg1AdbOtAzKdceEcA5+DsFT9Whw8uTyrk42LHU4MBVDFvTcMpk+J
jR3pwTHYe5esuRKLqHhwPXn9LsFxwGXXANWVmHbdt9OkPCRTdYRT3tshf62ibr6YHsZxPqsFO9Lo
5OdInbNzFc/z2VT67xKw+oOMaW853DtXawwywit8bdqTmKPBgJD2XHVeMUpW6mKPEr1LzL69tPw/
B+p4e1+QsTMZrwLc7AogYLaaEo5wXoNGqSfXjC0gNih0ICQ5hZ8kmAE0JYf0+1C1zlEc+2Mo+Tpr
oucELor9sxb9V/UdbJGegioPxnTuwIZYZFBuh9e84g3MR16qOlOIojJIFC3sg2zqpQc4IdikYTX6
lXzO/ImAb9a49pSnOTJo4XCwv695K1C+mVVzYkkpV4OL15vMVjNjZNgAfRQsyMcoK7Pz2AzhCwpZ
wwOO5MsdEC8s0gWGNXVuyy6K4JoXDa39KEorPjjYf/b09o0B6OEXURQTjTc/x5BBQyXdAJcbuYjC
7c08bLw00/RgzEe7cfvYKBIfa818PktjWZW+PaEv6yaKJmwPWJOeu3bYmLYHVBxf80jp4uQ5TZvW
8rohxe3OyhewV0ls0+GfukaVDx5hPZXbJ+BOJgchJAAbXQ/AX92kuLbjMnHMPHCo/U46TaRzj34V
jGO7eVRDtKMcgQzhXI0FCr/NkVLyzvkysG/F/WEFyF5VJFg8O3Maq0VgD430fpSH7qwYwrg05ex4
9ISOxER3klsOs4a2J4UJnfRthORwSUUUYR9Up458P+MC6dWG9lWfnLL2jHlZMOGqSgAeSAEMT3Vt
5F9g2U1vfesgdDllqwQU+ipX92pZmOKPZdI9PsXf6kbPnxFXMNexq3HXVE3+XlsaUGDyIlY8lnF/
+9a7SliYT60EdAjfqwPBdrjCg5kY0UzmvSPBNCrBjb1ndjQ8MnqYzrmKgS7N0yNq/5/o8WqnIce+
Ami5oCyIrluE+mQ7i53KqXPv6IhaPmiqCQWqHTM9e6cbk/MFMXMbCTHRJ67Z2PXz0Fey6eZ5n8Z+
hmjce3p5snQXOjOTwyXMok8Fm/dJNlHd/T/OznNHbiRp11dEgN78JVm21Wp1a2T/ENJKQ2+Snrz6
76EOcKBmEUX07CwWixmMspKZGRkZ8ZpZb+YHsgd17/1xsz/50UheIOVNZRdJtyVc/3U8KFSPY1ZK
9qUX0ZcE+8KTboXpsUFIwmsbXexkrRvDkReb0JkBv98yxrCcbILFjveCFuj4ElhN49Ehxl1+CqWf
tqj/eetGgOoMOIGi2iILu94IthXKvY678KXUCo2GVhp077Re/Splgf4hRxL1DBK03blSb7Ih/F5w
NcZRmMqtTs3y9Scd80r0vI2cC1iu6WLrwvb0Ce3KYUA68/78blIShqJMB4eTZiL9nVVw67tyDINm
ZMuZqET6NtqF4VkHA/Lr/ji3ywZVARLaQjXig671BnuD00StyrqIIbP9RM+ki9WBngrmOD62lVB2
tslN0Eb9jGVDroueMuXU1a5s1cEWudrYF6ML62cnLduzAFBxDo2qvCqj07uSVZbv7REl/UnL98rn
t/EDERgeOygdUte+AbcIPXPkuVWsS67JwRPCIdk32pYdoxqF8R3ZTC5lxxKhf/8r324chkXsjcuC
BOkmWe/qFk8COBaXyJLmUwq+2EO81jmiVJ/sbJyNBYX+SxJG8YjWx3rjhHmIpqXWSxx7+RMAbfUy
xLJ1xOy98PtqzD7fn9nGcIu1DGJQwMU5+as0Ai3MvFxU9y+JWQ+5C5mw+TbYafx+LHNsHobpzXgo
0BHwMllE2vpLR/f1GZwa6JlUApyLPRT2R0lUspugKPoV2DndHaX+9/78NjbMIme6PP0Ja+yb18N1
uEnyVlWcS7C86AaY3O+ntFOeNMkSbu0o3WWWte54f9CbTHqZIzIYdHoWLYB1qggNBXjKXDuXNted
8BTio1e5Tr7APmZQRukFiVDpu5EVyo8yr9s9H+zb2MPwwDMWzcAlDK3WFKXfbjBNQnnNpI+TraXn
gEnuVK22RuFPR/yXe5zDuOysv+4nO9G0Lmht5yJqoX8RKNReyzh8c93RYLPQ8DEAtaAcsS6n5mEz
ho4ENduKC8rwUqMeuirdy6Y3zverUVZfzK51PaTOj2Tf5DQH4VQgJwNNdqk67F3rG58NGDZ7kjuB
1VkH7LBk2+shes1WOwtf6Sb1onV2sBOwNkdhaQC7qtS/19yvMaqcQSKjpz+bzxdlTMHKh/ObXTFZ
HLpVFn0ciBVcCK+3gBIqSi5qpES1pPg8t0F2ymsl9oRlDjtZKy9Q/qzXORx5+oLJQFmRuLiGDKi5
GNQxxpC7GWzrySpF+LVHHeVJmeUocTstRcAqLmJ9dIcyR8IPXIiafS56A8GGoO9MkJBRBGxaH+Iz
cjH4eegUJZ8iKUv+TdUQDghHGjT1wiRLH2MTbTo/Sjr5f3IZmZ0LVUN9sVoLkGhBWQ/f0qTXHyM7
zyY316k/uykpLRbhEu4xFqDm2HPauFePmdIK9R+S8lx2DRSe+gPi9haJZpbLiV8KPCg9bIXpdU1W
aX4w57SQefNIVnaQBp2bzekU+5dup3IFeyHkvknrUf9gTx1voyacndmNBjFP70lyjQejqdEj7Udb
/lGOTvJvFGnWMwTyMPAHCTcD18RX5ze80OIlyxA0PBVE/ycUuILSH0wL/KXcSanm9XgKfUmkovze
9F3ueINh5Laf9VUw4K9qRf+kNswav4V+d9ACe+jOQTeaj6KXxvZadnGd+VITaF+TFg4GpXptwexE
qXQYOm0MXROVT+mYKrF4l49DE3tDKqXfY+TQ4nOBqNzoWo1SO0dc16PCsx1JgB+NkRKB/zIiZtep
hnjCPU8RfjC2auXpWS70y9wgGYZaWPKlxHVA4O8ZQXGR4rkTrtG0tumaadRLPowyq/OSkv+4tmRU
T0hiS6kvAqjovknaJrNIpkQFouUCfj/VYKDoFU3ag5VbY/0oqfnUPDehJv8uylnRvFSg6eH2Qszi
gxqk6SkxS7xbQmpWkgvWpf5fxTr33jCnQeKJpoAzottj+Txb42C5RuKI+iypqvgXnYssutQMyVKo
kGlcI7YT54OZVKr81PcmpRkeJs07Yi0CHSDhKtBYVmb9wHonSiFJ9XnyEsArLXeUULZCCg9lOsfA
WujhrS5uMxaKDLksvk5tODwoWhMcDLOodx6IW5HY5lrhzUOidYPTn4jCIx44aOh0Q+zD7pnpQ3eJ
XwfDniHT1lC8fyk8LIJ4tHtfRy8MIFFpjTOU82cJryleHoAk4vTEK6jZUQTYGIoUC6o8lZqNOr2s
NuVgJEK6BEmreYmo82MlzPCd1vbOHnJmI6ODd4CzAncLvrDrQNkaJp57QJrxD9G7gznJ6cEojeyH
lIfZuwHPyHonY93YGFxlZByI8y8dllWKlUF8Vcu+CC6z1Yx+jpuHLzhme/W3zWGWHsfidnArdNaC
Fc6w1iXfIJPyM9E5nlPjdG8jpOKag6r/z+jr9GxOuebnZlg+9GL6Cb4v88PZLM5DpXZeW5f9+X6u
t5FgUoVFzY/cmZb6Og2iQ4Ldzxzal8assHkInQicupAPrWWX3/XJNE7kY3tIkY39xKAgnBeL4Vue
Z0BAmjNgxZeOmqkfoLNy7OeQJncnWTvH/nY7UZJdyvpcyYvQ++qOn2YbCUajUi9KGGadG4VjEH+u
ZYjAQxE18Y9yCPb0M25nx3aix0zlm+YhlarXBzMsYJaOTa9c4nGw/RqN0UOggt5OCtH791fvdlMt
0KWFWc3sbkWkAhugp47vwIXXivGtD4P2M6ny3iiAwNfZC1PhAcJfy6e8wVxUCGxPtqAPk+i9LQ54
eJtHVQ4D02sjZDTcaaysf9OiVbgVszaxXVnPLfuolUGVePgrWJ9UWmChT8EsDvxxCOFhImY5cjeV
VummmtoIP+owlscbuFSfYijpI07XJVkRgs16epSawfjg1FhAn7Jiar9nwJx/K0mafzacKVRPDhVt
5yKH+Du80wiMupfTwOUSckb1l9nWRnPE02T4aiHXOJ0rdJqsQ0D17FuBHVMM1zdr5mOrZdlxVoae
DlpdGtZlYVpXR8VJJts3e+RZHqSu4XoPkT/SfUPPYseTpaFDOgRfnuAQlSPwWoWM6nsO0bbEtyQX
iasCuDf82JZa1a11p/7YNJCEuZ5tIADILVqKVwYdD3KE+jULPfa+jlxSkTJwJcecVFfPwlT5Nual
WQIcbzLIHamW/DTiOg48bs70fyEdJP1YxI7zVapseB9OWGQPjeIE9akmOyi9TDeb6NjBUf+Z5kqQ
HTtjbF+UtOoSnCjicnQLeHKZW2qd9m6Y52F+0ConCh+dVLJ7LwAD9dUYYpPcL7IQBM+ddH6I5GnI
fBuBndbr5Ro3eb0Lyl8tDsEYLJaINvpKHKQS3Gatemc7Wdp7SP5MupuMofZ7zvL8e9q22gNuN+Vw
ULNwbFzLSkJxTtJGPmODKrdu5+TgJoZC+qWaiFHaSm18nwZHOqe9mv3s6kZ8rQv8MuALvKBmVHZB
rJ+zQHM+Tqk2JYcmJKc7LDEXtq+ZJ4UbzUn/m0UXj4nWzcoHbBdM82CrfZc940eGrWwPIbP2hSpN
//TxCEMnz/r+JCVTrB30IG/RMqhi5wnhLUnA2R5i+g7m3B5yW02iS9FpQelh8Fl9zzKIxK4e10Z7
bJxZTs+WGei/y7FyhM9LSwIJFjV66mfdDO9tTI3gKOSwKjy11bvYL5ouZAvI0lhP7qCMzUsA9X1x
Yy818U4OSbbdtmgMyx/kQEtdDCAhao+z1J7NPpudM+V8pDRHLHmfhBTpnAZzeJnLwHlsSl3+OEX0
A89V2Gaxm/dm9om+VTaxmnpYH0Rr2+GpsbTmO1QQyFAVDMv+R6jOg+LnjlDI1tPJEKcoBkyfx02d
unMrysiLFLsafLvq8/MYK1XtE+rVl1aJjPm9I43Nt7o0nZ8WDhHSwzj3cvsQRSEpuRTG5cMQmZF9
CNtkACIzapniQiBon+pUy6BXQr2WTpOExhmsxMD5hA3eOHxE4ItPqSbscM4nV8lTSaLSfkSeNW6e
Z7VoQq/LeA9eWRUVGPrcfgnQjjNOejFX/1RlLead8Hxz+RA2aY5zuMHh08hepWgmqt1dsYhsoY0F
7SGUk/5gG1Q2Y1HorkNivJPL3Fw9S7lGXqiU9KWobaxymUGOcAVvoROHCaT1VpK1B0QyZy+EN7hT
P9mYG7V2ygDQDHCqXeMorD6Q4JfhRZaHIj+LtEgPdda2J1HKlQfVf7cLcvOCXuZGZZ8MnmQX8N/r
a5VepWG28ZBe9TbOJl+gwyfhKqxlz7mUzPVvVUmJmpGmDjQ50mj6UIw49PTRpCjuNCUISRjFaJ07
a3HUfeM1zE+Dssh1v5i5wLp5/dMCPcr7SMf2VcrsBtMhJXhugq57+S+jgDdlgSljr9UxHK2eJTO1
KSF0auVLaCK/J5b1v+6PsrWF/uBWKJLDh12XXvpOGF1VoOujG+X8LhDTr8yaMG2OtTeb5S4zgYdF
+9SiyLjuoejJMDfIFKbINUP16gve0TAOJBcf7L3m5U3ZfxmKyWAyBm7spmvY0nmXkYQFjFCi0RZ2
tfXNgRd0zFDa+1KWpvmJKfeXKg6hSEmABXay0Fu48PIDgJVQBKLtgI3n6x3S95ZRllWAH2trifGU
F7HpuJqQnepgVUERuBrVVOu5xnHtt91WSuq3DjUh7P0CiKRZasO9biPTckNFMt7MvuPHUQGjq8rG
uhXCR5LE0RrD5GSFiXKtZlM/UTaRTiUmfzsn5ea5sQy1DLIoSwPDWn0H9DcmigosBO6bMLByJXtv
FmbqDgONOjcKqNWUzbzXONtafmA99AeXqvYNB6xFMRzJZaSz8Uo2DpBhiRCDME8aGeCppXb6Cd3b
2UuH6KREe9Ytt4ESgQBcBnj6AQa7CQ6WNuD7VQHHFpJRfsI3SXJD5OzcINfS1MVBQ955rW99YzBn
IPBpEvKuXb7GX5VtvMvkQGpBoY6GEXzuo1DycM0I3LQd8seuSuYl0652Kpy3YYNZ/v9BKXO+HhQK
JW2nJMbsHbnik4FG8MMgFr6f2FVHvnn0sIewNsZjdKna3tyqILVEZ8O/uvajSvpNzeJJDtJ6B+G/
7MRXBds/oyzOhMigo3a2LOtfX1GLOthsAROijKm+YHaZH5veKDwUTnTFLcfcPCXR8FVSGudwPwJv
zY+HPckh7ddbtlcVEeYxYEyveJen7xMk7r9bsfGfRqH+zbJw8rnJX88v71MpsLhPrj3le9hWdUfE
d7Lz/bls7cUFgwzAB9DuTdXNznGPgZcOTFDE3ohIwkFVOv2QxTWKPnNjHvryzaxbFm5BnMFPWqRj
15R0qwRRBPIRcl4+DMc2xrqtaurIp6tRX6zZiv1eT6ad7b+1ZgQumtlUSrnPVnGtqMo/RilICYxN
8LlTU/2ZkvCeLu7WIUMEFI469xVNwdWa9YoWzzViuNdsFLkHhErxEO4RL51e7onQbm1/Ulcgnoua
IKH69fagnkD3HGuPKw/rPnaHrsKAr04hPCDNFLgtXpUgosvsmGpx+PU/bJo/QBeyKu7s1dhlTPOv
6QBeY+hqeU3VWnTl9fGQWS1Z7RinksdTWP5+f9SNjwvjAVwTIAu6NOvcOc8jVLoG4rRUxfa7TEJ8
QVhS8h1R/j0YwNZQICtYQCwyWcxVKotgSEsqysedZz31+gn3F0XLC7/DJm0nTd/YmOxIhA3t5XK/
AapodtDoY4bxmlooTzEVxocauaad4ubmfBbk7CLWSPN/tWBGC9WYk4iKURMFuCIHoYtnR/RP2417
YXlrKPyP2ZQ0VRFOXA0VpPgRpZDXrkGrJo/TmBnPQT4Po9um4xDvPKc2Ph6xhAgJxgcKwBrihw6B
5oQDSuaqmcreoEXxUVPqPXLgxpQ4y4vuJKcaX4FV7JjMdC7poybXMpO+p02R+6OUqxc0xoedF8RG
HoQMFDgb1giI7E1oFCApxTSFV5Gq/c8Q7Z+Zm6xW6Our4HVdNMMc8VwVlvU/bSrk+gGB3GQPGLz1
UWGm0E1YrI1vxC2UXhNQp4sQh3lzArcZhUddKvd4jxujQEVZgEWktsrNS7idy5G3Od2RBIWCB2cY
I8Ozksrey3s2x6Ekim6QszhRrBYPRMbYmmjbwZaOFcyas/ApgxG4c71sRGMAj1he0RUxly7W62is
2KmpDrkkXdQuLzx6tA6m8cpM/Uuo7+0qUb0Ix4IPIcixnTRoY3MS580/jBugGOvnoGpEch8jnX2N
wwCpOkMKDuj+234XztFO3rrxKSkvc98gPoJv8Bp2Emr9oPIswJAZ4YIP9WApPyDHJTujbGQk5CP8
RIb6Q85+/SnnWMSd1AXhtbRxKz0oIlR/G6npoPYzZrV9hLBSjZcypDrz9ij5/9hYdAaBSK2xZ1nR
16WtgtJoByp/TpTWfjzNlT8WUnR5811GFLZJW9GVBT+0ShQGpYkzcGyYFFQxZrpUPAowimF8xD1L
/Q/T4qmxtCGBfd30BtI+RUg/sELUDMMO354sMs8THFTaynEx7IlCb+1H2lQUgMAgQ3pfNtFfaflQ
G04txU18TQXPRgt9Jn8QgeHbsbTXGtvaj0sZDayeRS1knW3ZqtLamTpTvSuC8JFS6XSStOHf+yt1
C6s26RTTk4aStGgprS+00qmNwaQecKWeUx0SLa2fUYzKvaIetMOYtMInT8fjNpHMQxAPBsqc05uB
MPyGRRgBuTzkd9R1CzSKrS6RA2o+g5yLS6YJ5aQNaPWLsJl2dsvWR+V0L1KHChfAzc6UYkdOCsRU
0yxqz/aYTKcxteMdVunmV4WHDHqM7h/qLavnKE8DesYwCK5ypah+VKrWsZzz2bWgwXud3GX+gKCY
VyJC49ZTlz+LQH8zeWn5qrBBANsj23YDhYynqc9CuYqh0pblMaZkC+CyHFxAL9nOV906FVQeiZ3w
4QFer857hMd61TV1eAW4ihldN1luPY7196nZbQZuDgXLG8gcVbubd7GwtEg34JhfId0nBxVVNF8b
Y3jQsfZm2CrqKoAsORyUO+GmrNLkRVxMczIlh2Pf1R8BzlifESZBLMExI3MnNVq+0Oq5vzyFGQ7U
AToaqxtW4nRbeoGki5S1/VGW5c6dFwq2WifSSS4q++f9c7/xGRmP4f5g0G6OvSx1SajKaOZ01ZxH
iA+r7TuNQt8H4FrBzu7YuPIQj1mGWoDjNwTdXq8GOAsL5RFgQeIb5Ho+CglOgXBCmvM39DQ5IXBr
fbw/x42sBX4KNwK1DIir64q9bJRahXgszxy1nA+1WsXENzl70vpGRuM2aWiydfJTkeXD27MWWi/I
V0JYWd4Jq/Mw5rnEKTGQQGiH0TfCKPJx3swOY77rPr0VatijmGwu4ozUpVahpjEnlLwyPOvpVuvC
tWJzPFSqMh6TwjRh72uqOHZmaV1VCeCVX46iMx+Eo3Vf3vy1l9SQJgktoNvrqpKMOMxUCfOMoKsf
IyltPLoF9K3T4Heq4hUt44vkjyMss/sDb4R0BjYhxiy65zdbuUxnbapM6nFRrjqPUMX1x7ZK4sP9
UTYODM9YIjoaT1wd9rLJ/7r4izAT3FH0m1RKLP8ocjcc1XBatDR2NWQ3J/TXUKtYgBNtb420Uq/t
WJm+o8yZb8ndXk9i43Qsvtc6L7JFYfUPp/CvCYFwjapmKdOmw5D/gLYbflKh75wqco6LnhRxAoPQ
KOhBm13x6f7H3Ih2r8ZenQ9Vm/papmh61dO8OCDLZVFI4ulO9FDcmG+7s0VuufQLX5/CP2X/JbVf
VxtLkTRTIyEqBfAzjABEhNklaVP7C20RPCaHDjkrtwEk5ctTEDJzJ9PeGWE5P6IamO8BWrb20iJZ
QDMRiWeEUl7vpUSfWX0MH69c/Wj1W3SIH01wGZWra0P3z9u/NRR3OO6aAczqT/z4a51pMY2aA0QD
XaHqe0G17Bgl6FZDcoz9TBnfjK3iS6NUstwrhPqbSqSDghHo1IlaTOxU10jXGy+xdMmPQtPY6Wpt
7WBepGSNPLCtG/N2NRLBEGl4NWs1SBHgokH0PEglmulRB3xnsEKarnVsBqMPNit9+x4m+1jaeYSF
25yH8vk0GsgJXuV4NoEdid/yhNSNoVbdc2Il2c4W3tgzCLJgFsQdSgxaXynKoNlTBvL42td9+wHV
KP1fEQ7iW9VL3V5E3RxrYZbSqjRvQXm2Qf+6MxHSaS1jfFcEpnFRAO9dOgN65f3duTUUXA8ScoPy
081NWQS06zSFsBq1ffR+lob5aIZ5/08iCfV0f6iNsEqOS+SGx0Ivdp3OpcVgymVAlTAbjeTDCDD4
DHjlP6wTaSlfToU5tbFOAeVjYctLl1xE36amFV4L+Oix7xptZ0LqxgEAksB1y3MGSsz6aEtIyCUB
Kg/XwZ4tCfByZdWHciCUHEfgQrGn1XnSeXDNwIyphWX+DAodgd+k1uTv7YztN0+TcgLhaijpP00+
8q9E7WBijiL1DTq+Wcj/b43JgM45kAhbeW4jatWhHXYY1SnpPSdypNjHy4oNH5a59hu39CE5ykaA
AUHc2qCQ7q/ixoahZb/k/pCgMI9exU6QaZ0z5hAZkFEVBxhd08FBcPIpaoYP90fa+rrYkQKgREmD
h9Tyz/8KnJKdBk2NWjz6KyrKxiBYT/Zopic8GkocAPPc07pwxOkRg8X7I29cjwCrWVQq9AsHcjXH
zmrrIFdLHOv6JD8kfA9XpOlwStqwdfNC7ndmunEywAQDENK5kW67R6BzJkybQI13ph4eyjKYv4Ks
d3bS8a2V+8MXX1rDGw0ONYpm8JjxNZjh5yW9OrxIA8JkCO/uZf5bQ4GJwb8IzC3v/PXSUSc0wlCm
oFCbpS/isD7CEcncFLL+zloted/q4QYJd+lgwrPiMl++7d+7ZIJ0L6sB7ix6Ig0ns9XEV1VCxMpz
yiA+5mOSP0MzrcL/cA4W9BN6YCRwN2gcMSjWHCY240aAHOFLjd/yYHzfBZZ4ub8bNz8mtw4KfmQQ
N3UEugJAiA0jvlpSmKA0F+oeaqO6NynlXpK9tfGXLUgtm4rFzSXXDn8a61OM9s+UeyZc2R9ZkMme
4YTTO0tQQLk/tT+mSOvVwzqBxAg+NdtlddLwEjPBqaIAZA2R8ZWmg/pFgAJ+lkHofjGqPPpnzATm
PLFVRz1K7IH6bwna66MNsUb25M6SJo98BwdYqxfFBS2CbnLtBjfGAXvd9tglVv+jNxq7AlAjRmhO
oyFyv1ZL40GfC33PpnGjw0LtgImgZ8T/rMuT3BW9jmJMci06u6ehLuW/Kt69P0srqXtPn3Wb+k+t
jv4M/PmTNtjNvHMpbcUSZICWstPCHF2fh8awR6sWFsz+2Si/aCY94jINx5224tapo38JaoqVWxSg
X586SEJtj8vg4vE7FYAu4+Y0xvknxxnFGeBz7TmYcZ/vb5atc0DRdUHW08G6eWjPvDybQKf111vS
TyhHymOVJtFZzdpup2CydQzshU9MCkbxaf0+mEMKFCRc4PlmWfpuS7ryQ2uyNETXbC7fDU2xpzW2
ddU5AAj/QAdgCK4+Z+Rgh2Iaix98VFdPHInJc2K8pirJ1l25GtrPWiNNhyxj797/qLcLqVHMgmgJ
SWIDxtloUHvKkkjdOkN2wN97AABujwcb42Jv7HBLFbkR7eye2+kyKO946JAoud202mdBBpMkOMJK
QVucVUn/OZip7mVzqGJ0lBlPTVAavoqx6k5daAOHx8iczEWsmp7F+nTYk6HV8YBji15W6VegPJnh
DvE8w0LEVuAAJRm+c1KniA+0jjQQdwznc9A05XuBp5PqNqSwqtf0WbQXem8Feuh7Qa1YuCPaBogU
/XNV5VHIe8ZIrM+gBAu66MioB76h9MVvDMZKA6aElDw1U1v8zMOZhEhvVe1bCvxjdukc5tnOJXcb
TPhN6NtA9uVVSUXt9TFXyrGUso5kWs679qz1yJuaNZzE+3vw9mBTVgA7gDzBljijVSSAqkrSLSfI
jWsvpXbkVVksqW6nO/meac/W5uMJB4aYYsSiuvV6Tp2Sx3YnEaLTKJYe8syQXUfOxgOPSfmUy9p0
7MJSf9CR99lJVTbnyWMKpBHCpTfeRFBoYD52NPpBO0Jt6MFA1YJrTFLQXLr/Sbcmuehpww4Cj3xT
bxFak+QwKcn1wii/RJBZYq8IHEn37UwqcIObAvuzCJrqIZmRbN3ZNrfxk9YL6QqqfgvSc50/h0lo
JjoreBXa1HhTFqfPVmhF7lwOyUlX02jnzrO2ohhdVarbiKMsyjyv1xQw7RSLcnFA77XkMVbboYQD
XBUtpJEa+XdsGfOaxYUl4s2lDTk1o2P5w0qdxj5YdjeWF+gmU/2CuBvsl1mzYc9GQzy877W5tb/0
8SC1B2pmSf44W2pJVOzAb/q87wzpXJvpGJzwtY5TtwkmxfEjHfu74yicRjvkPah8pFyDonEpVXQa
BIlePA5mn7RYcQUmql+qEjzkaQ9torRn8wvdaDt05UgUC/Wn1B+DqotkDyR/X0Hqb8uXzIpRFR1G
SSsP6C/l8aGe4Xq4VlZTMwu5F3G00LN+gbdq6Iz1NP4kJh2XEIiAw+Fo1k3aiG6T2f804Amo/mCM
Fh3Ous845LE9WV7RzFjJqkZbwwxspGLwZ7lpYZiMfWq61Wz0qp81gWkf1S6OFDer5Hzk/EZ6dZWS
fOyOHWL44kwep33Ki0ruHnOoK5Uvxl7+INPhj90uMPvIn9tB0V7uH4Gt07aodi5aZzRx13uiQ9uB
m4t2+5SEmk9ZB1dC0sOTGNp25xLdHGqxLSGeIHm03u8tzWoRmxntdmfOjwSw2kNvJXhocKa/P6mt
k7UMhCMg7c2bvMuAvD7ncU9fE5EHze1qM3nhEWKe2tFufxpC3oOqbd0AlIppjS1ywDdJV2vNPZgh
AW06twrDlYJQ4OgocZR2ItbWzGAwUiNeGKE3elGy2Zm0EXBtn+Wk9gbasX6niNalIteT3E97QmJb
a0ZrCsAm9V+u3VXIGAMdHXEbFx1NnqsTdkrCL9O+eenobR7uL9rmUIhh8arCMuJGBCTkounlIkqu
ptz1DyHy4Fel0prDNJn6f9iJJMjk/xrMWmVtplBM4NezZOQrFoV+kJpUd0UY1YdIh3/09lktRSBa
k+by+l4pRbemOWpRhZDylI/I8EnDmJyREQsC3l8Ind8fbCPAQ+BFfY7yyB9BqlWA15UJwYnFU1Cz
U0+bHbtz4Yp0LgoN1alFQPo9T/w9XMTta452GnBbDcYCDzpt+ed/1RaqrERxVCZVyEc9/knHRhxS
XRG2Wxsj1toU9gNaFSZ4YtisjvkplDpnNy+85d4CV+JfR0CYgj7Sja9/hCXXhGSulitQaotqTSGk
95IzoEJaRSJ7hw6Lnb+E8INrdO+BTXo43FSfclnOuXpj9Fp2lmLjoAJXXPyTlton/d3Xv2dUcrU3
4xIB7bFECA/xRbdOStU1ojo9mG2wR67a6B0tjglw1NlklCXk1QdwxACYyiKbiNREddvJGc+im203
qSLLTw2Rnk2rrI56OIeHdJ4T6rBdcJ1t3BLvb8KNWKiSOIJzJW3kv6sfovSGHOc2r7Qky7qzFRjx
s5PrwfH+KJvzpcJKX4WOMkKDq4NV0wlEFBnvkMReoAh27hzxdNYxP0chpent4mI5FWIAPBG82kBa
JGzAuOjUnnfSqo24BTaJihPNAX7Ker5I2ZWlhfDDdZzG0Efpj2BipLOHwfZeIWhrU0HOR3KOmj0J
3HpTVRiaqRWfNsXe1c0BRngT6/4+Icn4ZYZWv3OPbsQTHIuMpR/pqGgnrU52rpRzK4k4uWZlp0qe
7rzLkZ/O3EAOtV99ITcveW9XO/tnc2WBrLCH6IIsPd/XRydv4iDOAcxf9UBovSuXjW3A2lXrX+SI
1RNciORTGXfG2YimdwPK+Dz1CvXSRM2ezP/m/BchImhJRHBz/b1Vk/nOFUtrNBI84SjrH+hudR/M
Lu5OPMbrz1Qdxr3raWNYJB9gw3Lnws5Yl8fCtqVCR0X1ohQjhoTlbEeKp6FieqyhAhQerHzkg5rK
Rr7x/qnaGBkZNbqFS22MP2uF0qissDH7NnUuutFaR7UqioszWONJ0qEbJ2j9YC5T7OlybQQMILOL
7crCObypBmootFhRwaAxPg5HMDLZweypcdyf2sYxxe2LlgzVCWqPa14o1CebPiHK0QnQVV8SSejX
unZsoIPvbOCN+eDSRxmagEtxbJ0zhfMcAVUk6legLtxRq9UPbZioO6NsIGqQBGY2CxiRgdYvdCxY
jRZTFfMiMCsbvKEV0kui2A1p4RDGkjt3lak/ynCyFjx+JRCejZoyfCco7CRvz91YOsKwg/AFm3a1
b9CWDaxAbsNrwGPxWKLA8GlILcONrHlPWnBj3gt/CFQyt9yS7SyP+r/SDVL7DMwbKG+zwFy1cIJ5
4jJXlJ+Nms/CSxRHtIeqmoOP8aJz4RVJ0z85ba39ur+htn8IKTG3LrzFm76mLfqo77iGruhNBJhJ
lbGH660WuxTKAjjXjXJsomry1Fid/DweVVcNdPP3/V9xu635GqiO/OGY35qsTaI0Kqx/pUsnV+g7
83sQirJNRIeNfOcEbU6YjUaEIM1gy6mvv3xV5nrUh4Z0SRejMk8LRaK5canhCpuBnjgjkaC2pzKS
pcS1gt6IjrkR1lc0kGFi35/2xiUB2JH5UhiFdoIm6uvfwnBO2hpGSO+siYBtl5X5MUHn7X0eVv3/
EkmLcXCa9Zcpq6dLVyJzfcAcVNfcYo7Q6Lr/a24z4Nc/Zv1hFJn7eIYxohZy8RIZFopegzJZ70RS
DV42KTYSTZCTHTv8UKEL9vZQQL4HsJUTiH4iclCvP4ZoKq3rUb67ouiNmoTOM+YPMvon5g3kt1la
Oe+nvgyOaPktAneSc+VbSMVOFLgNfAvUnJQPwrq1eK29/hmJzmYMzS68pobVnnPDnCRvzuKm2xnn
Ng3iz6ZWseAWaa2s175sLSeSBgU2iT5CE7YScJlG2R1nw4xcRNGk5/vLu3XGFj8RSsuOzq28SoMi
RIVm3RmJbnkl+c1Yjad67jsX2RRnh3exNdTC+AY8w/QQh339CQu7Dwt7IKYkhhS7IU09P7RnBPoK
hEZ2niibY4HJBCm4+Lf8EWP8K5BaiVHkRZGG1zaJGqhogCKNRh7Blhl77bbNoRZ6gM2zmybKsnP+
GqpIARCMkYnebSZHzwjj6J9yc+jfY/blfL2/WFubcMFDWwtex6Qc/3qoJpAwtzcT2Ft6Pxz0KpCO
VprlO88Pe2uYhR0DlJRkgsLP62G0PDTKYJiCixN3Y3y0Yl1uHydkNMIPraF0X+I6zRQv/z/OzqM5
bhwNw7+IVczhSrKTgi1LTqMLS07MCQQTfv0+9GnU6lLX7M5xZ4QmCeBLb/AU0+ep6+VLDnOnOCA+
1ZRR1gatExEg1hwMX1B8rtdlKPbpRK847OWq/1oEoTPskqUdEDoSeYnvi6zsgyCzUPGkVjqXQ+am
f3K7EF1ILMKFJrPypYhaUXlTLAcN9rzynDyLTDpKfxqkQah/HGd5wJ5oSULaYNXysU9atrOOHqaM
5sBsKIwL4XnH1Nd7O5qyzG0IqZW1hz1b94gBjq6IJ7kswY7GRjnhxQCW6F43lf+lMMqlvsPGVyJU
jSLmbrULbBYHPLKOldfU4EO8LiuOqnStZ7fCDCBMmjFNduUy1ergVbM27AzZotjZ6V3l35Hur8c0
Rasz3HRsPlhaCyZ6nbXxq/CrOjlllhC/qOGDbKfpXXlv9rJHMWquEQGCaC/HnQRDjoZVkqMOKRBh
acNBH9InqkKYpFmK52w4mFi9hU1jrAhhDYLmYK7Z7Qu9/7y4EigunAPQQNvQVDcciqqz3CXJGQeb
aPmcCnuubonruPlWKZAPRbc5u3K+3043KPg3YxhCNQTaYPsx/zp0iRCtlTYivwncNN8xT1hC9MJV
XCtd7tBEiZu6Qn3Ry64t/LaKADlDm2VrGDoQKM/iwGi2oyU8P7ux9bL8WuC88G025gIddtOXJ1yF
icWyS90rz3shCuPG5tCJ2vTYoeq8fl7fypKxL21a2Vk7fPR5KUdU5z/Otq9ui8D+yVhTO4hlohHf
jv2Vi/vCzJSeJT10iEHAClAyer164CjDruWY3yAj2gRohU3dAV8mmm+jhIM4CHtqb9DTNIcQanH9
DM5ofBitgGISudYyXAxhHfJsnI/v34cXthztmG3Q5BO/3gCovTqtVS50UFMtLpqETurHYlzihaHY
ld196bvjasilSxVAWDnbcDlScqYqRIamQO5CKVVjVAX1b91K27AYg2DHzPjaZP7S43EF2waMlA3e
dBYws2Ktq9mHqIgmjLnnAjFOCQJrd4VmXBP8vrQUUhAUkVTnmxrP6y9cSuBnJFhsa4Nxq8PsJ56E
MWGJ3ayH9z/ahQyHephJ8iY9sVm/vF4qmQMfcIpNECvWxArbKkjv5rGdJGP3Qh5yqGH6ldNzYUnG
kds8cvOlpCv+eskUlxYc9/wUl7Eu2+Ex4Hxm/pTugwyBt9JZtCsH5sJm2Ya8TGggZL3t37WFNdPB
QCI7D0xC9Lg8NaJqn8Flu5HimgydeV3/j5sJcDJvdiNLQTM9u5kq4OCeuwTUjnk/RmIy3Y/a2lA8
L0MVobsso6Xr/rN5I1/RcGnIo0aBUrx7tqiLHKM/ueR0i9Mi+pjSd/WihAPh/R+fcMtGyFGpSYHB
vf6ERjq0qNYp7WRhSh0ytckiq2j9eNPEO7R5pe3e36UXciA6/1B6NiQxze6z9ZIyqQtPLtpJlKJ7
9vxmjPzSubZRtr/yGvy2MZEZLzAypCt2fuy0fFKFV/raqRoa8zCvYxO1qvGjoRXOfz92jEHh56AE
wVXin53wdVmDsQpYyjbT9n7WIHzUVvC9KHp/h7fnNR26S0fuX8udE0oLMMwu82Fq9yzIwyxzjMNq
NTJ2ssrcgU67NpO49CYBoxEcHSYc3rliiLSyYfWSJTittppDJGbaG5Re7WicNHkFq3tpqY19DNl5
08E/b06tHTQOAxHP07CW27O03dHuFt7iCJv8/V34d1p3tkHYIRsAjSH22z7MIDhbpZfhCdeYzdFF
anwEVFDMJ5/h/f2iJ+R1cymCcoeNdfFL2KOYw5nWM0ClceVE2tbqq6NsLNS8K4pn90nPAyU/o3Rs
y52Nj4weIU2f9HHdKt15wDTNPPhN6XwrbNnOkQM25zarGvfJa5XzDWVXcnfXVZX1gaacl+wJ8+2v
rrJqBEInX94n1ELpD5/Ecw3hfeDslS8Ay6LFNLI89sCw6+GsJX4QdjYQ+RCZf+n/GNQk9R0s1vQ5
x6xkDStn1u2TLxp9jpJcn76XZjGPByTWnK/04whSVCio5FsZMjS2ZqRlOHnDCvZg9Yo/Na1zxmPv
f4wLOSdtCP7Z6lcCybYv/pVzKtct3LxDAzszS/e2msskXg2U1rcpGMUHRbMGSOR3BcX3ytm9sONo
usIcgmCPiNn5NTEYJFA6Trz4YTjtfubfiKtsoN+zOsvj+w95qRG2YSVIcVEFZb0ttv3rKWWnSXBm
lnbSMO87rtS2UMS0ciW/Zgdq1aqFBK85Eplrf7Qb6wVVtf7T+z/i7fNi5gI+nfGEzeTpfEhQ44Q4
Og2QxFp2QeQC440S4anPlizVlVD99p4HNb6lBoywKXXPX21d242XuszjZ6ZfR7Jb7ViV/fjn/Qe6
tIqP7J/PEhe6LI4Cw9M1pO+YOhp37TrbJxR5zWuYL+PtrYv0FZpvzLPcDSB7lujIpUflDpwVaD1/
/GQwNXspp0W5EcKX1RQBsaaFjjKG/Eg1K7/gLqAOaw4tNleG+wJ5Nf9ZzCIArKxnn1dsBI4z2/nL
+y/jLzT49aVGm5WRE7qhJLdv+pu0ayrTb+bsBsnv4aalV7OG+pjVfybNT4+UFUijmlAD79Ymnah7
a/W5VuW86wrNi53J0/eTN7ofp8xVp/d/2oWNx7QGaQ7GNcw4nLMgmY0qX/CFQXreH6YDDoPi6CTY
2zSuUcX/fSlYA0B+TeplVJNenzNf8xmDVciqSG3UY70a8Vxo+mRXWeVVEaML2w84OkwMwghYzvNZ
Z0NaACKOfDSF9P0y0UKtw5Y2Y3lIrHF+cVGM7aKR4jUNeycZP4LxmaYQSJN8cWlryDuZIn2x2MNk
Awmj2xMvKjB/dEC8cF/2IcuECKqpZZ+luqS1p7V9GfaTNXzGvTH/5ot6zkKLWfZxNZeiios0MbbW
S7s8Bw5g3Fh3xvGh27DYseUqZOgHzUDfrK4XFDCN1OkcyFO69SKZwdD+rVpHhBMx5M8yt5kfSqwI
XAYSa9FHJt4hCd3oNn/qMxVcAyld2CEbpJIKm240I6Ht///X9agx8SqHDF2V2s+nyFxUszOBbX9a
rPYaPmnbbGfHZEMa4CPBxAFrkLPNOAaVYyUB5Z9qimdjtLKD0hwZ+bUlYtMf9IcANkSMG70e5o1c
r+zPtzUMfEAaDoz7EONhgPn6QQ1gFf5Y0RgWVqnHtQhkDA25j9IgwFgYXgiwxv6aNM+lR7bI8Df3
VmS3zg9FOnt1qSF1frPohb8TzF9O0h228fw4J49Nkqwgb5I6OWRdS1+hHwUQ4ffP5aU7dCMtbXky
8wZ6oK8fHKmceQ0SM0HBW5bsu6CqT4yBkuDPiteF8TOg0TSGE4OPkwQ1mR8xdyIoKsbo2k40tvkw
l4X/1VSN88ee2xkxL2+iea9m7Ro849LrYhgBdJ/e0IW+TG8DVfNEcqpd5ffAQwDNIbidkwN2NK/c
UOa56cHdUYs4dm6a6V+MfLD9K6/swvUClpqdCiYIXLV+ljI0uU5lVArSEytYo9l0qwe7kd1/pmRQ
ILEdYQxsTNXzikyWpTegPa+d1i7X59jRguxxSdGji9q1FeYerfDu8/t74UI4ZfN7kJMg07ztiqQV
OWY5yORklbh+xkLr3MNQT2uwA4wUPPkM97+8v+KF6wUEDPt/gxhBizrbfIORAD0f0uQkuBB7kuqd
tOgXLFVZX+md/e3Hnl0v5PIoiiGitw2bzgKQU/ZJma9SO82Lq93bWVB5IcWo0qO8W5YfbDiFCQKA
KxDIXVOvp7Iw8h8zvZsm1ppOvOA3YPUhbLvgd+KiBBnammvcO+XsPOCosszhYPSFESlDX5BUrjV9
2ItJa5yb1ezomnkDHfTfxoCeS2Sm80IOkHRpgDPDIh7HOcfL1FyXBGxfaXZfnHygqUqRlNXYz1BK
7qapn4AgJKP8wbgFqSRz0ezPk6EYLokuaB40JqWngH4WBYvU7OCRrES/xbzMMGJ7st32nut7kZ+Y
VIGy9seiVnFiVOC+J7tXn2xSbi3ym6CEhls3mjjmZYMmv9/0RhZrprCxV8NV8RBAR60+kfoD6DHb
Fa0I4QeLE+F34MkoH019xP26Gz/2uhQ13VOP4WlW6V9GuCRPI7JOItQybbrPq75LEZ3hSo7UAoSz
rQP/ybIoqABuT94HC8DbV98YWh/gDPKRcd56vb3PmJqCc1fFouJGqaUPazEx7MLcMhWR5L1MoUpx
ZAr7Jsn82M9cn/uoTqoxxsCnGGPYEHqFIIsKIJgsbQXvxEw1PfTKrvkHpgS+TIh1F1/f3+xvQwye
n1DcfZhuiHye1+yTkI7P7M856TSTd1Iz8+8VevJ7vZ7QKl6cZY/VwrW860KBszmNsuup4+AUn8eY
TFLMOI5wTyvqYqgk2b2NzpXdrg4zSQD+oWuJ9HclLLzO6E76fBIzE2t1C2GpHK68grfn/fWP2a7W
f6UTyBDxcTQPdn9Zp3GDHeGudXtzt+hXHfUuvG0cFaFr09dixHxOtPTcmoM1m/bJ4OaMgPfrN6PT
ZjXulSrYKw7KvbRQF3v/G194QMCzJDFcMtvAZLti//WAMPNkPtaTdZq4Ng+Jq/cx0gZwM+ZrmrEX
VqIwByrA/3jKc2HxXLr4KhSY7owA1ONeOsWj1DP9th+d7Pv7D/UmLvxV1QOo42wwNuLD2UPNWt5N
ZhqcOlN7VLzWG2MePgdDjoagstJrQeHSciaDNQICT/hm7Gs0dgssqcDiFL+dncqkHZFMGFFQJFZk
1+qa/eabN7lN1rbKhLwT2Oe5fDiuJ5mT6AqMXuLVX5JJJuCrNCxOu0Zp1+Qn3uQw22I07JBEIBq9
abRiEJg6FbKCJ6fM8+TYgCNyoqox611vusMYqbXHb2/CaSTllsyqj8OomiticZdeMPneXxakQ+A9
+57KZByBral38hlb36er7VWHCUhtT25fNbcdV+iVzOKvts+r6Mtjk85YuIJQcb4pyWxu7xpgT3DK
St8djr0xVCq2mKFBDIaLMQGqwv+kMXIHDlwwNlZsyCn5NTSzeZLeCHk588v0S5dnM/iGbigHqPWV
vNbzepPa8TNpwDDWBQZMr//s+Gq+IvxoGMH2wBg/m/gB/PYm6z/r326rIH0IVQzoJ1n36/MUmLDV
UMzG77Xpl+euXl0wVisz/hSFpC/vn91LT7TRxID00X54c5haK5gTxTzjhNrJsiMnHm/zLjfj91e5
dIQQOgkgFW0yQ+dHiOyurilW2NXFXEYlvj4H+qtdmAT0VN9f6tIBoqgHFwI3h0h6lse584DjIij9
02A0ehp6zmR974jbn8axTr5VoBIyrJtSQeqaLCD4XMYm65UK4NIBAqiH8thG4+ehX39AA4MuTL9W
/7SCD9zsQGkbQAYbpoJGbqPpJ8xIrz33hQ9JK41TS0lgb14Sr9dcscsgNTfdEyWNHzdN3R8tJKdP
77/dv5DLs4NKhUWewuXEhXg+VrOF4WuFjj1eCousG+JWDbPYkV8UTzWCAnJXUMj6sTH0g8QGy0XC
E/+wSjygYAqERuVO20domWvOs8Dk6WFMkDQPgYinaaQbSq4fAmRxsg+Jl7XfZetI7VaNCGNFa+Cl
vybbrsmxtUbtkdsNhkh3sDqzEw3DsBHHHYy7BsOqTt3cJl9l4xW//LEsn3DBtvwYZZ/VP5o2nkfR
LPrpWfdWMCaLPc8/Z2m31yD8Fzb9JoAM9GMTdKBn8PqL6PPke+WMCZvnC3Ew9HTYN5Ol7VtZNvv3
P8ubZIZ+CKM5ojyqhgTGs6Waas2Eq2HCvZJrR4BBgnCwsyKG+aIOjllTMiEjtnt/0beNy21VOpbM
OpnHv0Fh0MItOwfZxBMSPdqeuryhHGB+89QahnGTk0qmUcNM736ZeuejGsr6XqOh8VG6ZXFypwCi
jLRN9zlAjje7Us9dOA4Obx29Gmj8/Lqza4DA5aiioxdgam77M9Ec9WlNl/7/ee+UExBxTAri8+S5
sAZP5r0fnLQWjboCgaA2SqrMFncehIbxVGhD+7MvSgTF33/3F245UpEtQFAQbOTp13tLmJXoRDEl
J4DJjHoCGcRqCZJodYtmNxetfiOXKthJI10eMer9zyhYvjztB5JLNrj9Zr/hy7uWeLYEJJfOeOpk
kEdaUdXHSowdalZGdSeCetwN42zuu8oxr0wpLj09gDzmMQEpGazP10+/Gm5RGX1OBuj74usm5/DR
sVqdV++h1mcMTdwb1RBSQM7R4ulX0dEX7ndMNAlnmygMv2A7+f/K4nne1U+aKjnZG3sXubyheSj8
qjBiOSrzYVGm1lAhiv53oeaMjVd6//ROZt+C6JgNRJOVtRwlg8znJLFJUho7Tx8W2NHdlW1y6QoK
4JxvvP6/okCvf+gqSgyuJ1LXJhf982IWHmCBYqUOn610vhLkLxw5sG6Q25k6bjXs2ZHz0mXRREoZ
YIJqZVIqnT/uoo//vL/zL7x76icAAsB0adacv/smMypd01oCUKncI8pbxpdslXKvJ7amR7L/zxw3
2MvMwzZEB4q7b7L/0pKim0UWnOaySQ4DQuLFzqtHUV+pDN/KXbAQGFPLBLzFaOKv5ei/NpUykeJI
ChKXxpD4MVXG6vr0IEbrGXcMrX0KknX6MZg24rgEAvliVrmNN1hg03v2mry7Kbwun/77Bnr1o8zX
GwiPUg/Xzt7H+FOse7Tik08mFsu7Xk/UlcTtbSdiewGgFYhkoKFILl6v1VuNJ9pO90+LnYyHOQP3
lMNADr026I41t00E0cIKOTI5LqsLTaqxqcorm/jCieFis+nyb10RAtvrH9EVvSq1biDDJ9ze264G
H020yQ2qvdd8eS4ttbHNmFCiQ/wmzW9GJVanZme1tkz/DHIad1iVy6+e235+/8xcOJlsXLD6G0ue
G/ssPTAcOmk52LnT4Az2rk7S9lENmXdFS+bCyWSNDRAJdvlte1j5DC4dQdaLFJX6qmeyOM64hTzk
vOo0KoPR/fH+Y10IAxsFaRMzIBTSkn79rWRRSy/VG//UDsCUQ2/u8+dq8Yrle2bUQK7sNshelKjG
x6WChxxNaKheOyCXdu3G/MUrDrUDdPnOfgSizd7QN7N3QvlzfmY2lxyE6LCk8yerKcKEEiALIfM1
ioGEELdgBNTN6mOideX8vMFjUGhsrSXi8TalOr9+V5WgfTXqzinIaH+mo2+FhjOXu8JA5bjuKvlp
HZUWOUgJXQnHf+PtWVEAW4Izu+mboBB4dmg8zNy8Oe3dk+91ntrZy2Dve/xe/dCcTGu6Q+SyE6EF
v/TYBlbyOZNe8rkIPPVhHcrk2hG+kAzjsLUhkrlENnLj622RUGJlVZU4J7MWAxZ6fJ9whvgQu8ii
7I1OdDu/Furl/c144YwhkeihJAgw+C0LnAsdkHxfu6d6dJ971Te3cBGyK52ZC1cGitJgniF+Y2Z3
PgOlrKxgsfNoMseerNaXHt3wdVx/4LDp9rv3n+jiYoA0mL4A8MZo5ew9FunmSb7Sjy7q9tQg3XKz
md3GwTDb/z1bpwMNTpOR9jbvOftkQq/dpHIX50QXB3RG3cn9qjvllRNycZ+StEKZJywiUniWNS96
bc3JWjgnZS99ufP1pkb5p66Kx6Q3Chn1yijuxrwtyggP2+zD2AFtCptlxt250WsUmf/7G4bTvjmH
MT1/M9IOvHYYqrVkp5ptdjvRWGrDGd5dGeuTb49XQtulHQp7BXgFgLe3rUV6lfai/ME9aYz3Isks
KcLTuLpSEl3aNZBuAdxCLCaUnn1KG5ehqWlZhTE+ZD3LmaPS7tc96Jvx/3h9sPCJZxsuCqnL1xsU
KcPO6RqWgg9QhlUwL6egWII4SYVxZalL746tyQ36FzR9nnVmudBUB0H0pHtafTOxHkjH5ZoZ6IVg
gqjM1vxjPoA/2HnLIKBV4sMH58jldfBLYgueRImScg6VuyJ1bABN/UWO5KJxVKsK4/G2KWPLnmlq
vb813wZzfskG7ttkZMm2z97tkDIx93PDOXmAqO6nspxAVko3nTC89uo7c5Xmtfrh0pIb/Gk7CVt/
6WznuCBW85QU8WTCVDvCW9pkb6Bc7VPMJW8Wa7zWzX27VWkPAEvno/61ZTgL3TTRp9ryc+8EgWCK
i1qke/pJzq4RIArff50Xl6IhgXDc1jw+ny5bi26BkHTcU4WVJaxpHTdQJEv3/VDoVyii22t6HYx5
KmY+ZNMeOey5WgYZGINmrDpPVie8nZ4s036V04uRL/auLDxaopmfIJ3VY9CwFtdBdxsd7s361H8b
v991QXO/PpV6YWkZ8B/vtOBMBAYiFU84Zhm3+pTg6tcb80FZoh3DEuelPLSabP6ANs81rMKlF85d
RzcMyMrbMnGCKlc4duqd9MGo9ybkisi21upomMzr3/+2F/pgG7iQr0ts2Tiq22/5d+XWgjCG8+2e
AF0joIoAmPmzKrKVosXXPlcgGA6aUwdPQizuaVma3AhHaJp3qtLnW+Fb/WHMp+LRG8vlz/s/zfbM
t1+D7Y2ICHKCCA+fn2O78Hl0MJ+npEyD6YX0q7M/zU5laJGlWV6/t5WLgpmHaJl5B6tHgpRetXUN
N4U1Y79ko8ABunF6FEDyEjSg+6nrtGbo7pzSdsoHMv4h3/U1fz6cxNLm4eSV/R+wbH77e21cme57
AwTrndSbwrzrA6a7n52ciiAcMan3b8x2SoELrXqr/smqYGgid7DRjdOcYMVOx7XS4gXQTz/Hk7WO
1kHzrNo4St+QVhR0iWtH6HuPyR8Pm60axMGCGFvEJDst7odpFkiUQk9f4gnNeMKR3Y4vlZsV5R5E
PhiurEaYLko19EWixh9rGZPfMpMYkNddP2aFOdG414KhCgdR9Dfjms9JmMNJWEJk/BGwQ/PJfPDz
lgmKGHoUdspyNerItPKB3BN4tA/SaJl+CKed3Cg3szGL9X7kvxR5kj0gndePN2XeG8kxTXrd3OFi
B257SIN5+FqOVm26sUdz3HtRszDSfWMPXrLrLIDdu8XPV6whwNCq6hvwDL+7W4rcaG7nwlnbvago
CX7Mbb3oEfB2d4qaxbTbXd6MqGC1yH6KT3rVaRU6o2p9Fr3T2DFMj+pJokKv/cCBs/2QtqWlx7Dq
G2c+DWowOhmObqrb99WKV03U29Zyt3GjQFNM0vnhjaaTPBjuQLcbhbv+m+P2UxkjLwx4zJAZKCyY
1aYeIgeH6i+6I/qE4VVifoXWn/02rDEg4zKX5a7uIWse3I7t8wgBt35hxOH1Id36MguRhzG+r4mp
DR8hay1GKIxGWnfMeawPzuSqGUksu/g1Il/afc3SqloP9JvnO8Sx2vpBERKyXZ46ZhEWU7kOoXTc
5QaTnCnZz6qdviIFYwbxamrzo5E4zq2ul9rXYOUfNIvXlRice3U0rlnyT0tZ54S6SMopnuWqUEQI
jMYLwjH3MhVBM2lfama5aWTbnfUgaHJMty6KPggarjxjaNWjtUad1WO9lXG/fPHmRr7IwR/NOKgL
Jhc6eJ3xtkxEbR1KLbfGYz6NzW+oVt0cN7Ipf9TBWPZhGTjCCjvK0b2Sbv6SIxvyXHs4pIeuXqET
lmpz8CUfMt1g7lUaY5hO4/JJ6zRywaLo8iEMHIZz4di7ubG3AXYGe2QO8XzRKMPjJUmYsWaTZ1Dj
5XVzkgWd4GNp1V3Cj7Tz+wIv8V9y9o0+Noxu+TKmq5vFOPT4Dy4iec0Uu2KxvE+LkdR2ZOXJ6OyZ
rkNXEHaXSaqz0dC/WZgjEyorN21vBYyIRIuEK701tqBNA+zLHJBWTbfhEYXtUV/PQxYkSGLMDpnf
aFnao2d3tXdLv01+qSVzvhd/LSsMPYcxye4NURju16VYyyPJKnD6vM0GkLp9tczydilTK/nomXku
7gun89oIhcnglkm5LHapFqz3XaAvP6ZC0QODOIDpQGH09qcuK6X+oNCiCrgK0YbhJq3snwYjkDKC
rxosN5Y/2NOBQeRwt9AIcMMKJ600bNF9QUUSKLd8yIsFJGUy9TgiKkgiYWIZE8gzUTTfZrwaITzY
o5qhl9Obexi7ofqgoeueHKekK6fdSEcpZdPVq4PGXd4+dm1jgDteeWO9o/qnoS/b+auRjUm1S7le
PqpRFh50F01/dju//4igLqbG1jDoBtzuVsJqpS21hqhbKy/0pfQePNTfbPg+yK/dGR0qG59g8Mnv
SmicDyv1xb1w2dv7jHgAWFSUfqS78HQi1MD7NXIt3LfiBu3G9Rv2V+W6Ty3gbLetMnJ8YNIlb79l
2iCNgw1D/Skb18bb82394APBfh0j3M6mj13SpksEJnCe77vVA4qGKownYysXqkQqApnDsMrXoQ7t
Xs+qyGurqd9Xpemm+64hnSbEGWO1s0wE8UlIjHbv1LibRXk6gf6aStP5OdqLNMJmNCsE4KniQhp5
bN4V27DQW6v2cQH58sPQxvy35wnroarRjoHO2BS/8kHMv/TSc4u4m9LBC2eYBXo8j6v9RKe8AJlq
KB2SDPvvGwF5qONgbNd/AqNPniZ3GW7bpVn/LL67MDWu1vHLRN3NPdEsUoa4H/bfZlNVuDNXmhL7
qjaaL541dP90iZE/0UvOMLwpq26HvKeBIUY++c9OSc8Yg9smL+MG6Z4/rs9c4CbRs6k9GWPTZvE8
ZfrH1tfK/oS+c/5Bjf7sRiWIcjyuJ3zmIgSlsi8Ib3ceRQm7Oip0r+5OEvhnETP3dtc72brOtwxI
UII5xOjpISLey5/ZZ2KDkhbGUT5kwnuBALIdOsJBZbhynfTOrpquDGG1ZOi0r1LEyTRwnzmlp2gF
SznwyYAHfqqZtzDllOmiIq0p8p+qS5S9o6jAS8iW9vA8pa3RfVsWv/7KbHHWoCK1iPI0TsZNi7OS
5p3GtctOPk4TLfeGFTzP09r9tHGxsXdcRbX+zzotvbNPRGLg1ZCtur2Tfdd8ML1a/GMhMUiQn015
P2rC/E4/QarIsYZxCa2J+iVsTf7eoWvX3I37YQH2EspKdf6NB1faghs2TCIsRZUjC4G2HaLmbtt8
mlW6OLS+62qMkkFPTqSS3neXYq+MaLEln/0GIdvIX/tBPJBCmsSXKu9g7QZF0MarpqmfjTfpTtiO
mKzEAogCtaPnrtbNIk2/iOHqr8Zu0apFP5iTI46DIT0n1tpiyu4q01OPYmp7+7CZyaeov6nlq6jA
U0ajNL0xyvygrPgiPQV3KYDmAkVyMMsjX+g+YOSm1qODRCo1f5qoLzLNeMoAXO1j3eazEdnujEDk
slq1lsHJTZT7q5FDL769n/aSeV9Ie/FfpRGBCAN4nbPytSbDUJNvmqibZdpLh7Zagmx8joK4q4RV
RUKMehnJZpqmyK19XYXlMAx3fWLpQEIaDMh2awrjDwMFfGlPXJH+izlgvxIWtFeL0E71qY+FznFm
l1otLii9HrysllBIQ23qOHHllSlemrYpv9nppC3f5qY3y6izG+f7pJc270jLSzCVqnMRxk2IFzqC
xgXmzzVgfiVkx5U9oWdBHtLl2q40A5nc8FcSddvZ2yYjqTBEnHU0hUtERmf/Y8LIe30ces/Pd9pU
d/5h6avsQXT6aj8Lw1osPHRMJJqJZUYadfQaEKPIOFtpXHWBVoc63Jjk4KZiJi9LjOExCIZ20+/d
jHo+FLUxLkemvCbaAnmz0OHta82NdF0mY2znFlp+fqFrxoEO1lLGk5Y67j4PFqOJuX+bEY0It2+P
/eIR7VPTLLoPk2ugIQCQui++eEhcaaGPhmV+C2Wy73ZeZ3foneBQjCuQBfL8i0318FEtwHujwpXW
GHVjoVSUWohXh+7AaJVyc9UfltqfqnuQpM6TcoKijbIAwtxuylKj3hlB2uI0jOY0eFb6kvaxm1r1
sizK+JogKsItUHddeqcZ3tCEtNbZ9nbd1kg65HUuDkCI+ocx2FAjiCHUAVe0uWz/IiJwOxMXDuhl
9NmycE005TOASDttJyeRy8hDrYYyaXSKIWq6YPikWX7thSlHSO412fMOorJdrc9N51ZjGtaBO0vs
3Meq/1AneS/+FEo031w9d8lcHHv1b3PDT+9QMMSxjjSuHCNAA8lNL0ocJoNG8xG/06t2uKtnc3CO
q+aSM8ESrb8GTdW7IMhNh3PA/PHbNI/uTdctZnAYVqOA11mn642sHNGGXe4k0wH7d0PF0vWr72MO
4QgNtMnOQizorafR6YJ/yLCKpyXozduUGYgWjZlTV3edD0AvFG2jBUfIueN9Za8wveZSecURpe4h
iYaSHuVeVgV3Vg0Oso2x+xu7kKOqI/XSm/6HMkNOBTxkg4zR0KdNF7lT3b7YNkZdHMEq+GmndTZz
blRn77jndUYhaQoyHkq0oSITDL6DYFs7PY56Y5d3egU7HArVmnyz61rVCID7+XfCk1dFbuWozwEd
uT+T6nW169Nq+VyqpRsPGkxXieyztf3NYsnLfSkm9zFVcgOL656kBm2c5kP3P/bOo8tu42rXf0VL
c+hDDnd99gDASR3ZJEU2NcFqJoQCCjn++vuAli02Opwrj+/A9pJb3TgHQFXt/e43DHldMnOxjK9U
H4tyPY9e/26UmEr6A+pKdZe7aS1QEMyOc4jcPqXTLHDF35eMib8puV3NkOvhKPmDURgFfubW/Ba3
rVoGCfCG7hs4qBcnr5LNIW0Lzws6HI/LQJ29WA2oHgp5OaVwZLD8UVMeVt+heVy83ij9RDGiXSqq
yPNVxa7FnmLSoLAkyJaHqlh7Y0x6gFUtmi57feizAMxzKhAjVkzTnLIb3w9p4zJd8fT2fdaUjh4y
0bTtQLMo/AC9c0Jjyau5j9vY1A9WHU9hlA0VzkcAyEnQxa16Eo0xDbuiaZQ+EDPEitOkxxiha0OU
vaHct/8o9D5pzkwcnsGHVpQaD4B16oyfyGPMpvTkpFnLYpysqOx22ijpvEeaMQ/rlDP40DOX4krw
Lwi7Ie9tC4gxbbbTKG8NPD6tCAxi7PMDmlp73okeOdUZ4PYpUo0vBARhE6sq8lO2KCruk8RlKK5+
WgZYR1RY9vXSmdaZkd8z5yvVBTMoBmwaPjCb8zUjuqjO61hF/K2m143Fckz1wr6yZkQXg6pWwWzk
2t8esa0DRixSGJg/44mL207kmKmqnohRKS5bsxan0uvPWWs899UYgDDJJZxyHX89fjNcyIa6SbbO
Caqle6sDBgNFdO0b4uLN93XtqZE/J8zzz0wYnrssozbGGLwhDu7Ojy/bxUWXLmmvnjSjUu+UNEPW
m1vpfgAqMANNQOLySy8b6jPXfTo2hpe7zhLxfV8N+zdPchjoHMxEaKfCKcyTULJ+DDtVIPwwZuBi
P1aj+LIlPuMq6x2tPgNWP7c2oMhqDBlWNv924IGzjprT/WsnL/dWQCtO3+CcUviVnZ3zcXvmUgg9
mIuTJgNzaIuL07wWudLRtxLyMYYxmFPgRFF7nLvqb7sj8oUID2IAZmpM4rdof2mocZmMtXWSrWHt
InJo9jHn6N3rVe4z85LVfJYht85Ej0L38RtTdkWv9uVondBbKRSPVl99mOjf3hnR2OxtnJu/vH7B
5+7guq+srD82me3KGMymLMbcQ7wCBrfThk6/GqWD62kuzhnNP/NWruE3aF+JeSLxc/PdpgFTBSKa
Tdq0Uqt3C/kbu6iaI3nsIqU94FzskgnZjRIcodKSc6llT2/tSuVY30hOB3yuNntAIVpahbJEPNPF
5t5R0+hSz9Ehmd6ghhgPz2dOo6ebNu6WmEyw/OE0PnmUuYbdAg5FxmlZsUQ4EW2oD7F35iB6Zv7N
ZWAu8o0YQj3xRNIcSXdeZ+YJinif+aPVtreezGRDdTnKb9BL5O3cSusgElx2fc/OKnsVU+t4iBrZ
p9ffpqePmJMIV18V70v2ne3r6y4krTuAgSeyvsorLwKoUXS9vwAAd+7AujMMRb3ed81CHF6/8nNP
F+7oD+rVMyPqLq9b3Wk5kNtGd++mftJotudib/auvBm1SPnbWyzfdA1Dh6+Ine523ZgJNp9jVRun
dR2ziXdl6NZGus+j8o/IK+x7sIIC0L4Z9q9/0acLlqAEVuuquEBztt1dlWxAnWvY+snO4wUvOKsP
J124wLvqfOZST48vLgWOixMgVRW5nY83IzA+kWVWbJzg/SxhXrTxdUdpfYsVf7YXBrP/wXbsv13r
wGwl+nwtdVYh2PqK/TR4G+y5LfslU0+dWdcnr4++WLN6LqzkmbcFPRa3jzxSYsi2hIZqSMqUOA31
NGmdXQduPxafyZvurkl28Opd66bWGWn3M4+NtwUNG/+BTLctrlK7J+4gNpbTLKjnVStJ8ROT6b5X
3OJMHfd0WLwmmENZ8tjkmHpsHhsZpPpQWr12Iglo2S2NrX9ePfYOiDvNiwZrkoDDu8GFowfuwkf4
zI70zL3FL83GBgb7E6qfzeXTROROztzyNGCHuGsGuOzCziJAkiUL+tH8LxYEBK0VFPrhPLMlqhWC
kXDRqctp0Bs1qBZR4oeaDifLGvIzbMinLpEUkbycKweNG8y2/vjlbCx7lFZvq6ciKlnZquK0D2tY
Re1rY9J88XJCo3CIM2TlZ5mnZAHn+dQhmW60m76rBZpfRx3IC588+bcrBz4aJQMOmivXZHsbTMpZ
uwcJwKM3td42hjF/1oYpE+HoVuaXSgNBPLNSn9ke2OkhCOIASJ7RdkRe58hdbUegToJ2dBrUdgrn
xSCZ1Kr6izUFNOjRb7+++z3DpkGUQqvAhoQ5GXvE4yfAcaubAzqmE/C1s0pgGiazeeMuH3HUh1NT
j40VhS0n775KJ2zBtK4oQiFb51xmzTMr2rQQ5zCfX7Pot8tM6dCfaEXNwTsvYh8BaJ90tbV2Wt2e
4xA9cymMSqg81w3x6YqWTtelxTqeMevqJkrd7kZoHY4lUtF3r9/fZ4qWdSXZMLAID2RFPb69yM3a
siWt5aQzF6hDJbKYh1lloZ3Zo567DtaDyHj4WrTRm2JMn5I8LUivOVlTVl7B9ZfhPOjqmbflmXKE
PRAhJKI2GKzbb0N9LhWrMtWTPfH+o6ZBXrOf5izT925WV0NgdX32eaYqZJTcSnGu7fxBp3zMmyF5
hcC09aBmXW7fEcQZZh/bs8ZhRmntt9glo14REuCNyWNeASvNo+pDSdffYmDBmBydqPkFjzjv3rMr
44sqpvE+Ihad/CFmrTd9DWQfTMlqJz4yvfxDGKM+POhaD6jbML731R4a7cnA4ODWoA58EIlrfar0
NKlDgtaVNnBap/+jsbLl0mhFp+Bdh8YjrGZg0zM10jMnAaTdFYpZjYyfZPxYmVu2ArLfySDYAMB7
wpxciZn7gncF6Mz6MxX3dpkgCXPXplfloa/0r/XnP5UObWHo0rUR5/VD0jA4Y1JvKnkVKEVSnV5f
J5bO3/r5yf7Q10INhkAIS51N5/G1MBQrXCYDE/tQxsSvBVW/yRVn0m8WAZE+8Jqpu8RxgbACJU6T
T7Anx/4C7Rhueh0jbz3IxrIp7zMzmp2bGgpw0MBFfpgiwuC/NlbuXalj16qT79aJbYPWjhYGhoOl
iRDjCiu5bZPJYkreVH0ZTGtwWBDndhQjL3fUT8vsLaQX4hra7adcxRlVr+pmCpXWzttAWdVWPiFq
SKrVpanjYz+p00dL0RNYsoXNF+oK143DJBsr+WYcx3ZvTd0w35hRAXrYYu3qHc3RS403tR5nAEXx
IPA44SyuTuDqaXwoASXtI7ycmUhCl1nL768/ge3pwwPgHNDAF0infSqPxFIlV1gH/Sl1KxfDB9zV
DkYU9fnlwLR9OAL16/demUzxOSXwkzOIS69M9FXaDvYHOezxsycsRTcVxR5OhtvEInCTiqioZCzj
P9RSOEOQkBiiXNgdjtInrVO0D6xOHM2LfIEd/7fvAhAkS0sFnoDKui7Bn155p89gwTPyOrVtNIQl
Fgp+pmX2F8+EwWBXRRWYThuf2byf9JzcACAKmHFw5OB2b5mzBAWAtldlfxrhxQ10IrZ3qxWA4Zi8
jZiaZebECCaZo1K9LqYY4UQd150dKlnVwtHR4uycLeB26Tv4Ca3nCRgN8B7//fg+JDLNUtwq55Mp
S+827pXs5KqjES51K87satuji0txt9cXgMJHf8LnzVGNUuOPCzBGnx3NrsgvKuh2h9cf7HNXwS8G
Wjv+XNh/b9qgQnhLpOiDelryvgiTRaA2bvJz+pJnXmWDdv1HFg837wlJ38LkaXQFW3RKAPrqLK7i
C+i2O6futVAXazQ98poyrS89pbZvNCnHM5v203XMJwAqACTBHwPU8vGTK8cWno45q6d+zKMjDLv0
WCPA3adO5JyE0cxBacfLmcLgSSG/PkTaS1YwbqdUzZs6xxgwuMtHzBXJ6oSPo0cOsbQKmuZk38tJ
PQ2VqE0GhcxYNH1useIz1foSfl3S4fLHQDRxYsWBF4lPypnP9kSO/+Oz4ayAqIGz5ckxlsceXh1J
t5xyLdcvy2y01wmuW392FlJqILEMxYQ7HNPSsF0nhXCAvEWe1KExkwCKdSwDWKBYQs3VKFMfLVOh
H5uO6iJQOvJAfRuTryYwOhD3IEpG+6NhtPbkNxXWM2Gv1+0bm15iClRIG5/IFG4rfLXrgakl47SH
kdV/OxVJ1vjRWr74TVcX0ldjdfxOjEUK5NM5WepbHTM6P4dX/8bExf6T2nfVueCqbYG33ip0AjjG
8JiemoGadhWlXtcup8bSohvVks5VkcWkaJiL8L5KWHjfyTDum71TNvb711foM7sgaButJ3YAIE5P
amUUZHrL+llOkHXTcufMuvVdxHhT+KYonGklV0W3ddZnedCyOcpwLRo+5t1EdoNmdoCCr3+gbd/P
zdBxqACSWgsgYMfHK0lBSGB6XaeeqqIs032Nm8OAHRZ5bJqBcbTfJYKBrAbDqwhn00hh6/ISPbz+
IZ7ZiPGfp+Bm8wKO3B4Nk6nIOJqb8VSVTQYsr847VRHROwq/6swW+czOgeMn9RcYJsXxVtZptlFE
cb9Mp4XB6G3dCfgdRV0FY1ypF5KdPyxElv/rJv/Pl+n/xN/KN/8q8dp//i///KWs5iZlpW3+8Z/X
6RdoMOX37n/XX/vPv/b4l/55O3xrur759sv1Q9X+wrbx9aFLS7n9nUd/giv9+UnCh+7h0T/sZJd2
813/rZnffmv7vPtxOT7z+m/+v/7wl28//sr7ufr2j1+/lL3s1r8W87F+/fNHp6//+HWtIv7n5z//
589uHgp+bd98k1+SX+CvP0hejn/9xX//2reHtvvHr4ql/baqkVDbMkZkBGVyvI3f/vUj8zd0uMBD
rsGgw8Bl4tdfZNl0yT9+tX5zaDpR/tBPo7ZDofbrL4B964/037DXgmdHG0HF8cPT5t8f8NEz++sZ
/iL74k0JkN3y29bj1oTNwqF6QZDDnHP1OTfW8v6nuqnuNF1AqbUoTKIBLpCy6F0wm24Fn7EVg+nP
gEktUxBryhGs1OMno0lMFMydAOjFKnMJygkuXdgtNSYFVUkouB8bcXxg/KWZe9ALsU+zrit2nbWM
x7LTa3NHFYgpeCpsZYTgEmNHTJSx8LsmiW+bVmHRMgOOaz+ucMwNIr1KmNhpy8KuDAf5VBKW9t0j
ePjDUBXM/bOo6qzj4kTmFAxNUdY7WAaRejDnVqkOTdYvAuFCEk3vgMPti7Ed2ing5jefeNWYr2iZ
a9/V5WTc2TGHyrGYy+yrUOb6rVA9AWsxHkbYxAmzfr0D7W2nIVNuHDlOx1E1anhTST1/K/RS1UPp
ls6XvtSTe+wS3LeWkRcoVEtn0a/MSFOMAIL9EgUlJ9bvUDpgz2K5jXk7TODiq6ZHdvFBjSGgfMAk
CqJxpJjEnbjaYLyHzIvTYOw4mCWpi4ViKCoGwpk6e4Jw0UN8IVuesz59oxYxpGPhiWJEAWj0PMVk
gB3lZr1SX+NpWxTca7E0h55cHXgBSVxfAKrVXwG41BR+hZHV+8aZXYYnWW4w148afd5V3lLeFD2a
cR9pcNuTpm2A6vVVvhQXqRaNKwOtr6GzFGjLD5FniVtZDS2PU7cLkuALGH4BCurua+JNenPVi1jB
xQSX2/tZVdwHqY/mVzuRjEsA1OcPZqbEHxGSZHwbF9efnV6Zdu9PIIgx1HLm49C8xpZzuULwdW3i
kPgtlrUsbkXdmtqeDDW6BWh8U/Z7x5zXDLtJWjmNsLFMvt5zb31pp+JaS/AW8VPaHNhEedXbbx0H
Le1KHVFPNF6xFsrJodCAnVsV0N/I2X7fEIPByQIfa5z8umKdBQNzynuM7AvTj5t4+oz0EYdi2JZp
G0bp3NwX9aSFU90g6W4K270rk7RU9sbAiXinESbU4ABWjiQ35Ob4vekiL73I2yxJHtjAOpdFEBnO
ZdGqaD+KGS+FkJq2zXzErHa0l5D8iYdqKdqCYpmkTe2RZ72v5UkHbdvBczCo2xokQGRxnB0W0lLu
VXyMvtXScYiYtJ1K83V8UkFmDWMseFZGeZysWN51S2NOewNqLG+T4H0PU8dcuhCWnenuqkm6Rphm
TGhDZfDM74qIq4q3pFPg12eu3l7ZQyIfHLyT6NVNo3knRgOLB5KvdHozJXeXQEI5q6/7pOymnQ7r
XguVWMW0cCjXyRn6m8ovICfvNb1S0+MEufgwwWGHJJirw91S1tF9lcTNiqt07k2htlETsvN17/Om
SGAg64Z4j4WHwFNGn5yPcaF6bysGOW/UWYENj3FJADLUlyEfJ+lDqpkSGmRRwBGuk77sWbQQdtgh
04/UWtNDBJ3KPbleH+cBO3Vd+MaUUqcjM5G3o4tX8M4eddZmLLPxzZxXmuFDMYzMoJiFoFJsQLID
uEhexCuKriB0dUG5mWbSOcaLjRE/bsPtdJFH/TSELkog3nqCF3Lskgfnz3b+/5/oPx/NHLKvnOgP
ucgf5NdfTu36P+2jQ53f/Peh7vxGk0YrCrpmrgf3X4e6rf0GuMlEcp0H0MStDKU/D/W1FlhnM9Bu
0KyhOl1B0j9PdcXSf1vDfJD78icZX+v6r3/jWN/4WivA/ky7uMSmWW7SHu/YQuRHHFVvp2SpfXQk
KTzK1NhPRMf+obZCARDMp3uocSIo02XcF5VmB3M0zQGJD95BXeBVDmqkfRANQMZP9/PPAuTnguMH
Q+svuPCvT7apyUmcUofWNcUxN5LiUjfn6kpMDTG3rudeQ/eNArXxLFiIEOq1YUamZSy/DwoqPdR0
dQ7TFBKnueRxqMJq3Ed6WocGCP3BKd1phwuT8fbMJ30s9fzrk26QJLXsbXZLIY59pLmB0fQNIrkK
E31HJF/U3EwubXMqd8PCfM+3IpPSp27Puk68dPUNfoOGJvIAbcVRhba6Zz8eQwUt186tOV2apCuO
bVnlQTKOVVhpI2KrmsTE17/642byr2/Oa/1zLViS+Us+qC6Oi4w5DSt7SO9iBJ4nBY5nYMGxfJsa
6ez5nYPS9vVrPm6X/rrmBvXAZV3VFXSrR4i9xX7EX8IvXZlfl5H69fUr/BiYP/fqbUpcl6FCoS6j
OA5anFwuVZ3smDyU7ws7HY/onNaUMDEEXjyrgVMV8lgsQ7d34+VG5GPoWQruyqacrj3Rfpa1be7L
VO/XqOboDJz4wwXpuU+4wVEVJS9R+o/ZURfZtKYuZDubkcE+B7Y5GosqL9DQiAvs+AtoXXbyHiQe
tZZWewQRYT8zR3Hrz+RlHgwxEQgyavpNtfTTpVFX80ltPcintdP6xTR3Z3DXl57b+v7+1DcU7Zh2
OaY4xyWawDk9MHl0P8NBVs6715/bD3+Mp3cF25HHl+gTEec4UZfHHMkSOBMir0S6ytHKq+lyoJDy
dVIDDkqLOGSRc3Pqmxr7gkIbfHXqtTu3Seddgr/tbSk4mxXM5D52MjaPcZX0Ryebu4ABqsSDIK4P
BjSz3TSVw8FKNHIo2l7biXxGAqpPmApF+n7o8KI1h74+EZyL7sniKzfE9VyasVlDa4Jxz1DrW0uY
xLWOQ81+jBvjzNz9+buNyv7xrcCnBJtNtLtHiZ9psOozw9leGlQfs7N//XZvkNB/r0Q6z8fXqBuC
pLx54nY7WbvHXk5FlIwDeyf7myouPo5R88nsEhmOKKt9kinmMw9aWxficw96s+Mi0OwdszHLo4Ad
AipnZaYdjHgz0gklw7cCq0lJ75I7dug6syDoq9Jg8HsdHWKNsYp6XJhun0PSX/w4my24mpDRLqXF
za4K42pcxEByVZsWx3m2YDhJ80K6cb6rmXPSQpTjTtEECqa2RptBdOaZjXGDrv31PDa78SAtlruq
lcfYi1OGWQwSxIBNRhNHv9cGkD7piUTTqkwuoWO68Fs89+C6hFW+/kI8Rgj+uv5mZwaTNRXa3Pzo
joMTaLRnYVzm9aVU3ZxC1T5HRXrp3d5szzjnsrIGNz8yrirQZdg2h73HBEWr37/+TR7jZH99k832
2uCYu0SVJ46CKXcYEcEWZkLxeIJaD6Ur03aZPmsfX7/YS+tom6jcI99YCuTOxwmC7H4WtrjLhYPT
67rrCM2G/Yily0kxq+99bzYhEkh5ZiXpz5/gIBiP17BDxz7Pdacc0jSRF20F3KCW7vJpxvHnutI0
icqIJj5QEguVT6UjWVC1AdCa/tz6rHZUZH7HjY9DY0y9GzlHkRE21owm2xqLvWLK+GgUqQYObnrV
Z6G6xb2ZJtXB67FECxTS5XKQ1npqwtSc8fI2xmoGkcSN4PD67YW48MJusT15pgyHbEIaj4QTz19J
B0T3VvPNL2xrUbx9a3HfEbzZRFz0TZ5f5rGKNLDro6n3K9PLSdUBMdkJuyIXQGnFdWaPvHxpF9lB
PrjiesobBMtaNqtfLL2LHvB/0IgtQhn3CTV9/ylRhzgskg5JLQyoBouGBNE+xsUZcXydAwdqlokn
DnaEhll1e1S3pRdpsOtcuEf+POnXbc8I2Yhyvd8x1vJO+dy6lHeppiw78qAR96rQAqbQpgI+2JJ0
jjA1jP6Nsg6v/dGRzm1sucXM/U2yyxQZvhZMqGEsLIJ15eNsNgJ8TCmmXYcPE1nW+Kp/QrvoXKY9
Q+GbwZPaDlcA0whIto7J56MNR9RP7oMdeIlT27ukkvHemMq4O5D0bL83+gz/i1mWy3cFoeqXMUu9
nR4prnWsZ2nc1S5ogo/KzrxqMtsjUcyztJ1mRmnFRWeJgn0odNPPy765p+NFt+olfD2/rb2l2RWu
0VhXM4bShtLxfwKcHHsjv8jVhZAOOaUakJVdM1TW9D57yACe3hMdJ24FaMeplnl3sGIdZIxxAk+e
aUvl+kNeJTN4hjmmx3ZuUyWUuteQZ0d+9WERUru31YExxVgJ/ANGzRa3duZ4ykXSWe03dL759zGr
vEsyLCvEPlUrd9Rg5Q4m2AB5IGXgE9QSPXsQWT0qVq2Z3PeFu/CUNRza36659IVvVboLzSWFC6ss
mD4C0JgCgpbhCexVB624H1EbghItqYn3QEXyiJ8QyVFgAJoY9zicDEfDFc3vmcyyB03Y9pfCVOAa
EB8zy9/rTmXMbQ0L6bOmPXVhBroR39mpIetAqxTmeWQUUc/rzKrfMrgqPsR6KXHuznWhHhHrMCow
oFHto1xI81QPrY5Ugmi2PSYaC1Bqa0tKxzK9aq3ZM7C6G0TjY6Q+RKEN+xc8DvrBHV6vlGSyV/Gl
ddNWf9ebih6Hacfo2NdmmYdjZdkhGef4MzQengPo0kNQl2inAR12PtFhICAZzakfxdnyyZutukbX
uBDdrkdT966uLCl9Jn1Ktlf7Cp9X10wO5jQSVUWmTXcXa7zXQR+5vOw5tpMkWFedb1rjiptqmbVr
SuZSvtMv9VEhBGM/tXWV3aIht99hutnfNyoyxR2myryHvDpxaE0GxZCtGtldmyQ/9Gs2kXmstRq1
WuO8i/pKflcYG35x40HDc2UerG9k1thpoBFZBSJY98Pv0F1w42BC4H3uhrZLEM0Z8lsZm9nvadli
3UDmmtGHuTlNpo8J4qz5NZL1h1qN+5uecdfHeer7va40/Xu7SSv0gRF05M4to2oXWUoEyTvRb9zW
3cUTViN+1ffpdwgH1S4rXMt3E6u6wCdhet9pBRjjlBX1A2mf4KpJoTb1US8LmMy4POZhXrrGp6Ht
p2SHTOBiLNTkVHdRA9CME0R1dKe8ZMg5Z7j8mrmj4/6gLZ+F11TdcW6JhttBhFGuonYhrYBNocB/
Lp/YNbvqEzKdubhQq0i9Tns4wHWPW6JvYEPxwYS2OAF+zu6Vhk1ptxMN/j1YSYKIxlF6gyWyEvIg
66NVk2IE6atM+8ATSwa86SzhXKQ5G0U3p8cBo6JipZZ636wSecOOaG31SxGDXfr065bA72/qP9d0
BHLvVmyefuVocRHYAH/Xs1cyMs7txh594t0zv5FOwmEZu+TuKJX5SSUE6GHIIcD6easjW/SKOq18
Wwje53ZA1Mwezp4ZpLWH/lhNEuvKm0zW4etH4AsFk7NpBurRQP5eNdSn3QwdSRrxCUesGa21cY5l
utaYz1TkzqYXmPqiLWqGp0cwyIZZz2wc42w+JwzRX/oGm4I/XfTSWxxdHqeiZCgrBaMaD1y5t2Kc
rETZvsutHJsXDH3wm/DMYIoM+6JvKA29Mk32QoPa6sLs9jOztMCQxwSrpyz9UOHeclD0jhy2HP5E
ZjmZzyPklEWKe1GbbnujNpn5X5boWw7uBNwdpd2SH9GVZVfMZIjnyOBBZFBz9+mCF0Ebl+tq89pT
TRl6yKN6wlRkOMdWXeu6557TpkdwKOMK4eI8as2ZepsNZnQ9jVV2r9RopuaxaEMCHOMjKZvJISMW
6kyv+EM/99x1N73BjD3IkPRmeozIlP5KBHpn7VOUNlrijNUVxk625VtxH9X+UBfj751ltg8d7Qp4
ZD8PKsZHAjYNumichJxlKnaTNqbMncyBaZSDP8wHOn/GL+inBpRzbR6/V/ICFgVeJ6W3s5PB/qR0
04CC2yFyoTaNiA3ElOcMcF+6r5ueRJpVVrK5Jsekn/Bxm5MVKMJldteTymz5Ux1Z9KlEm5m+VCP5
NWmzMg7/u+W96VYWVOSdbdA/eNIuPtnxNO8YT0xhVmV/L2bvPw3RNh+8mVKnqd02o3LTgylTCCyR
GoWskn6dYEicWR4vrHJ3s0/FzpIqcV0J/JwM8ypmaMowhfJ7JFv5zFb4UpO8JTZLudhKbkz50bCW
ZN+MiRnkqQHujbLOCR2On2CysvmNlKSDQhDF6dxdsoNKmua31x/Xhkn1183cbGYOIcreAELFKsNS
o4rm+aB7MnmjiS69q+OO+ejKwpWa7IE2DOs6qwvrbqlFHczwR49VlJ+zW3+h0XXXJ/ETKCebOOXF
7ATRzZh+uDkuIIVqjSSblUqgFSXm7t48/HeYlLvZe0DDHJF1cXnEjHlkmh67QWmUys5oovLt6/f2
pTdos810s1Y6U2OsICNM9ToWkmIHJzIxYkT0+iVeOOnczUqvoAcPWJmUoIp46GBsV4aQwbUzSuAX
MBR3s5bdaAQLcGx5rGurCeB6vC+bwrts83HGMulsTM4L25W7aYnlMK5BhZo8JlO17NROHW/yWLmO
q3m5IowGMG1medvYZ+EoEZ1LUTVeeN22IiA5FZOWtLI8FpFafxBuyheylYzORMnN5T41bDXxYeLG
NL1jjH1/gyjQIGiwWJogqhVx1eXN6nsUpeI7vInyQwljw/Vbe2iUQ1YOuL7JHw21MrMXLxJV0aVh
1eVhrorxTVVMw70zpZGA/C3JHdKZVYSo6JPINyLKzYMKz2u1Kqk9Ogh3bu40ge0J7L2GnOepa4c7
PNrEBzkXTJ1MWZfnbP9fuDP2ZuvzupFpVi6yY1QCguRiqbCf6JYrI3fbIEtFdk8oZHzmJXsJ9NkU
a1BwjaokCfYo9OWbYXR38GRa2pcMHv6gHVp3zP/ATeMc/felPdfebHiqnc3ESjGikn1ypbl9f6fi
+coFYTo4elrtewzr9rknHqLFUe4hgah+z2n95vUV+8KmYG82OaFF+Ur5FEezBclSc7sINbK8YZHk
6ZmBzEuX2GxtDSMXdxpkcmQU158iLHnQr6XlJdc6R8B96Q3ZbG2LK0VR9Up87IzCIPusHnbsEeKq
arTqNNVDTwNoKl/+u1u22eQkHDM6d/LW6R3bwB1V+4QThReMk+rsXr/ECzudvdnpEkdOC4wFcSSb
oHyjLavRkcS4qcOV6BB1qAFfv4750tu+2eu8rrZIYqE8whReXmbVbAStXUahBg9lLxVDue7dVly0
an+rsfDfkIVJhIhWVh96qWsPZDTnVJHaN0mLQT6rVuL6p76Px0weBwjBUXXMkxp301h8JPzZxmsS
0xuaZBmMioKheh+LvdJ0h6RcSVRVYe0Gl2hR2Q/idtasLySjzXS4aUf3gRvQUMaGrzpJ7fclBdBk
J8Wd5PHuItFwHJMYdykQRQRtixfqYkd/rJlLe4ce9Ew5+dJy3ZrBIK4qYTLodAEuBnRJJkucIrvG
xgGoxL4tZ2qQNLp6bJQx2g91rnyK27rHezBXj68/sxfe9W1aJ96whbcYWnxsCyf+Axs2+W7R6zzQ
e1ULBtz4KqyTzOHb61f7QZh/pjn5YZ/2UxXk1INSdkQ4HfPOUa8duy13RiSXY9U2DQHIenJYc8bp
Gls9NJ2hQPgFJohW2PQjfG8Dpvu/ewmJLG2BNVhvNereHPGXbjEw+8Nm1LKOCDPER7ke0obDT5rL
8swyeulWbfZWb/BaxUn7+OhMU4t7oyTCbZDzzVJYH7tUpHdLDsDx+o168c1Yt7+fbtRMdFNWVIie
9IJeHAfp9qDm3fzZGebhMh3S4WKwRXuZ5EnybhRFCRssa8M6heP9+id4ofiyNvtsJrw0VfCKPTor
TWzGhx7fNZydXv/rL01irM0eW7eNh00jI4tYi4FvdY2EjmUN9CMoIPCmybmslEmHarZk8OZJMSQN
zv5bcvf/dAXWZssl7Q/zzIoyRrVyKA39JENVZGmIF9O5VNUXttytjQigU4Zdr5IcHexE7g3c2a6h
vH1p3UUOAdjJObxJe+ml3Gy57iyhE9lOchQO5A+sXuc7Y1wwdWg6LKXLSD+4Vq7uxxyWJMHU6Z3U
e2VHfjsln11ljDHA9iHN4upMhL1xMVu6DFvHjv67e21upl6QjY1udjmu80Zmd5EOHKwtes7IxNI+
vP4urUvimT3lx2n001JJZ7fsq6FPj2gHvAOkZMRteMncmr15Tr3wwsG2lci2Y65OjpFyiTZrL5xR
g4ejCG+v465+wCZQx3by/7J3Xk2RXGnX/UNfKtKb2zRVRQEFhYebDGggT3pvf/23CkkzdL0CYuZ6
YiZa6g7R6Y95nr3XVvqAntF/FqT2r3f0OCUaEWy9VHYXb3h8nWdCz9jyyrYebpKfUAxfiG+A3fw+
xiAPjgY9c6hQWZIA1Vvn68Fp1MusacBoRZLmz3U5XHNcGBdtLDY4omvPiOwF/XEB0kNXQCNaEzHI
zpT5emH2HkWEzm+a6aeU0S8+pING//M42Dt1N9Icitk+GVRzR7JZ5sSaV6VJl8eKl3r9/Uv01XGO
xiNCbCTVihi/GwIcaabn8+lSOqiUKad5Ip9/ij//6mU9GnucvEAjVhsx1dse8xTwA1cKHSloxuyn
tMAvRm79aLlX0g3slAVxwjCMYbB0jn7e1cX8w7zw1QUcDTiKOaDSzp1i05Bq5EKdgzNF1KVvz3Tt
v38WXxziOJQnrctOIyu12CRFRE8JoMSurZYLZLw/+fq+OsLhO/80ZETO3NtEyXMRAtRalZZIzMpm
uRwG6LrfX8QXL9THxvzTISQRLw7GoHwT1WF3F4ZyhRAb3pgpt4Als7A7+f44X0wAx8nQnHoz9akG
ytJQr8222uF0Nl2llDJ/qGDPmiAuvj/SVzft8OefrmgxmVhGxNEbvaAfoBb4iROrVqgiCOeHQ3wl
INCOPvcuUgtI+UOyAX/Qs6qfwq08xZKXDIW6xuGNRv7QslEpLwCQVDq3UXR12+S2FWSW/eO6/KuH
dzQa2MKgLFCwjRZlXU1gJu2u9XAaK09hXaKdV+ekORnUsHdQGPTPeVsqT0bfVqU39Lr2q5ulceuk
5D7oKXsOpHEZ2wg7UiigfP8sjnyY/5ofjr1BpRQbbO/R7Go9+P1kka9nvad3n0wrtUmboJsotyI9
RNRrlrbXagDS6SP3KwdYvatnhuEj3Zp3Md5Ad8z0gm6vVd/3kWKvOwN87JCHU4D2cvFzvCNBcrBD
96k4bUZoxQM42rLFptGDeADmsJwNc2Tem8Ie1jk83FUfNac8wXo9dJIDnjdSd5Pc+krz0xjxxYx8
0Gt/fhmzqk7USuFFof+vEoA7sU9xEnS3csNmcVHfiU1i7940P7HMsCryV//DOkM7GvlQapIRPwnC
BRdHRvDcl/Bv61wmMpNF2OITOXpwVuEz9yowGOdKXA6Aq+EYNIFmxLHP9hFJik3LuPFiZlqFANeK
GXVMlsJtSH/f0nwbPCjJKzD+EdWognsLmiEbn3JA+lh5Sylcd6ndnqgAlOj8U4N9FUPYjK5g1r40
amm4QNakXWeaMl2SpmC8ipro0gNsBqZC18bmOZz7KnZxSfTCSzQ1vMgdCeTtIDnjVURrdfCjyiz7
lRT9oktalDgiQnVXAHNH+5Gn9CBULEWWplYJSQFdDXdWQ6xkzTgc1zHtwykAAB9BILatbNMvE11B
yZKWzHdmJbXImsSa5Nowpd5MCjn+ZBmS5ceT1j42g0xgQmcjpJTqxqEfgedp5tSW8FkGAH2Hhe2q
M8W4NWb6q63iXFQRpG97mdXI1RvREy02mxKdhdZSz8qxkGWiDoQ+kPje0o/n+uLXPsuUszCJQsMz
NZy3PiIZuIV1KZ5Vq2npa4YJUj0jzjMRaOCnH4yuVreZKOpACLut13JeUKpQVAsidzrCjPPsKiT3
XOJy4pHQEs9m6hKXOaOB4hVhn2getfLprZSrbrhCOVlfJeQ30Cq3nSw8iFycX3UIBdeDGJ1tIqBZ
pV8oZohBpZpzCbUWYOxd50jZa1E1xkM2swt1JTO1oEmSOHJnJzEE8RE4BmkNwoC/MtpT6JPYYN92
uHYSb1ii6iXpZz6VJc1A9TbRPMBFSrTelemme2gSanWFRKfnlV5UkzYlXfjM5YUcH2ZFKSOMZIN9
W6lh/C4hfYrXuMHy1LeIBtxMXZEYXtsUtOX1GRmGq49agtzBNkICw6Ku19dELow37DgKNEx9XCcr
diTGgkI416d1OurEMmmDpgZVEum6ZwgrPh/NeAHqbYzyfozEYuG0x2sVq2QBROBc4nNbKbBHyNUk
w4dcFhJG0jnKigA2NuqtupWKl7jTAahNfQdt33JWoU3d28MWNV/azjzjX8scaz0AONBI3ADznJjt
AF6bKOezMavmdEVVq4bLH0fPrbzEK2nIkkMVSySearaysx1op5VeTR57UI20QbdjrKiDB8g02uOD
q+wNyzs6X3YjWVnQNxUPlNFbf3ES0d9KIAgnl6/C2iaqMk1eWhQyCF1LTi5MIGkPZHgMp7Qcm9BV
4TQmHt0k5zqKWylFb0s/lNa20yRXVJrLdZFIxi8IdZXPuwBXvQ9zYim6tI5v+yK0XgH0p0zaST5x
S5y2jYK4K0pU0jWdglXnVEvEqB1W59F4wEtrUtbuI6OQZ8+m7mF4mNaBCTd20wNgwepAiohYgLzI
/ZjeSFjosFoRiHGLJFrS3Qm0z4utlOw0U1Ov4TRBCuBgQJcuFvsg4idp18z8xOrCNWK5RgSSExrL
qqaYuMvyKR3ciREkxjK5KAw11SDhLsla5GR9NkvBrEmV4mcaroGgXOxupZOMfYNlBrn3IFtnsIdS
eyWcvHsdBsVwXDJ4ltUcOzJtHoBoFBZ0UpYWXc1gypPMwsg4UCfXuvF80IHsufx9tqeCLNg0YZuo
275fQHxz6cgGK9Fkr44zjL0P/6hftRQdHx29kRm6yAfiDtXDYJ9oMLEMN28NroDXdzidljQCh6gs
xoUsA7FxiaIfT3KNGCXXdmJjz1dfIyEUDuElOW/y7M+RPXrlUvTNOqKK/wI67tzO67tINuPGB4jh
nE6qFL3l/DxvAmIe8E1FfKHnlvYrFBFWiSGpiENNTNU4iZDXWytNME4FzhLTgS1kw9pXU5vGq1I+
VD2nzNJds2ZCJU+qH0KWOh19AxBUs+84SUTvPVeU2qU6Iz+E86hmmy4HJhBr1kWuDcpNXNJtXFJZ
lG6tVgAioAw46AQo/oRorwr9LKPbxotejeHlJGeG7updpTySu9yXgUGqFRSfsL5oQ+Iupni+RbB4
kE04SXEjgWxP0FWK9pVMl3L2WoRdJZrvNH/KnIyTK2MCsbwk1JstFcZ88RReWX+uSoDtU2zLkq+C
tr9CkTZeicSZnqJSb+e13WkAy8zUaDovq+NxZu0JIthlSpdpT5WRvCm4BS6ZvsULlsLhZimLfFdp
WYevVI4WQssKAoH9ifQg8Da8OBu5bGfNLcm/iTzZmkTvxXEfa+sKQ9ovwbf7yMKgUd0cvXGFzA5o
AL7UqFkOet208GQndDoEFxbB731BsY+Obn9GX9twEXJpOIVVyUWwdhYPTVW4k6G2V/8PYqwZs2qw
10OR5PfodTg1IRXV/fdL0C9WYMdMlCRklOzhHqwTm8FKiZVf+pi1YF1p9+VRqNPcYqYZ0t757zo/
2PB+W/IxdE6FOByQ+ajapwiB39nnmifgLX59f0lfVSU/TECftjijrLdChwa3tgaqYoVGAlmZi3RF
KFX70pkWDehuyPwqbxsoMLnpd1k5vfxw8C/Wl+rR+lJGJWpKVPHWgzLeRIYie/MgMLNgxvXUSB4g
8xqEaxC/5KqMyidZPcqnYz3i8NXTwtfaTFql8vD8/el88XiPce7TogJmGkZzLY8l0040mKtmKdqd
E4tyjXAx80I57lcRi5QfjvjFpusYqsq02aWmmmKUkJL0TsUn5GuAmbYxA9YJqv3pv3uPPkqpnx6y
UsIFUNXRWhudXgQiU7Nz1paDD38u3X9/877YKn94QD8dYsmIxGoqy16Tb0f1xTEvsolcrIbcmR92
yl8d4Wgz3pKHokk0j9amLd12iaZdJhmxtyYc2h8KC189jqOtODyAjJ6ZTgMgBkA9QnQgGKpUVrhC
y7XSE0T4/b36ooDxod35dK/CRtPbSkzSOkrFA5tYQlFHtMa5eCVzbD5Jze6nvPiPcu0/7OA+qg6f
DmU2GcE5IhEb0t9UrwY/eGk5zXBBp8l0lwMKTjN71KltUpzjQdO8somUQBVi8qGo9Xew4t/zsWHN
Enfp2RBOyl2SjxoeH20ERDVbgR2hXtBLaSbbCawGmmgzULPYvNQ6Qntji16rSV0axVphnYwSQbPd
rOeBRBeSuMoZ+bqjZhfRosRrzarS89Ay6aH2BAgOUjUFwpLzkzxLaQ9nsDWYQpegGJM8SJGq+9Yh
8YqdaIeesJ1/eNG+6kR9/Pmnm0b2SIKELpPWtVm0JwrrzKCcMuFjYmx9PdQTsBozRts0lbZt3MlX
QlFYkNlC/PCCHMWd/qvW8TFafzqDVI1qtQnzcD2MraMd4suyC7qEWuM2uCnWlmLWqo/z3lFQG7bt
86AOuW9OZr+2y2pgBzGnik80pbFzEurTP5zWF8O1fNzZEFHb6dIoNk1WK+siZk5Cy6n6338VX3zf
6tHf3qeK5EwhX5+BS8ArM+Gwy57JKeypNHx/iI+J8x8+hw+n0qf72mPwFfAn0w08Ccfnoc6rKqLA
Tm5C9Cts0OeWyTLira2XoCzC6JHokGadTPD7VHWZt5nKxi4EL7heRrAQeeuE52HUxyuKFXgyI+ey
JDd+n3blr8Zw4tX3p/1Vy+tD+PrptEUJPKzP6PcQg9gFI7I9Lx/ScfWnDXshJrDRzF8TpPOzbNaN
jRPTmlFjWWfetp1LTXGmHRJZPr1Qd651YRiu2jrK6fen98WwqR7+/NPZ2WTD6SDQ0k1oV9beMXvE
FtRKPdVZ8Lc11k8J9l8Mmx/67U/HSSM5TyMQy2vhzJcA5Mo1KVS9CwQsdHmI8ENwNfx3l3Q0E5Bm
1StNSTiX3EzD2YwuzGOvOK7gXeM7xOzx5637H+ziE+yCsPFPN/+Ax/qNX7Xu5yNw1ccP/A25MP+A
HwlkGSwgrzdRH/8iVx0gF2SpKAfOGgkgn8lV9h9sqlWiADR4OxDzDw7EvxgXyh/8AMhViOyApviP
7P8EcWF8yIf/PaJArmIFpQDPMqFcguU5bkEZ8IrMtBiEJyY837B7NIuUzLTUK48oamKfgBgsT8Oi
6LdYLxXEPraTxJ6x1AIjBxDX6xHiL0phJdWeWmGDTWIGgNApCulmThftdVwqR/XbqNjW7M+v6G/j
l+kkYkjckiLEqVYp6DMibYiuylAHRywVS7rv+844w/dmkXE6NcbdlMbUVKqlKEckudVokJE26xmq
QIU86HaJ5Osxkh0K/pQLH6j4dDtKEbHmt2OodCvkEVyRFabtAzTOcKQFqh1ASEi3nhugyvu6CofB
Fb2WvkWtIPusQXJEvX1Kmz6Aimq4UsOE1cgCgtfcHFT0hgmKYy0VhXVaq6GBmxHnXORXWW7S7dA5
WKCoJTwac1SiR+Lz+vOhi7KUgdiZdXeI8nkv2Pfra8qk7TaXbYnaRD5IFyQE6tmqtbpD8hyF3QHO
OxUIN+9xqPkF3q7w8Fxy46RaZHUTRRAudtTc9IUBZbIeFaM7ZAlTzpL8sE0dfLL4bNjVW0NicO9H
zJ4oSWOKgHXTouSBfkwGtZUaJ9poXNOpCq8kqJEAylqtt100+8oV2OMo82vLts51zi/ycWkaPZl6
1nIbNQhGXYSq9ols5qRj0G6yQQJL6LhdSRdqAp+YEB03yyXnxSTSQ3iVaXQvyoTS2tVS3BwbVSaG
z+jimcKKlA03I+T/gaJPe5js+jrEIJdQ3umNbVwQ0jeOcYhdp3eqc7A/dEngtfMeT5KlvNso2HIX
FDJ5e32ttC13O0PhKo9Q9ME8qXqND6sxZ98a8Dh65Sxh/Oj1+VVry/JtWEz5fSoX+cJsZhrXxNBr
FZZeqDBeNaJsC1IKkZATdKnjkdVz/CLMEVx8w2SL68luh6cBiv2TRV4qYAkcOWhwZ32hxWMCtVqM
8XyRJykO5LZArjPaCbYodWmap2S0bdM1R2Bx5IPGK0VPOz2gXmluSWrOHIr3obW4SyRUPcBdRMnH
BJ7bvMxSmO2Im8iw6QirPenjQ0Ia8Ya5HiAVMYy1pQ4ZGUBmry4+ZP9TJdHyMAAwVd3ocq7ZXgGO
VLiJapIcN8VDwbY2QmW8Br047BtnzpMTS5cd0nkLmhaeTWrhS1UscG8anSqq6wxKae4mSaXeGLMe
uaDmROwl7rvstVPstjltHEucEVmoTa4uT+SLKmY1xwGUGgKsqoVnQTWlrN6p2ou3VM3CB6Tky7NU
8ug9etfmY5FhjfQ6Wa8eM0EqtVtGySD58gj5zJWx4SZuvThxDs1DTDc2G/GE+p467IYK56HLer1/
AhKvPY8pDkiI1CIhmHMsQKyRZ/ds9dD9/Alq4CugY5CsSxm2NzHy8+6EdEC6DKRA19dFnSt73jGN
NEm1qii1dmWa0C8hfIvoVUeiRI958c5m512geuXFdZsa+eCqt0QeBUWpVv1pp1eOsu3lapx2gx5P
FlVaUjm9cBr6bgt5/MD+rBs0frmhCOH1KvYd8EIL8NGSeFVNIJ2s4Yz5epIwyMHbTSnextJ4SlhQ
me6Mqo2toBGtHPtDh+7oPBlFpF/gXpRfpMRSZTfMRGivs2wBIb7E8kGRZ3bTdFEbdomzRavk9KzE
YwpQ36yMyz6T5m5fLhTXPb0t4tAPZ8KOrnRFEnR3xVzKW6mOaQY3fW6YobvEptKrrk6oM0xYK2f1
TQVVidugJdvx1lpGsyHngVhar9CtUfYof/J+C6EBzFDtaG7uwA132VuaAWVxAUTa48rkuVaeXdv2
vE5Z1jBKEKN9b4vcvmx5F8koV/l5P59U5YWQSInwcxT1MO95Vm6qxaNMGTbvbkbuDVE0el04q6Ru
rQlzfmxOfjsLsTPkdNy2sEIe4iQPiZRenOR8gT6lkMI4ELtBw1iiJziW1a+oi5ZfRps2F2WdJk8V
4aWnQpjKfcgH/Uuh1bB4Y+dAD2TQsRr/kGn5ao1jf6sZUYk8MR7IGNcO/SeMLqRjupWc2A1olNBu
8Rzr9r02TE55alJcozu45Czj665pA3iDpLFD2R2e+hHQnBuaJaONo+ra4uMjLRGHkkW+MF+alB2R
RV6rZqHPm7GtjLtyHDO6KFM/36oVOZPekGZE0pKbSSNOG8dCuHFHDWaV5g2qbcoY3MAa4XC9VWIC
0iAVhqlYKQNdTjcVkzViHK77O7K8ccVLlq6HrqH0MfnUi60gp6DRdBtbY2t7s+XgZOs0R+6YLiDp
uYkTpmeLQ8Smy3hsBuQWENpKQrn6BGSQTmjJgDIw/afZsEpyx3gyIyN/tyLaHGy8zKpZST18gaIs
pztDTQxQBaFsvqBT6G4gvqrMoPqU5W7GLoJZHO/CL6uUnJOhc9pXO57TS6fuSwYMMkEKvzFaJw9I
ks/2M0Dwcloz2zqFfFpA1bvrk5Cc8jbqakSRtM7fU5RI74McOe+KXsmMTrm+w0Rlli4C2PbCKLCi
42sqz2khdQ+FTeiuj2G8vIlbsmzdBe8h8mZdUU9i0BDWBvId+6WCXdtZ1mmUEpu40LrAktEF+mys
u00YWlofINLLNVKXZ6mAyavJr+Y4LbNPvxoWDKwV8H1aEmUn8jQ4RGcnqnpja71+g4I5QheHC4GY
LzkJaeRGFWuuKbFvujYsTC920gajSVWwrwVjKB8gh8ODIxeddmjPpjGcBNJ8sVoby46GDXyHtu/b
EzSLto61PUt2vR5lwy7PEwpFRpJHt8wocnqSOKlyZ1m1Onra1IYr0Zp0diZUrLo/C1uNAs3qZ21F
Xi5AoaJozNtOo9O2Xlg5PTSWyKjzaCK9IdmpugQ9EUfeIEtUt6cozc4Y1EE9OvrwSrxA9Mpqdn7J
IC88kSiGFIIGFo8OTJfKWVo8ao9v3sJ3WVUtn7kZdpfgwsUtfRU79KKe5Zg70jSXvVBK05sxIWiY
vopiPoJsX06LKDbqlaGNjrOtLFzwbjOGnXLSxmGFxzuJlLs6H8pLtExlvoE7NkEoxfLja8wdp0rY
j8Jv9EIZaPOCbXRFWFsnMFYG8sCVRNmOy5JkFI0TcwtSjPYIDQl8n61o4XbyDqdMmio9URzeFbFM
2sDYuKgsDxbZMKJVVNHvdaNyUh5YI+QCCT2LROLFnPZedCadjzZEdu9CzSSxpO0cOpwIKKVkQ+Ba
nHiSTrSxXzSLczUXy0zz3rbGGz2pxX2pOdUhD6MIG4g+qrgvpHl8s60EwFyRsnRyC8VAeZMigjlN
9Vzse7q8AGnH0brJqwTbAHN8tCMhFou3AocJXm4xYSEjfJyftivh7MjZjLUg4TMrtF560ArJ0jaJ
pC2KV/ZjsZVGosZBhs7GCSE++m1C74wBtpn5C0qjDS9oU3MOYxHSOhtmJVJdioAaxZNe0Cf62Pv9
b0P8aUOsHiSuX+Mfb5s+6p/nz9THj5/4e0es/XGIeCDxgGx1eDim+q8dsWH/QXYrkZigzvkR+UCE
/Bv7qMl/oATGTkOhhKQE41Ap/hv7qOl/8DM2BpG//lLzP9oT/yYaQlsLZZpd8WFrTJgMaOnfy0KI
FgZdH+ksLnkhP7aZ0a565rubTp6oRH26M5d/7rM/gxx/b9n8dSyg0bSnuCw2/L8fiyEFFGCdagEs
mtZPQ6jDg2rZKy0FDt0DD7lOE4ipRiOWHypEh0rQv/f9fx2ZY1JGIHXYPu6f2ZPGmKTyYaVRXfKd
MC7A6frhIL+XRP86CPEWaEvhaKrHHrdc7zstLTlIbNjXNBndIhzO05+qokf17v97mKMnpgw0bYmb
1oKxGeJdX9CvH+tGuql0iTmqCtt+XU6UC1BeoZeBAXgPVWAPqST6wcR7RIz6+0x04KTgSRHz825/
LimOpHSS5MjzHD3Zo/bgleeSF69Jhlor/Ip9dFwpnuo2XuZ1vr2H8eLlL4nXbplnT36Sf/7jMwaF
+vfZHFUDae/GBxaHFgxjVPq1YZxJBzLK96/w8TO2ZD7VQ2gODxiZ7LF3XNfncQxhSQVMZsZKUrNs
V8UtnRaoR5vvD3V8PXRQFPCuJsnRNk3V46aQrrVRrnYJ3lwklW6dqjzRrrP874+ifRi8P38bHMey
NCpzDFQKEc9HFX0ZfHvFdmEBnjIloatLs1hgu/Rz6+pChMVaH3oh1lWs6S+aOjoLcKRQq566iEip
1AUo2w0njiyHhDaMI+7dyRYhPtoQjcw+HWoW164KGO4CWmIaeTEVsJi4JkGdh7a2YngzkeTtaZPF
E1DqlpUtKy2EfnsWt4em1UwiMgV/luq4cjPVPs9n7sxJkrIRTenE7Wxh7VkenyXqErHyruU4djGI
WV7rRJOyGgtr0P3RZtFvjV3J9n0A6oFJQOqyTXz4dV2lcetsRDNVyTX+qQod01gjm7DrunR8qSqc
O5b5YXjRa33krHsHbDeYZWOQXFVi7fArLxYdw+qISIS9ChUhkbGVDFDyIQWW8kq6I7LELH3hkPPX
REWbrDtdjxuvyO2oXS3olFRPzhvECZJVopRIBEqsSskVcFqtLSgwhtrDJCBe0PGLu5Mpz/Ie3rMk
nROMVKYsOjr7VS+nSrlAZYKbBdJhp2IEC8uMs1HiPjB6WToHF2XXa7qmMDJGM7NfHTmZ0GJYzmSf
RnimHd+xZhapkmbXcpBOXfasJZpBGGU+LPOqiCfY2ynkwsXFf1EE+dgWEsLSSLlUGzUOXdOc7csa
LcplN2rWvgE+9WLwjZRelnXZFfZYYJsj6CUDmL9WUQAASzn4mjS372KCnesbBoIrWDxgp6CvifGG
ZCzYGbM5LoiVhGWjXFZqZKpDpWa/mD/NDMnUUD/GetHlXitUcZNHkg0AEhzzLymM4l2k51JInm7G
blGAabKCyoqiDK9plD3qTgHPp9cmBJojlsf3lErYOZDc8FcUVe2lyBdEcpR+o8ZTrX64GOequJ8z
0qaRQUbRBUtUqGRWkdr71jGpXWpFy7rUiqXhehq6+pXtZ1ydzOE4lWw3pQammSmJ+6WewsSHOl6y
0YOcJVydoKJdhxWUeMba7uCiDHHmDQj/9ipsM1ae2jzutAhquAf5pL9uVJgRfqTK7S1bReek6c2G
HTLgS0LuCLxkXpABu8RzrqfgxwZ5P4u8R6ADKyX0YlpWwqUWRIUr5UW/ABcVI+/JLGkjSxloP531
N+kFqaK9Woo+yKclhMlzSbeXJ7XS6DDymtkXeJELsDldN3YEV2byk+mAekB7F1sVi+VKv3LCge8y
rPTyvZwk87lb5hC1Lzx82eXuJxcFcda3vFLZq4ioPfljdEDkizmpamK5HGXH1oLbROabctUyhigu
Traq8Go2Gqa3kBF3Hhq5nnmaqXUP82Dn51U3d4Yf88Zc5cVEZCFJUPlbgboMVXaipby3s61Tvpsx
3yJHqlVzo9dJfmooOrgBW08yA4c8H7dr4I5JfUWlkI76HGVrQE5Lm1Ol6vuMqkFWC7apc9p7qqjK
JwrLFqOAYgyX8A70ib6zXb/JskSx0NRU4mNmSZnOCGTIjLM4rbvWzcQYzysrtgjEpCLh6LQQnVgO
ajNEgFYMhlq6oKSMaQ/UBaFX3JdzuxGYMUMMda1hb8lxbxrKrXWDrNicZH2tL1QvzhSqKHfOkvcU
vSiEXxMZJQsksposvDAeNGA4bGqzQJRJs5xXlBgvFwpcKnUmJYNXWrCfj/qkCgyFohHkBoIdAsh2
Rg1jra+TjQxAkr1tk03aRi+twwOTQcD6kalXrUcpxOZtdoRzPdQJegBqdlSkC7mQzbXZEPPMeGtK
FDdzZRoAoUSLheCO0HYvmksqLWOkii6Y7B72HXobZqDWIrsBerFJL6XrEQSt7NSyxiCN5b4G2Wmz
ZUsBr86tyMYrs6liSm0hwO9TPH5i9E2wZi0TgcjsTaH3LNK0ZTIuJ3XEYVZZEyH1QiYJw1uKuK7x
iXPyq9woVemU+p7RuDmkiYX2ACNqojTVLQvMSA9sMQw7GeypGWCTzeyAjCq98oGjOXKQ4XLo3FSJ
HeFBeEGkacooiM6MFDBCwC41o6wDMTILqjJRuxszVeQRcrmu3RsTFbYN0LrJuZLMkBtGH6aeVkKl
8+kNogpHl+/LKD2+nH5B/SnCgZp4rElBX0qa7MK9gnCpOF1yzrCaOCh+K/NEn9VyI1fRcq1YFSp6
ZwiN6yxJdTo6oVqwaJzrxgcc5pguxg0DVpWiZk1yZtvD+F61qZWB50lgAULoKxTk7kXbra240dtt
pjhC9w/DDokYXNuBcGmp94LrxAmgmg/EllbzmSSktmQkQyzrhomundUa0DxXj60uXTVhqj99rHf+
t2X9bcvKGu7rLevdW/G29G8Z8rd/5w8BVPx3VoHzhy2b5qFLirYcswBL078CiCztkFVA59RhEcy6
9NOmVTH+YAvA38OOkvdaO/hd/9qzyn/g5joE1DnUYGyTqALrP9mzHjHgDMM02E5DllaJILfgeR1p
GWTaIrlUzqF/d0GR0319it3L2L2I3J1wd5dv69vt+8Pr9vrTTfqH3at+0Dn+e6H8f496UDx8UjYs
jHtGjnXRf6rdu33p3sCQdR/4zcvbWeROh9+/rYPH++fd6d3u7Pn2/fr29HU/uj+dxw+ncbT/k3N1
kpaUi4d9o8gvjfhBG+gc7t5313m0IVAnvVONw3WW7sPdnhAD9+nu4e705Y2StPvA/59yd3FvXi6u
Ti6ebk4i9+TKvTy5ujo5211dnXm74Gx9dbK+utoe/i3YboPTp+vdmbe93nqP1zvv+vr0Yu9t30+v
d9u9f3r6/sP5G4dt5zfnbx7pVUH8lpbUc/7nT+cP++3m/Oni6fThYb2+OT1/iNzg7OosWG/Pgqur
i6uL1cXhFLf76/3pdbDb/rCH+9g8fXcuiCs+vzMl6Naq1T7u5cvhteFevrzcvF1G7g11CG7j1dtN
zL2M3Zh/LQ+/rt9u3ri9N9Phbb7nv7yv3MtH4b4/P+7eXx+f98LdPu95ux4v33m79tfvd++vrEP5
393+/a7mg3jYn509Pr+evl8Ld//6w/39cIh+d01H235atBS6DK7JX537m3P/8M+V6wYnq9Xacz03
8PiNu/E3P21VDzfruwNrv9/MiqpuFoeYh7hCXsP96/vpy0XO9b4Q0+Ze7bhXhXv2uL17vnze/fAk
D1/Vd8c+7NY/ffzdqEepPXPRkrmpzftYforSS4DZ9CR7t5Tvvh9rjiJP/hxrKO+ZMLZ1hUzMo3sM
/qjPWEKE/lLV5/F41rfaJrdHd9DfaysPKOg+kT4YS1pQDFf6cK/rIEX0rbQ8z+ntON1E/U2kxT/k
NvzjuPtnOZI6GknRR28z5qxCtkZxGBluXpB5ulex+/Jy+Xx2+fx4uXu9lt27158+5yPN+1+34qMG
+udBj27FIsAOkgN1yKWX3M64twgxSpXTab62ncgl7gqd56nS/VDc+r3Qw1GpirA5dMjIPExpx7jD
mbY+BcmaJmAdtT5F+QU3Xz5G/twNy6/vn/bxsSxS9HRcEhpzJMqpD33pp3erGcauKbvIJqnWGs7b
cdaeB31Ur5okzi//i0OZCkwSJvZDgfn315jqZCw7Q2L7Wd0t18by/7k70964jS0N/5VgvjMgWVyB
mQukye7WLlmSF+kL0ZZk7vvOXz8P2/GFuuWoryIDE4wvkFxbDotVrOXUWZ7XbyJnxAWyMJBj+/h6
W/OSeL5k5m7puJTxceNyxVjYbctEQbHVKtN0tSbXL+1a95aUyicHJuXPWjFYJ8TdBYaFvLcpdDAd
gllzGNGVFmpUb5rrzJwOVde+mIVzZwwL0wdPvWLgMN/tTKGHgowCQkNqPRirAB/35x5lIeFkxBxP
0HlVued6TeSWsaW7+NnthyjTSb95+5gi5YGLWSNPjkm6+xpmG5SwbkfTjaTJwJ1E1Kyvp8Z5YyuI
QVsk2+HAk9HM25f1qPUAjobXChfKVLiOrUld5H0RrN/aikb+DBl3+CSFsPYdnOCzuj4wzAFpO4KN
lZ3hUwvstyFRCb3gm0ZVmkQtQzGRVt0zlxDjrSO9I8sh6xX7JCgV28FPz2UdYfkDH0edt6KdGb/X
1t7qssnDT/HzDe5YRdTIxdfU/yOe1xy1rXccmfUykdLPOclPJeoYVGQdMc+WSEOvlKE9Uoz+yEyG
pT5MG2FoLq7oVUQaBKWnyscheutGML8qWtsoJHNYowG/O5FkNAGjXuVVRRblq8YSX4QVSCQyVdmB
Y/vFAp1b0vjUYg5ycXvYbYnLeJqIXAyuB+L3HFeefCbpwjwwZfeN1vkzM1m5ENAXQkvzWzzbQ3OP
jMmhxNESWp25NBA0XyV9p14Y49RR6hvox69P3hffmkASdxyZWBZ3EJ38kt0Gw0aSOTuq0VXOqG+/
bD9l59UX+1G7GMJF8xnKwKfxaroINtO38Mo+8ZYEaQ+YJNuo1fPptv8Ke33uB8BrCaFfN/8kbuRr
81K7yL8Za/9EfOjJcriy2oX0Ub6KxkV5XB+JS3GrHdh890d9/w32dsUuEFqAPChVJWUEEw9uia+t
VL0/yctDGkP70whVZiEMcKeKbWF57Jc1SIg2yk3d9C7aI9JCsabqBke6/OX1z7rl9jwfU5rRdJlF
Kpip7PR7Y+oXwiMdhYwSLUiPrRIptbFTvlgDSesBmVdZpThSfBIUH4XSrwdiBK390UyRHChgpErW
tDCtU90uv6CR1+okiwSnSdUfpRp6ytK5iqNSmSm7tkRqysZGaGKkfq+/U5S7GSPkFccKKOBJflT5
gLL0GdW9BYVGS7On+Dp8zJsCx2qy0qv4EJD1J8NLCBg9KOwdCw/63jaZR6icIHjTIzs72V+H2Nfu
8zRZHhhd1sTe4GJTaQJHm6ma2j7UL1KMtlHVkXzkMZVhSXQfTOoUDyBNf9ITGuG8tthwZm/D7sIc
qAWpJa3uXb3JxoWNBuwCac9D4uk/a4XxQq/RZrbwf3ZbAfmje6Ya9S6hEHGmE28lUtVaB3aZeW/c
HzAFB4eMv0OQszWvv2e7moC6qQRl17tDHM9V7Yl9YxMVOx/KiSivHwonnqVhXv9K86d+0Si+fMaP
cWRz223U8wHspySdu4gv5idmVW1KMoJDtD8kSSZ6QV6VgpChi8KocuAE/emomljdJEZgE2833Wf9
1UWKQGucMaq6iN2mkjx37A31wMb5s1bYS8h7oJPzRWa3g4KyMHmqJJjQqW+uIj1pTxRO3QOFNsr+
5shWwqGEO8ykeEGz9tMdEOjrqrxOezfSVEGMg3gl7HT/qutH6yRGw2oRxEO6QilF5a8IwP99Xt9B
LDvSOkprCTWbiyhJb4veXBK2O1BlujWv9j+zYRjY51joVEXszS1fbYe45bR0FSLNKHI0VfZVH5Ti
EoG8eS+KvWsDDsrRxP2Ui7Xi1x/qIQVJLRuIwDjSpGYPr0+8eWLtvRHlH7pMViuZMYbYs0kqLTIK
S2lR0e0pRUxHwDIYCsEqQSnhwE70s6ZI5OR2TXwdF+feJhEodt/ihG9dcLooQcORHj5EGpX61MR7
dXegtfnFdzvGPmQqFJ0wH7Db9zYLvbD8gthZ63ahhVYy1MUFif+ISxrEr7wiC88mIR8Fg3pNWGM4
YBm96KoCqcGkFsbgX/Oy2p3tTeVVVitHVJYQpfZJjAXh6lRmlwCuAs6jHOjri1k/pyrIKkwSLko0
Oi++Z0tYVhJDJMTT3DEqLxOp+VIIwnieOd4TMz5EYH+xVVFrRKyd3Cn+iarunm0pkYw3VJYZux6c
jiWSzN151k7tsQGn+7o2w47jrE/WFMlYq9fn6oudedvybP8wvCz0vZYTyW67qrZj1xiJcKpScVa1
BfpIRXBf2cVRNoslvd7ii12LFjHYqYeidIlJtDewoagH/OoG22JZQc6GJbNopvwQ/2/v8xnzfX1O
k2IJCv63nymVEigCgTsRtEL7SJylVpjU1wYACDFjeOD+5sEQH9KU2JuiNGrOlxExt0lIft+2y/TC
z6ymolKYnNSHMGniNXE+guutHojNm4Zxbksntw53BCfbrLe8Oz87LiEeFTip2zSh8sGLCm8ueCje
9rG2rcyCygLhc03DAbLbijcReC7qPnVFJah5VIJoU5HCe+CkfjFuzAdbtrEuSN1hz9xb2uFQ+shO
MW560abWKhV19lmVxyJZIWtaH7D1968bOD1IObQ5NpllMl3am4DjpLZJ2UUpIu6WsI7NQsMTkvnC
Dh3gP4n2QR5DncSNrBwn47KAr38HKlTqFqXejtESDEDeOGpomsF9SsX7VwlthujJyqTqnDrirF8G
WdgAvtFClGrdwbOM+hRiWk0tJ9TfD2+cBnTGInbENyKSpOwbOWVvh+Q90RkxRTbp9DLQsij3Dlga
L1aTYGvizksJo8nCfWEljnbZIcQCYcwmt4B8/Aamb88FxqKop5TuFU4f/W32L59JIfvc5qokC5s9
Y29SNJKFNqaepS4uuXLZRzBi9HDID0zwLf7g2Zm2bcZAVkxV6R83/L11FCsoy3e2n7rlMFnUSQb+
BYVdsSN35XSi9FZxU8LqIiAd+qt6FgZrrHpYUNIwrM2y9o/IbVc+v/WbzrYyRr9mqHMW5p5dl1qN
FqZRkLp2ghEVRnq/iqRKHOj53j78veNYjQr3GM63fb7MMIxhmpa0ElV6eANOILjqI9K8394Xto/Z
maGRc7jPJ5ZqS8pEpcF0CdUJMUSpXauhkv2NuYJFoKoKdqCKtbq7TcVBrktJYSdY2V20soZedclb
Gf9OX+gJjiYaIpdxt5VJ6sYSKzJhTSvJt1zIPRpXVHQdaGbvSN5+GKD0Gl8G/w/Xy91mODeBb83N
JHUufYDVAvEIEK+rNEGzxi8XH5thfOgu8XILVth5MVbxLALa3EIZn5k7U4iaTciZ6VoWwD4lHuQj
Laa8i/Sq9PatU4INBBsSe2fOQt13ccWkX1AhPQQu3lQuRkpWZmfRlMSF+3o7L7vEXDBY0hjXQIX2
PaZ9PWokpOGIzfzY+FL0XAIAo9WhaixtvVHF0+vNvfxsKu576pEEzkjBmbz72RKlMmqOa5rLO/Ok
YpfQV2M/2ojJZ9CaIPMhbM+nXb+1WfZJDrM5FoKzW5637mcfLhqziJTDRCILJyv7paFQqrGGU5lf
Nm016guFPSty/TStDnhe9y4DTFMaxtuNWobA07QNXz9reKiUrhnkQGKn7L3TIDfT49j0o/U0jKPj
Z2O5lpJYuiAlK3KpDO0P9PvlkYSHR1YwG3CRyBzmu/0mq6MakkSCzkiebLcA/xCkqzRVog5smsAh
jPJopxyYUvM33D0saFTVSX0kY8Sy99FGVofai2Z4HpqnlrSUWkR6+gj03uuf9OXEpRXGV1UEzhKm
1G7X7KiJSLtXPWeouqk/o4IM/1wTkCrixhET68BB8KI5rC5VBk5g0xbhu71tzW8HTW+tSXK0fpLX
bRp9SoSsHallEx7Y2V4MH/NEsKXhkCSgpsh730yq27aqqFx15CYIVtZEPMZDLPbA8L1YiHMrRLmY
mJiuHG67w4egVUl5IJXRXV9m16rVhvclxsSdEmpasKCeay6+1ozbN340WuWE215NWRH7o0hE0ibn
V7Wc2Buyk4yU5EXdKfGHvqr81etN7d0WKQ2m0kYm9KZwayN/fx7mZyvPCPmjifxEJwCn+sm01aH7
YFDjG46LKBayf86N1tTWDQplqb0Q3ZQNbzXYuXTM3iAcyzyJiuPdN0hqrSJWlegUGHLUSgXo1YUt
p82nvLS0t1505rbmUvf5HjdDN3bbGqU2SnMr1Z0gaouTNpbyc1ULD90XXywCWmE9axZDQ7/2p2Y0
dlkq4Ud00lyOy6WkSVSR+nh1ZZJKffOQg/Blc/MKJ+lL5Vzie+55UgatImbN6ehErdGdRrFaO142
KJdmCq3q9dny06ZmZw3Rf9x35t5u4sciC5KxoWdSObN+9VK7G0tJL1YlpekHLgovVzj9etbY3tRU
wiL2NJBbjt93/apQs36BNPIhjb+fdQnHO/YKgXmW3fzzZwuATXhUKZ7UnDY1zcSJmsqE+WtaZ6Ky
9OZvjJ/JhmxisHCz36aZPWtsCmFqqi3jFwhPX2lNIlPJoklnKun+bz3TKFyZYzWGPocWiALu9mvy
0BBWI5pSzLb+EEzCcmG4yictnEmXav70wDL+ydfCWyHjd1I1wEXy3ji2dlcJNJg1B96aedulMsKb
Zpq7r0/An7ZClRUbFr67Fw5aINJF3pOMC5RTIz0+SqANtlH01ovwPHZ4+wnF4xPner87dkPQQMY2
E6a5mQ+LuEb1VemnQ6oML6wOMuaFhZeHzReQ1f5FmEdPSK3CMYYZYz7yBYtla/gk8pQ18VIyzLsD
g/eTqU4cj5pG/C9cPfS9jYJ6lEoimEB+hkQpiiNPNciWHg/kE251AqOvf6qXR6eikSgha4wke8V+
RCHsElMvfVrTB2E7RhQ0ERn7vQ2rGBh5ZdiXXS/7BxwyXOvnXuzYVZZu4ljgTFExJO19L2TTRZM6
wfvAgV02t4Xilf1RI8LmjHQeUbvUqFHumKm1dCeyHJykkfZ4+sfCWqbSFJmr2M4qc2HmTXjtR6D4
F7VGVUJbIxLktJUO2LcVfnoTAxEXCwMoADAGoxLJChMVMDeFVMGNx1JAubdp8lOroGTE8S0f4ndh
GDoOPMSSPqqlXt+llLKhb+4XlGEgeqqu0Hr1yKRpNO1B4z8+jwttstxYmGCjE8u0A1fzi5j4Z2s2
3Srw8vE2hZR8XAVzhkUOSOJEjmTzyUaV/ThLhdes49KLzvSQqvs1v7d9J6j16JJUljRz/LJPZr2y
2F82JZgEEHDQFdoWV/GCqvL8jOIJCA1BWErmaqxMlSKGKPLvIIoVlCT5UEUWtRyJ09GQx+SEKkAL
T1jXWRQMQBX4HIO7B6Icee0tl934roVVnSxSjsd44UuKct3mRTS68chxv8DIC7/oqlVTKaRCCV4p
01A/+ooEnUDv6/jWthIxHmeITnyupCn7QEaTFi9SCiduO5GHn5E3bsLTtgD9CgfYBDVfUmF1lPhQ
sBeqUlA3r3qIHS/kopSu9HqKviB0P0JnCXKrpaaktggFRDOOSJq5hRSpSVB6ahjYa7PxPaTJE9HP
RCifolJtKvojSS2qAVV4TfTwEILwblSM4E5IpQQCoB5U/VhCAKBzW7Itnmpyv86w8xm0sa7yc1kv
h2rhyZN/Jvk9BEoRmdYmkrVEXSClaqZOMxcOOyhwUzaERnzz1QR7FdDlWPvcVWO16cdaP0efxLgv
iaObpzmMmx58iFlexWrbQym2jU5ZUI5YX/ueBNJY1Two1SrlssNyAlKsLCjigXZnjl1qLbu6EMd6
OAWSCxxpjtzLSE45fkxjjogtcVxTWfI1Vofkyu67/LENEvszRbXR4ED4G0/9okrvlUKrPxO3kz6G
iC8++BkJaAtvyq3IMbCjy6VpdvJxEGoYYkbYaeMSUrJGcF+0YnCyoJMvGxssjFPrQrm1mrHTqZey
m6u6CwvTwcCzDAicec11ODCSU8EE+hZQr+m5gy/VMvAkL5+F5IV/07HD33ajPX6RLDQfFnD3IH1T
6tIXi0Szmt4JgFAsgWDo6YqbsR+tcmKxcEq6YPqCPgTsvHGS6rWtjsCoO+qcMixVQHpOr2nTpzTp
ylOfmzK0X1Foj6PZgQ8xlcGMjwy7K5eVGHTPqbDdQE7b3ojetV9RshLYU3si4yr7jKds0ldZh+Qi
mFPjXsqioTkmUyI7lb2wCN2R4q0PoWUl2qr2Gv84nsoocgk8Wo0zUHCHkCK5RN1xr2JRrKZ6Ss5r
s9OfEsMarkE5TcbCirqKomOGgArWtKlkFypkAgLeCj5JVLtfqn1N4ao/ph20+yZtDKdJQut+Uoby
IgUIlS9GhMPtJRHSXF+llZKedALpN6eopdFehqBVLFeYg0nFm+FRcoWgRha5SBBlJDtihzB2eqd/
Rdigr1BPnIZPHEKGuW7rsWsXgyJlw0qRVJ1SWhRjstVgxdGVCgpEdnuQTLet0gHqKcQYgPhoqvai
nlI4FR0Motgp0IPSHKimdbzQWPSK0xcTEdo+LRUZ0EVTnZpy4D+GjW6lCzMJmru2ruurSRT+hzzL
pHsVJ8O3yYhKdo0hafEuKimqPKMdx0sZRZjRCTUvewpDNNIhw01JcFnKZMMSbxrHmwhlBVgdSCE8
FH2YfiuYWgBYMMq7I2Wcy3qHwLDpd9N9Upu2PvF1yi4XUT1Et1pZGxsM+DJciTbtL8g1UL55Q5pd
SpGtD0trHPNNX7Ko0XSpxVc7zYvhqOVGXaBnESf3wQyXJpUGXQR/wKWAXluZpycN3PIHAfMVsMck
DV/JjBrklc14n+tRbnsMXcqsNcimXoEkU+SlN1Q8U0FMjMpLFEbitZqG3Ycg8qQPRGWlzShP/cV8
376HM91xRqRC+ZRRVdgSSA1bIhkG/KHVEA74fgN9IApCtR2xxiQOtBORpe0DxlRz2w8tk82wsu5G
RnzvAdYTJ8LQ9xULNFHKjW90I1tjBJfT0ZVU5WjOEiqYrTrIwLy0uuJwP/Y+ld9xPFSkzXAeNFLT
D0JuvHRJGaDI3GJIisiJYc1cVVqNqAB4peNhhv4EVewlTgtsnbrQLReoqKgv42AzvtoBpb1s38rw
ye+ACRVbrpDgJMocc8YNSUNl3CNLDIPIjwsKC4HpFCFxeam7V2KIPyDoZnhRp8ExIt8hOYu3dKMA
MboGRfW+YnS2BKQ2jeOP8ZaLZDcSjCQgevCS5JKdj6JJrf2UbIlKhcebLvQtaQmBbahLxZbA1Adj
qS/kAQabO2LMqqvJ8PNgYVGM2aEcosBUssNODVYaWnS9w/6uf/KsSR+PDMoub1SJ1MGlLwU5ZJst
L0rasqO83vPFQsxIKUqe6UVlBXm+LhF4RtZui6ECUGF9rrdwqsYP7Mpts44OaFuA1biFWWlbsFVW
2u3HYaZd1cSFK1fyUdVhWGp7cOwINlaCluPncuZlad0Y3eN1qy6lGprWMHO1pEChwhifC7gtMt49
Zc25H52XmQSQi6rPWFpUM6vL22K7VLWlYNSLuxCwUWhEMsUCRXwbE6GV3a6SYFepSh8j5Ab4+Wvb
JOrXolFysEXIyNYM/GCx6UASQzAEU6huEm9cG3HXMw9r3yOBcgshIytM8Sw3xOADKkagoAkfVDvW
zIU9lDFo9y7P8zub+1foSpwvuSuTcXsTIr6DqIXuQ/caKYSNQRAx9usm6/yn3pIrslsnoHorqU3T
L5idVDRxQUimdd3ErBgI+qpyZnp5iIQLiEKWXTnvh23eBuNyEFpB8b1qVQ9RpyMfRYwxmRyOJapx
gzQaKaUJUyk66fAua+6AnA0F9QbbqIljAszJCU7Smk4nkRydtrUfplAHqEWdNRAkCh6vkSxRpKXW
N5n5ZShT/9aMZ8lXXMNV7LswCA3/mPiNNH2yEGExLhviidNxkZVTcmJmCVmnMVoKUwBXylKTUwm5
K4ox27wJ1kMnj/EHEMfdiR9BmHN9Ac3ppMPWVk/0VI+bRy3AyAT0VklgD1K8gqiz5Gk7OlnbROO6
b62QfEMCgLa3lORQ9t2gK7rwRIupUrkDJFZ4wxFBpLIoFprwRvuEZJ+0PkNFEMOP7URrbxLsm/Z0
6IJR+yAazkl5EZLaUy15tohWY+739scpTUht6/XOso96tgjtWmDyeE5P/DG6ycEopR+tHsZ4xOVb
jv3PJgR2inJNlCy+RBlIh1klvU1CDk+dKwN/U7eOa63sYESmQSNzJSA/aREXKTRGwTmqOMD2UTnA
SEvBhnMY6ADKOS7XVco+fauUfLizdkoD48QM66pD9b3xZDQhoVt9VJR4mq60AA9gcewnQ0H6X09O
fmgu/MwMuifL87J2EYVFn61KuJkyieFNIH0y1TpMLktSmZF+Bk2F/A8IQE8GSDUKe9W1fh3eN0jA
ocQneq4timNCfAkcffQryHJaOi79luSDW8sXUuskmSckVJKNEehCZxdaCa2rk9gN/Dz/UrcKfL8O
UWCUbLypwtIz9PlCVjdsaaIYfBrm84XHRdFKmFO26ZWo42Bd1BeFnHVsrhR4JOWqy+EynDYePoRv
NrjKZIlYi1A3Bhwx6zw30qa7LqxEF+umCpPZaqzL7hO1FOZ8/KNsPX4elabLmoVptl51mU4Z4YhF
KUU5ddlJAFS5scO8eZRjK8ZUawj145HQg4s8Ik/QyXKRHOcI/07HKgo/4MU6pU5HN5DKLFmFQRBH
Z3YdhDWFLZHZXSnykFfYTVp7B3U+Hy9FRVBgIapKbh8p5NCzpaV33echUkH6Ad/SSlezKoTd/AQo
FwEwJVuKMTRyJxhJP16WctRn67YMlFlqqzG5UdiajgDzNFSDiTxJCJBkGVVeWWDSlVNnfvNyU/Eu
hlrCvOvGSXyEQRn20Oewb1ZtE4f+daoiT+M26jRIpzjcKbEAGiqj9ClpEZpIZdSptw0fMVvBKUgV
1/MQRfuq2IlmHJml3wtKqJvGzNdTOeQg9WpLqRajXjfpeRxZXng+lR7ZQ6Osxt0SRu1U3BCnGMq7
VhJ6fKp3RdR87LU8iwxIg9zf4AOAvFjbJKmFx34bz9QBwF7Squmr4punD7B+zWnKF55UteaxMep+
CoxU1aOjzu/9a9sO6hQxFgKTTimLPoH2Uca5ExY+VWxIc/onhJtF49hpyzUKT5qkXNVIWI3UfA/c
WQsL9MdCznrPcFsD64g/oYvHSZOzWpPRDznp7Qg5HcIlEWyTfBi7r8MYZ/YV9Ija+xpOShacRNws
rVP4I1b8eYhxapyGkTxmZwHqTPpFx4tPF5Km9v15CtWA26edVG0GCTCA7QAVXQAWlAfmf90XmgGb
QzejCmLKIExsu8lPP+ktrNT7KSqHp3DodQQ7M492ri2Aex5q0XjFl6mSyiemVQEixEGpW+PHNhB5
+W30ZYEMeAgjUbky5CT9pIBQMZdDK3tXWpFxVw+Rq1q2RUTdBgMWffNZUvYSsKAlVgGYiWphBk2L
0M4YW6cJYMvm1K5kru+JsLUTb4gov0ccuT0z9AqUQFNnVrYsdagXC9JQ1G9Nr5DWhYOBk6GOi/JB
73yLi1htDleRSSYdqycZ+0VuxB58zzr3gxXPI8sOmSX9C1fcfFpP7ZB8hMUdTMsUxkXqwLKpofvo
jXY2Rn4ulnmXq/W6nuudQPbESbuGPYM8uZhMNVhWXWx+m6po3cEIKNatUXRneatYyaKwg/aesznt
kazqvXoJmLqUENSK4lMzC6vQbUEp9stQLcqlUnbyV1GHmXqUR/M6r+QSyokVmXD3ib6ObkjJ1i1f
BC8CZoN33QQJ/rpA7xEjjMqxe4AnbTwOpp8ljtQN03XRpGhG8tbluVkJkwk7qfrnpopaKNk6yX/l
kCqT04RquAHhkterMuwG1FusJCsuKkkuIKOE8iD74GDD8dE0a7JrsU48A/yfoccbHeX0M9X2+gnF
7xZ0gy5H3Q0eklJZauAebhJLTBoA7CkcnF4p2k/wUwBlZD2pxG5PAt1dZdngCo1eq1RnDOO6BBtZ
yN9KtN205aAQs3DGXm4m0H4KblepioonPlwCsmKU0Fqk1My/R2JZwjGgVcDDKbqPviiIK0KVURsO
T98usvu8BkS+QnpsRArH6KS7PpsiKYAGFCvKUaO3qoIQmY8VEnFJbJ26zhSwOUOnMMRDjZZdnuXF
V1NEeep6khcs7XZIn2o1rLnD5u0XCF+tiSikkHhhIWGYB1wZPs6St/HCgt6kuXWmMXPtwQhvZajl
UHob6PCOOnbfggwHjzMW8VSsEebSHiuB+qCTMHcuhTeQwWhgGeO9tFDpQEgta08RRlAeJT1qZ3VT
s71V0AD9MMSjwL4ocfcdQUS2UWtr00I5UZM+yFwb3tdjBvA357JahV+yBh8S9x2MfleK5CnDikf4
bxkg7X7nWbFSxtwUsDeQ9fNiq6OGI1HN00lUYK+RU0PqDAU/fGdsLA0X4NTO7wYVpQFH8wCwAKSc
Zbwk0XRcStPUmNyql9hslQGrdsE6tlT22V7HmVmNPXIOVhqCF4V38zhASzEWHfoOMz82koqFrVvi
CmMIaxb85jBBbJLrJ5jCtKzlqZ86ocW5TVJcRUZG0yh+fBwD7LMWRooA0RKID5qHoF10R7ci/csQ
22HteulMENfitpfcNldwEJdlVwUXXeeF8dJjS+vPQysBJ9SgmNQ7cVWo2F1xUZxhKwKYDNLOQqRM
rqfPmiiJxJpjhX55yKbHJbNpS+AulJBZs3fJfPJbrw+Qg+P2emTrxFJPtaqitC3083ozTvWAr7Gb
sV+N1kAVhKhaQ0IhuNZTDgO/1QnwtOCR0bXkppCTMb2QpMCKUbixw3smY4LGH0cubHkuRWsRFFF7
3JVGIy2Rt0SKueZ018lPhXbpmnmR+uvezotp6XmWV63aemYkE1TMENBG7qZeRALtUY44s2Mrymbi
fDtUeYAFmysXdpWq8qL0GyBNlLrDXm0JpWVLCTJS45p2Y8ySaVpQHUleptnHAFb0pzZsYCimAY4q
17Z8/7pv1OHGTtMT3FBl4fJ4chrLEETPIrcraFNaq4+qK6OPUy0L1e5GV23zCpRPqXWea8WTIS87
fQy/pV0JqXgYJhEcJ5Tz+YbLbaUbbqCjAHDtSPPDbVQL88KzuME4pDzKT1bqQT8vMBdPi1Qe6rWY
GjQ7TW5fitsItbtuWlN8ZHkgJ1cRJT6Lq1yBriUl7QVlrfgxpDTuCHBJ8jLXo8J3YY+xfPB6fYyA
tavMBUu+86iOCpd2DtEFBh4pV0DXoiRZhwoCic4QZSYxkSnCE67kJgyvKggRuLMSD9cu3hLpporS
0Odwz+UHxQsNC9XxoQqOp75JhnVI9APxwy4rLgfURadzgr5yy42hHcEdqJ19ih5qOZ2mPQa5w+VX
zo6KRk+B0MP7xdqxauujVdgSxx/2VOhOZCM2/jWBjSC9qrhtXIQw4QLXhHp3roMrfiigOPtO2pTJ
N4DN061OlGpatMCS0H4qwwRYU6eQUzZoc6m9jjJU11LYHLfI+5qepYccaAwyPqWxvhzadhIL9nwM
JHia8WkFJ8peppaB2Yt0wQk75/QF+DjIWkRQKZXGxuu7NS5V6agZBGiufLArHFcSbLDvuX9vIuFc
Fk/ZTVM9PTXnm+K/5//0IS/GKvSD5l//vfO7y+6pIvHp6Tf+Yv3bqs0eN02YZ/v/zc4j6n9tf+w/
5bOOyM5vlmzCzfihfarGa4IBCc39+eLzX33xU57E2/z5oKucxJ3b/O/9pdcf9CcQ53Ysnv7nvx4o
UG/m9/Pp6HNWzozk3MHrbN9o25nXHpAwYk37yJOlmeFKqNUGsEMBGb8IKCaUBPz4ucHPjTlRhFLz
7S+SD2jx2RD91SC83r8fY/3aYL7WhaftZzt+/J//mkOR7xoD7fe56wrZRrtdN9XfbZRFySwmjDr/
IpT8z+q6+v2N9sbwLZ9fMX+XCesb1Dptv/5chLD/+W0S5gwSGf5ZfVfmEPO7vrtk/E7HSXWxKLza
/iLj4HnnTf13mdJQHYjM98Hh5/+sQZhpLO8bA0X+nRRFfs35Us87r4vfye7lF8kE21//uBkwY43f
2Xn6bpswO/Y/vP27oCDRBuv1ve/ft5h/0Kb3AgX+9o1f+d2kamIuf/7pyjeRyWKNoZL1hm3vPxih
fx+gThAmj9ujM3yqn52/B//Cj4Pl5QP+PDDmU0Eogjyvnb86n6XfH/798Jh//6+do3V7rD374XzU
P/vtzt+tX/zlPzu/fa0/23r+Rztd3XmxHz/58YdH4VO1qR4IHmwPuT97dbFJObD/qPz5jbLNvhkw
/2kz/tRe+Pciee3BizxBeWrnsfPx8u7HVhvy6348Z/tl2Eje+9R5jJ9+PGZ+6Lwe3v3QPMnTr7tD
MBsX733u8qHdPObVjwfNrztvXe997Kp6yh6C39ZtuKeDN9dPv/vhGwKpm+zxt+N6/lf944nzy5vY
CO99/vov1PveOYlvWlLpWSc/XnB+XSocfvz276+Oq0212VdXUOYC5vcOxNVT1f54yve3xax570P/
UgrincP7Cq/z1Sf/bBv89x3i5Ta+ezd4+8//HL95OFUc5sr/w2PAYc0/7mzWM6PgvfNmzf07m9f7
j0fNQzhfi9774POnIXzIfzxnO89/xRZ4s+H+/dsVxyXugHm3Og9LcLK7d2R1vre9twMfKfh9evzt
ptk0TzubIQWR73+6w+tVm+S3P9KnKnzY+azU61qvHZi8zH90vDubKvz69Wmz6z6Qictvq1P/cny+
P///cAFTnvb/cP3+8c0PNllYN7sf5BcstT+mp+rrJox2H/wLTqo/ZiD9rnX0C46qxSbzk83jUx38
WEbft+0fv/v7R/Y5+sDpZsfsAvb87p0ALdr9j/YLdoAFgeOn8MfbzUMww27/clX+x4s+/Zo/7n4z
jUqv9z73pgp/O9tk8c5Opb22Tf2nLxzs3WzmwqD3vu0R7szfTud/3Pxx/eNx2zNorpF+79OPs8c8
e6p3B1mZHbO/4Mn7T/0F+8PJptjdGvDuvf9dT8eK6MP+dkY9z/sffZFXTcD3q552phvFO+9/9k1O
XtTPnv0LJsbpZtqQD7O3WSi/Yl2fbXLO5e/zazuRBQWm751u55uHTf5iifyKC/A5aw/vwu7nm6vr
3//KyWPY7RpkYB1+yYM34/6aNn7BjnzxVGx2vCHUqr7/defb6cNT8rPLOuCrX/F8ZKf2J7L9C9b2
FX6csChCNtAfb7k9/udq2vdOjpsw8zcF28aPR22frPyC2XEbbML9WxLKYD/a+fsmy+0mCl+ONLnD
v+LR/8vd1Sy3cRzhV9mb7aqoLECkSF5SRYDgj0hQNAHRFd0GwAgYE8DS+0MaTKUqlzxEzjnpkFuO
ufFN8iT5ehdDbc+ugCWmS7RZvoiU3DM709PT0/311+aO230wXwqITaNrcgtd7UCdrb/wD/cDXbEc
xNvrqxxXRicIFFlBmWpImLr3MQjSb4MTJKjTm+DHoAPIYZiky5NZHA5Vkq8FPmQ54Gk6V/HERBjS
/tFUDboDWlU7i831tHcTqWS6qLI3b8AnIHB4u2Y0muqgo+LETpf2CDXOK6XDitR6DS9XrTcx6Ean
5li1xz/mAc/ioMgDoS2hQHilq6ZqobBBgEn97+//jK/pp6NogUgOZnCsBuFM2V1j9hAxADA8C4Qx
+mYWRq/OdJwwq0gdJFFGbj/aQzE0HgXXVt3jHw+MChd4L5ngJ8JpsAgQ2vYg9yQw6EF4PQqxgH11
jWekmTE/A+k9MAcJbN6pSoEYvbZrRNoIfkmwIBJ5h685ulCvpubVcGLUqzhOrbzCGAJ738NLu0Ky
gA06UzfJxHFr8qVZewk8X2AJjc7A8GJTbm1KRpLeVyQIEdqeY4NL+T6eHAyHCK6t+Te/iwTiJzfE
CN5Bqxf25C8/uaY13Z8nSFei2IqdPABqSsfuiXIdD7xJsUDnrD1NYieNwhtm+lDGsVW6r54mNH+g
VsVus+SD14T3UzgUynk7UUzYcyHyh2/FnPO8udec39NJ4K89NNZApxDQ+m1vvQGHDdg9SmbnaWt+
AWzeOHRHIVO/hZTPFrqaUBthYuH9qmmu6ytAZ5SjiG93QSODHkBNkJaBQQ0dbFa9KuoO1FJgShhW
5BhQ7o/DRHwl+D70ANrblhiuq+PwBt7PjG/VDniaAPUGSxOIXsC9hdZ7AovYVeNJpAdWEt1sO8Ce
0H9oh0LM5EQFZ//amqH0C+qx7iI+5jmCc51MdFTKXoNyaA9drMCFCq5VsFvsba9yQfJhn++Wys1T
nVuqsFZ/hFtoOijZiBW7X/siAs4iYrfQWg8kB0+uQsZkNpgfEmqM9VXDUnOyLY3ijJQ/QVedgLpi
QcBhVJYNPdbRvR6j4pGjhaiZmsDkVZTidOSC6DyX7+aCStadPHrJIVHJdpAaXPlO90BTKog570T8
5Cv2JELvUp4tfyugcB2U1jpXG1xV79m27zW9MKygzAYLrO2hKUEGdlbduzVV4VBFoa6KMKy8j+oK
j9R8qIsrQRzivupwZAbw1eALW1G0xBJh0iNUJ8xjvWByS07704/bkY5mas7FSqwDYCR8dYl13nd1
21GIsgWmvo3XAnKPU8SJI7YIWU8n3/meICLvGIcGEU57y03UlM+WeJF9pb7TkaNgDWKt9RaL4FpX
LTSHnUjcQGcqceCqIG/1n/CZSSap65o0yk/E9ItrWtPm9NBlR107CkzN2nzX+MzAricaDc214ess
kT0/S3/TQBGk0djOlKwaaHntjxXOes0VQTOFEdbECsrkEgm174Ig36gctBlRCHuLJdtuxWSTlYil
f+WZkpFs+s4YkYk7xW2FxNV8EZYMGzUS8p3tBRL96diJI0qgDy8RV3f8KdR1+E+YTrQLiUKMSkBw
ZjUBZWYB86bEq6N3A8yknSEpMV7B9sfNT3LvVuFBF42spEwwcUr76kTvTo/45dGkbjD+Yk0CnJyr
xk2JK+/DdYQlZs4l4kT+c15CUE+R1h6F/NlYDuCmT76eruBcDaF3bVSR2Mlm27gyPlLb0s9xQelx
xBVa4lXTA9yRX6rNHYHVRhpQB+EnOC/stID4VqIqJg8ZA3GjAR7jsydKYoHL6jSMQZtS3EiUuKKd
3Z791eaH/eEfdG6qnmZoE9PYBdMXambBwN5E4eza4Z4vtEZpj5cYWBsDQ67sLtMJFnjR7ROAiwld
u7Hr42qtMImBSWFiqXmTr3Fv4U5mh1YCP9MCoGM+MnZ2tK4SEJf2RLFLU+KiuNQ36WCKTALMF0Lg
AZhzxswSSDw6DvQsHAIFgmHWjyeggW1UdUUhr+ygVlS+ytIOgYjgaMptAb/lsaIjy7bOH9fITpj0
Z2UWp+bF2lY3OrjS0Yj5GyvzXjUlH/xi8OpLmMYTC4DvgnfGi5vEiqFlkIBVdn5NFZBWBjU0qIec
c6TwWwE16YBRxwEgS3gZnWRiwhturiUgMX0c+yPlFrPuCqBIjoBSYsaVaBh8deIItTDsGljvN6y/
XsqKgP6o/nNtP/wn0cHou5Pb0HBsaUPi8jrV8wVbigrMQ/pk5/7MDFyvoCHxaACSDDSx7HKBk+m/
yJivswpbAj5xF0C7sYqHPECPHn3+E0aMM0w4qA5N6yTkTtUds8ENap/ke+CARHSECpziLi7SoRt3
E1lbACYTw7ONoCOSWAaS7MaGGhLXXDe8J/uLclQ7TbrrGhLpwXMDF59JlbgyMqn8Jso6tvqqWm6G
X7VMHKuUzZr6MPlKv3z4nM5dUiyJbNMlXia8wBqNXP3n29OL4URPp5qnziXyWEtIVwneh95QEvNG
9IaHZtH9T0Au1W6r4Eyjhs5Ko4OCxon2x80DFT3EfV3oXENA6XrpiEeFgCLyn20/5K809D/wF9p7
+FcY9MPZw+cMEXIRPfx7PjQcAol29f4D9XEMHZQc4j8CctX83jXQTQkw/odx6YBL5A8RJ7gG3iY4
VDFzi5oSuThQABk32ClRR9dBHAYgZ+YSoLmh/+59LL1BmhI5s49mNlCDO24xqF+c73WS29Dy+Zag
1GmhOqcPZ46V/wEK6z/r/cGC146jCRtCsGj4juZkbwFRrYALp84b4vnisBlO/AUGYitB8dvryUie
byfy6irfrSjOn+5uVFQUf9UB0DuxjG9sLPs39perMJktNaEsmz07mW8t8IQBA7iDapQoHTpCJThg
3WjjxOZLjIu+BusEQDYrJVsECf/mJI6UZmaqIZEkxlx/ZXOVyOS+CyPHGRNJ0J2md8qwMGXGg+i7
XWcasGcePwNPoV2UzT3d9wA4WCn5O1PgMvwJNRb8nVmu2kida2R9WK6n0pEJ9iPlOjIrayhqBq17
YIxm0bOmBLnFMvNOcw46M4Osh/N8awqs9s8oygxaIFUp7iNqMeyPmyvHXzQqtK2Y7HElgX0+DwMo
3Xdx4IIokPi1g20+5yOCGAW9dDBCaTkK1thR3Gq+ljDLeLIMqrLYKOqEvZNANO0P0qCbxkwjl9IF
1uivl51e5/Kqc/C3gJQHEOGgpP+o5gGF8Rs4gbvo6r27tbU+2Fl1Wa+4wiXJ+rK6Nnv9ryrJLJid
P0KxS1URnwRODDCST+H0eqnE9tTREX8LnAqY3fZAYtzY2t1FIeJa7+j59r2qOvAFakFO7odDqmah
YxLs1m1uMFuA8iMsZQVlZl7gAd8jTtxwXmUmJbid2uEwjIPvT7WeAtb2Q9UwEomfDG5F9rFLxUWI
zlSw2koAj9thaA8ji+9KoI8PzS8sPiPBG3QIcCV5M5bYMgO8mWFUJjTbFdClJWEx0MOLEmHaSo7L
ms7fUn4Ww6HNJpDaY2k68dVxGmMJ9t6jlHPISDjIxxpA2qWGZt/QHR4A0D61v2OahfpQe+Q3tx2n
ILYYIABoJWUvCImgcHsSwX2bqXj5OXwAgZmf67ugraYVKEoJaOm5cbJ3EpCPKzUHViVlS0H9B3yf
lucKCDUrJttBiTNLC/xRg7eGVzkC5WmH2lztLkwyVAYHtcIao6heYAB1kyrUgd9VgIIaMrQtUzen
KaDUuKRi0KlU07mVOTUKvnBNQ5nTJh/rqZ6rPwX78RC1Q8ihZsamTycWTy9QEqEx3YQ7FCu5l2oO
3g+vURfHNLUp4Ur0gXLks5UgiOynqGxwJiugmT9je02cLTi6uIK7yyp75rdJIDxKTmZT4sncJrY+
tN969AiL894Gn8LODsgV0C0Hr9wttESzf725kVjGXnoZ8Tb4vedhFLxHh/AF/MUqw4FBMfJr6tuD
5w/oRtaj/57x4VNBWOL78Cl+DS376vB78V93ipF5wWd9FVvKt/3KPCqZBRTsR9oJrEoyHOkwGvN4
ogSb5mUau5lyCe61/sN/kXpeaHvmMlOynjyhSgO+TbinitbGbsumwZ/i1/w+tL+KT+cFfmUFmc/L
+8oq7qCX95V5y4lv+10bWmhw6Jh7bvEEnlLtEC5wcOnw2YkAbaaI/k1v3XZQOwLZAIQiEg28G3Ml
JV4LoM8fEQVa8V6Be2d/3Ny1O8cCZ12VrKj81SqwFheI8XEa0MbeWrHFq+OLl1D120KzOnZK7P9V
6++XD/7sm20bFiZteX3hZGhyzLLWbmva1RUnu/722/DM7UfpgClZw+7f5qqAMJ1Be63sQdRS0cCN
ZEuMMEY3dH46JLjAabY4zvx0CNQqUAUPQC5QYyZaIp3dVgtkbqseTxKkHm1HOyQeswfhDOhETi8q
gSO0cqvr8yQaCaCjltuoSyKxDGM/Qp+rlAN5JQD1x4C98ECwxNvkHfTY2b+GBGgCoTLCrbpVFhIV
nCCRSWICpzPoQUMCkHEBOq8kJAeDQ4QlgBN5bO/UJEkeXjrXt4ZbEAnW+XyUs3TIX8dNCeYCRCDn
ZqRGeTgyHIDn1Zr/7EkrQR7VB0o7X5829BIpyIoQdFOC0DBfqCsDtjl0qqOMFFVk51YBdap8ZyRS
nS0qlYonwZVB6KLSyAMRYtdz8wv7Q2/lCGudrdz3WBV8aSHn5RRYNiX85DZ8WTS6sUuQqZRE/VRP
ca+oKZHUQQ+TJOgAPoLsXMqVZWfbfsLmu5hrJ1yYZPLweapnCyuSVmVbpr4HH9BVGIFD0ABOl6j7
zj8gvwWC7w8zVscfih/xBjHptU+VottsffgaIbCq/63g+i8Dr8Mp8rl//j8AAAD//w==</cx:binary>
              </cx:geoCache>
            </cx:geography>
          </cx:layoutPr>
        </cx:series>
      </cx:plotAreaRegion>
    </cx:plotArea>
    <cx:legend pos="r" align="min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spPr>
    <a:noFill/>
    <a:ln>
      <a:solidFill>
        <a:schemeClr val="accent5">
          <a:lumMod val="40000"/>
          <a:lumOff val="60000"/>
        </a:schemeClr>
      </a:solidFill>
    </a:ln>
  </cx:spPr>
  <cx:clrMapOvr bg1="lt1" tx1="dk1" bg2="lt2" tx2="dk2" accent1="accent1" accent2="accent2" accent3="accent3" accent4="accent4" accent5="accent5" accent6="accent6" hlink="hlink" folHlink="folHlink"/>
</cx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599789</xdr:colOff>
      <xdr:row>14</xdr:row>
      <xdr:rowOff>185738</xdr:rowOff>
    </xdr:from>
    <xdr:to>
      <xdr:col>3</xdr:col>
      <xdr:colOff>155221</xdr:colOff>
      <xdr:row>18</xdr:row>
      <xdr:rowOff>58738</xdr:rowOff>
    </xdr:to>
    <xdr:sp macro="" textlink="">
      <xdr:nvSpPr>
        <xdr:cNvPr id="53" name="Rounded Rectangle 1">
          <a:extLst>
            <a:ext uri="{FF2B5EF4-FFF2-40B4-BE49-F238E27FC236}">
              <a16:creationId xmlns:a16="http://schemas.microsoft.com/office/drawing/2014/main" id="{6206634F-A904-A48C-D580-CE31628D1874}"/>
            </a:ext>
          </a:extLst>
        </xdr:cNvPr>
        <xdr:cNvSpPr/>
      </xdr:nvSpPr>
      <xdr:spPr>
        <a:xfrm>
          <a:off x="3952589" y="6078538"/>
          <a:ext cx="393632" cy="685800"/>
        </a:xfrm>
        <a:custGeom>
          <a:avLst/>
          <a:gdLst/>
          <a:ahLst/>
          <a:cxnLst/>
          <a:rect l="0" t="0" r="0" b="0"/>
          <a:pathLst>
            <a:path w="393632" h="685800">
              <a:moveTo>
                <a:pt x="0" y="685800"/>
              </a:moveTo>
              <a:lnTo>
                <a:pt x="167199" y="685800"/>
              </a:lnTo>
              <a:cubicBezTo>
                <a:pt x="187526" y="685800"/>
                <a:pt x="206322" y="675003"/>
                <a:pt x="216565" y="657445"/>
              </a:cubicBezTo>
              <a:lnTo>
                <a:pt x="383252" y="371695"/>
              </a:lnTo>
              <a:cubicBezTo>
                <a:pt x="393632" y="353901"/>
                <a:pt x="393632" y="331897"/>
                <a:pt x="383252" y="314104"/>
              </a:cubicBezTo>
              <a:lnTo>
                <a:pt x="216565" y="28354"/>
              </a:lnTo>
              <a:cubicBezTo>
                <a:pt x="206322" y="10796"/>
                <a:pt x="187526" y="0"/>
                <a:pt x="167199" y="0"/>
              </a:cubicBezTo>
              <a:lnTo>
                <a:pt x="0" y="0"/>
              </a:lnTo>
            </a:path>
          </a:pathLst>
        </a:custGeom>
        <a:noFill/>
        <a:ln w="14287">
          <a:solidFill>
            <a:srgbClr val="E0CB15"/>
          </a:solidFill>
        </a:ln>
      </xdr:spPr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>
          <a:pPr algn="ctr"/>
          <a:endParaRPr/>
        </a:p>
      </xdr:txBody>
    </xdr:sp>
    <xdr:clientData/>
  </xdr:twoCellAnchor>
  <xdr:twoCellAnchor>
    <xdr:from>
      <xdr:col>3</xdr:col>
      <xdr:colOff>389287</xdr:colOff>
      <xdr:row>12</xdr:row>
      <xdr:rowOff>134938</xdr:rowOff>
    </xdr:from>
    <xdr:to>
      <xdr:col>7</xdr:col>
      <xdr:colOff>130187</xdr:colOff>
      <xdr:row>26</xdr:row>
      <xdr:rowOff>33338</xdr:rowOff>
    </xdr:to>
    <xdr:sp macro="" textlink="">
      <xdr:nvSpPr>
        <xdr:cNvPr id="54" name="Rounded Rectangle 2">
          <a:extLst>
            <a:ext uri="{FF2B5EF4-FFF2-40B4-BE49-F238E27FC236}">
              <a16:creationId xmlns:a16="http://schemas.microsoft.com/office/drawing/2014/main" id="{75AA3D5A-BFF5-0F33-6AC3-F25A45398F76}"/>
            </a:ext>
          </a:extLst>
        </xdr:cNvPr>
        <xdr:cNvSpPr/>
      </xdr:nvSpPr>
      <xdr:spPr>
        <a:xfrm>
          <a:off x="4580287" y="5621338"/>
          <a:ext cx="3093700" cy="2743200"/>
        </a:xfrm>
        <a:custGeom>
          <a:avLst/>
          <a:gdLst/>
          <a:ahLst/>
          <a:cxnLst/>
          <a:rect l="0" t="0" r="0" b="0"/>
          <a:pathLst>
            <a:path w="3093700" h="2743200">
              <a:moveTo>
                <a:pt x="40328" y="1257957"/>
              </a:moveTo>
              <a:cubicBezTo>
                <a:pt x="0" y="1328356"/>
                <a:pt x="0" y="1414843"/>
                <a:pt x="40328" y="1485242"/>
              </a:cubicBezTo>
              <a:lnTo>
                <a:pt x="695172" y="2628242"/>
              </a:lnTo>
              <a:cubicBezTo>
                <a:pt x="735911" y="2699337"/>
                <a:pt x="811587" y="2743200"/>
                <a:pt x="893530" y="2743200"/>
              </a:cubicBezTo>
              <a:lnTo>
                <a:pt x="2200170" y="2743200"/>
              </a:lnTo>
              <a:cubicBezTo>
                <a:pt x="2282113" y="2743200"/>
                <a:pt x="2357789" y="2699337"/>
                <a:pt x="2398528" y="2628242"/>
              </a:cubicBezTo>
              <a:lnTo>
                <a:pt x="3053372" y="1485242"/>
              </a:lnTo>
              <a:cubicBezTo>
                <a:pt x="3093700" y="1414843"/>
                <a:pt x="3093700" y="1328356"/>
                <a:pt x="3053372" y="1257957"/>
              </a:cubicBezTo>
              <a:lnTo>
                <a:pt x="2398528" y="114957"/>
              </a:lnTo>
              <a:cubicBezTo>
                <a:pt x="2357789" y="43862"/>
                <a:pt x="2282113" y="0"/>
                <a:pt x="2200170" y="0"/>
              </a:cubicBezTo>
              <a:lnTo>
                <a:pt x="893530" y="0"/>
              </a:lnTo>
              <a:cubicBezTo>
                <a:pt x="811587" y="0"/>
                <a:pt x="735911" y="43862"/>
                <a:pt x="695172" y="114957"/>
              </a:cubicBezTo>
              <a:lnTo>
                <a:pt x="40328" y="1257957"/>
              </a:lnTo>
              <a:moveTo>
                <a:pt x="564203" y="1600857"/>
              </a:moveTo>
              <a:lnTo>
                <a:pt x="957110" y="915057"/>
              </a:lnTo>
              <a:cubicBezTo>
                <a:pt x="997848" y="843962"/>
                <a:pt x="1073524" y="800100"/>
                <a:pt x="1155468" y="800100"/>
              </a:cubicBezTo>
              <a:lnTo>
                <a:pt x="1938232" y="800100"/>
              </a:lnTo>
              <a:cubicBezTo>
                <a:pt x="2020176" y="800100"/>
                <a:pt x="2095852" y="843962"/>
                <a:pt x="2136590" y="915057"/>
              </a:cubicBezTo>
              <a:lnTo>
                <a:pt x="2529497" y="1600857"/>
              </a:lnTo>
              <a:cubicBezTo>
                <a:pt x="2569825" y="1671256"/>
                <a:pt x="2569825" y="1757743"/>
                <a:pt x="2529497" y="1828142"/>
              </a:cubicBezTo>
              <a:lnTo>
                <a:pt x="2136590" y="2513942"/>
              </a:lnTo>
              <a:cubicBezTo>
                <a:pt x="2095852" y="2585037"/>
                <a:pt x="2020176" y="2628900"/>
                <a:pt x="1938232" y="2628900"/>
              </a:cubicBezTo>
              <a:lnTo>
                <a:pt x="1155468" y="2628900"/>
              </a:lnTo>
              <a:cubicBezTo>
                <a:pt x="1073524" y="2628900"/>
                <a:pt x="997848" y="2585037"/>
                <a:pt x="957110" y="2513942"/>
              </a:cubicBezTo>
              <a:lnTo>
                <a:pt x="564203" y="1828142"/>
              </a:lnTo>
              <a:cubicBezTo>
                <a:pt x="523875" y="1757743"/>
                <a:pt x="523875" y="1671256"/>
                <a:pt x="564203" y="1600857"/>
              </a:cubicBezTo>
            </a:path>
          </a:pathLst>
        </a:custGeom>
        <a:solidFill>
          <a:srgbClr val="E0CB15"/>
        </a:solidFill>
        <a:ln>
          <a:noFill/>
        </a:ln>
      </xdr:spPr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>
          <a:pPr algn="ctr"/>
          <a:endParaRPr/>
        </a:p>
      </xdr:txBody>
    </xdr:sp>
    <xdr:clientData/>
  </xdr:twoCellAnchor>
  <xdr:twoCellAnchor>
    <xdr:from>
      <xdr:col>3</xdr:col>
      <xdr:colOff>389291</xdr:colOff>
      <xdr:row>12</xdr:row>
      <xdr:rowOff>134938</xdr:rowOff>
    </xdr:from>
    <xdr:to>
      <xdr:col>7</xdr:col>
      <xdr:colOff>130187</xdr:colOff>
      <xdr:row>26</xdr:row>
      <xdr:rowOff>33338</xdr:rowOff>
    </xdr:to>
    <xdr:sp macro="" textlink="">
      <xdr:nvSpPr>
        <xdr:cNvPr id="55" name="Rounded Rectangle 3">
          <a:extLst>
            <a:ext uri="{FF2B5EF4-FFF2-40B4-BE49-F238E27FC236}">
              <a16:creationId xmlns:a16="http://schemas.microsoft.com/office/drawing/2014/main" id="{39A3B4E1-8F36-032B-D196-DE68606D0B06}"/>
            </a:ext>
          </a:extLst>
        </xdr:cNvPr>
        <xdr:cNvSpPr/>
      </xdr:nvSpPr>
      <xdr:spPr>
        <a:xfrm>
          <a:off x="4580291" y="5621338"/>
          <a:ext cx="3093696" cy="2743200"/>
        </a:xfrm>
        <a:custGeom>
          <a:avLst/>
          <a:gdLst/>
          <a:ahLst/>
          <a:cxnLst/>
          <a:rect l="0" t="0" r="0" b="0"/>
          <a:pathLst>
            <a:path w="3093696" h="2743200">
              <a:moveTo>
                <a:pt x="40328" y="1257960"/>
              </a:moveTo>
              <a:cubicBezTo>
                <a:pt x="0" y="1328352"/>
                <a:pt x="0" y="1414847"/>
                <a:pt x="40328" y="1485239"/>
              </a:cubicBezTo>
              <a:lnTo>
                <a:pt x="695172" y="2628239"/>
              </a:lnTo>
              <a:cubicBezTo>
                <a:pt x="735908" y="2699341"/>
                <a:pt x="811583" y="2743200"/>
                <a:pt x="893525" y="2743200"/>
              </a:cubicBezTo>
              <a:lnTo>
                <a:pt x="2200170" y="2743200"/>
              </a:lnTo>
              <a:cubicBezTo>
                <a:pt x="2282112" y="2743200"/>
                <a:pt x="2357788" y="2699341"/>
                <a:pt x="2398522" y="2628239"/>
              </a:cubicBezTo>
              <a:lnTo>
                <a:pt x="3053366" y="1485239"/>
              </a:lnTo>
              <a:cubicBezTo>
                <a:pt x="3093696" y="1414847"/>
                <a:pt x="3093696" y="1328352"/>
                <a:pt x="3053366" y="1257960"/>
              </a:cubicBezTo>
              <a:lnTo>
                <a:pt x="2398522" y="114960"/>
              </a:lnTo>
              <a:cubicBezTo>
                <a:pt x="2357788" y="43859"/>
                <a:pt x="2282112" y="0"/>
                <a:pt x="2200170" y="0"/>
              </a:cubicBezTo>
              <a:lnTo>
                <a:pt x="893525" y="0"/>
              </a:lnTo>
              <a:cubicBezTo>
                <a:pt x="811582" y="0"/>
                <a:pt x="735907" y="43859"/>
                <a:pt x="695172" y="114960"/>
              </a:cubicBezTo>
              <a:close/>
              <a:moveTo>
                <a:pt x="564203" y="1600860"/>
              </a:moveTo>
              <a:lnTo>
                <a:pt x="957110" y="915060"/>
              </a:lnTo>
              <a:cubicBezTo>
                <a:pt x="997844" y="843959"/>
                <a:pt x="1073519" y="800100"/>
                <a:pt x="1155463" y="800100"/>
              </a:cubicBezTo>
              <a:lnTo>
                <a:pt x="1938232" y="800100"/>
              </a:lnTo>
              <a:cubicBezTo>
                <a:pt x="2020175" y="800100"/>
                <a:pt x="2095850" y="843959"/>
                <a:pt x="2136585" y="915060"/>
              </a:cubicBezTo>
              <a:lnTo>
                <a:pt x="2529491" y="1600860"/>
              </a:lnTo>
              <a:cubicBezTo>
                <a:pt x="2569821" y="1671252"/>
                <a:pt x="2569821" y="1757747"/>
                <a:pt x="2529491" y="1828139"/>
              </a:cubicBezTo>
              <a:lnTo>
                <a:pt x="2136585" y="2513939"/>
              </a:lnTo>
              <a:cubicBezTo>
                <a:pt x="2095850" y="2585041"/>
                <a:pt x="2020175" y="2628900"/>
                <a:pt x="1938232" y="2628900"/>
              </a:cubicBezTo>
              <a:lnTo>
                <a:pt x="1155463" y="2628900"/>
              </a:lnTo>
              <a:cubicBezTo>
                <a:pt x="1073520" y="2628900"/>
                <a:pt x="997845" y="2585041"/>
                <a:pt x="957110" y="2513939"/>
              </a:cubicBezTo>
              <a:lnTo>
                <a:pt x="564203" y="1828139"/>
              </a:lnTo>
              <a:cubicBezTo>
                <a:pt x="523874" y="1757747"/>
                <a:pt x="523874" y="1671252"/>
                <a:pt x="564203" y="1600860"/>
              </a:cubicBezTo>
              <a:close/>
            </a:path>
          </a:pathLst>
        </a:custGeom>
        <a:noFill/>
        <a:ln w="14287">
          <a:solidFill>
            <a:srgbClr val="FFFFFF"/>
          </a:solidFill>
        </a:ln>
      </xdr:spPr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>
          <a:pPr algn="ctr"/>
          <a:endParaRPr/>
        </a:p>
      </xdr:txBody>
    </xdr:sp>
    <xdr:clientData/>
  </xdr:twoCellAnchor>
  <xdr:twoCellAnchor>
    <xdr:from>
      <xdr:col>3</xdr:col>
      <xdr:colOff>136239</xdr:colOff>
      <xdr:row>16</xdr:row>
      <xdr:rowOff>96838</xdr:rowOff>
    </xdr:from>
    <xdr:to>
      <xdr:col>3</xdr:col>
      <xdr:colOff>726789</xdr:colOff>
      <xdr:row>16</xdr:row>
      <xdr:rowOff>153988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8CB1EF65-AFEB-C4FF-626B-6BA3DEC5864D}"/>
            </a:ext>
          </a:extLst>
        </xdr:cNvPr>
        <xdr:cNvGrpSpPr/>
      </xdr:nvGrpSpPr>
      <xdr:grpSpPr>
        <a:xfrm>
          <a:off x="2636552" y="3144838"/>
          <a:ext cx="590550" cy="57150"/>
          <a:chOff x="2057102" y="2200275"/>
          <a:chExt cx="590550" cy="57150"/>
        </a:xfrm>
      </xdr:grpSpPr>
      <xdr:sp macro="" textlink="">
        <xdr:nvSpPr>
          <xdr:cNvPr id="73" name="Rounded Rectangle 4">
            <a:extLst>
              <a:ext uri="{FF2B5EF4-FFF2-40B4-BE49-F238E27FC236}">
                <a16:creationId xmlns:a16="http://schemas.microsoft.com/office/drawing/2014/main" id="{0BD179DF-D9FA-E978-551F-366E8BBDBF45}"/>
              </a:ext>
            </a:extLst>
          </xdr:cNvPr>
          <xdr:cNvSpPr/>
        </xdr:nvSpPr>
        <xdr:spPr>
          <a:xfrm>
            <a:off x="2085677" y="2228850"/>
            <a:ext cx="533400" cy="9525"/>
          </a:xfrm>
          <a:custGeom>
            <a:avLst/>
            <a:gdLst/>
            <a:ahLst/>
            <a:cxnLst/>
            <a:rect l="0" t="0" r="0" b="0"/>
            <a:pathLst>
              <a:path w="533400" h="9525">
                <a:moveTo>
                  <a:pt x="0" y="0"/>
                </a:moveTo>
                <a:lnTo>
                  <a:pt x="533400" y="0"/>
                </a:lnTo>
              </a:path>
            </a:pathLst>
          </a:custGeom>
          <a:noFill/>
          <a:ln w="14287">
            <a:solidFill>
              <a:srgbClr val="E0CB15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74" name="Rounded Rectangle 5">
            <a:extLst>
              <a:ext uri="{FF2B5EF4-FFF2-40B4-BE49-F238E27FC236}">
                <a16:creationId xmlns:a16="http://schemas.microsoft.com/office/drawing/2014/main" id="{2FEEB181-67BB-29EE-BDEC-FC6D3046827C}"/>
              </a:ext>
            </a:extLst>
          </xdr:cNvPr>
          <xdr:cNvSpPr/>
        </xdr:nvSpPr>
        <xdr:spPr>
          <a:xfrm>
            <a:off x="2057102" y="2200275"/>
            <a:ext cx="57150" cy="57150"/>
          </a:xfrm>
          <a:custGeom>
            <a:avLst/>
            <a:gdLst/>
            <a:ahLst/>
            <a:cxnLst/>
            <a:rect l="0" t="0" r="0" b="0"/>
            <a:pathLst>
              <a:path w="57150" h="57150">
                <a:moveTo>
                  <a:pt x="0" y="28575"/>
                </a:moveTo>
                <a:cubicBezTo>
                  <a:pt x="0" y="44356"/>
                  <a:pt x="12793" y="57150"/>
                  <a:pt x="28575" y="57150"/>
                </a:cubicBezTo>
                <a:cubicBezTo>
                  <a:pt x="44356" y="57150"/>
                  <a:pt x="57150" y="44356"/>
                  <a:pt x="57150" y="28575"/>
                </a:cubicBezTo>
                <a:cubicBezTo>
                  <a:pt x="57150" y="12793"/>
                  <a:pt x="44356" y="0"/>
                  <a:pt x="28575" y="0"/>
                </a:cubicBezTo>
                <a:cubicBezTo>
                  <a:pt x="12793" y="0"/>
                  <a:pt x="0" y="12793"/>
                  <a:pt x="0" y="28575"/>
                </a:cubicBezTo>
                <a:close/>
              </a:path>
            </a:pathLst>
          </a:custGeom>
          <a:solidFill>
            <a:srgbClr val="E0CB15"/>
          </a:solidFill>
          <a:ln w="14287">
            <a:solidFill>
              <a:srgbClr val="E0CB15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75" name="Rounded Rectangle 6">
            <a:extLst>
              <a:ext uri="{FF2B5EF4-FFF2-40B4-BE49-F238E27FC236}">
                <a16:creationId xmlns:a16="http://schemas.microsoft.com/office/drawing/2014/main" id="{1CE88C44-969C-A2BB-49D1-F5FEFCF1739E}"/>
              </a:ext>
            </a:extLst>
          </xdr:cNvPr>
          <xdr:cNvSpPr/>
        </xdr:nvSpPr>
        <xdr:spPr>
          <a:xfrm>
            <a:off x="2590502" y="2200275"/>
            <a:ext cx="57150" cy="57150"/>
          </a:xfrm>
          <a:custGeom>
            <a:avLst/>
            <a:gdLst/>
            <a:ahLst/>
            <a:cxnLst/>
            <a:rect l="0" t="0" r="0" b="0"/>
            <a:pathLst>
              <a:path w="57150" h="57150">
                <a:moveTo>
                  <a:pt x="0" y="28575"/>
                </a:moveTo>
                <a:cubicBezTo>
                  <a:pt x="0" y="44356"/>
                  <a:pt x="12793" y="57150"/>
                  <a:pt x="28575" y="57150"/>
                </a:cubicBezTo>
                <a:cubicBezTo>
                  <a:pt x="44356" y="57150"/>
                  <a:pt x="57150" y="44356"/>
                  <a:pt x="57150" y="28575"/>
                </a:cubicBezTo>
                <a:cubicBezTo>
                  <a:pt x="57150" y="12793"/>
                  <a:pt x="44356" y="0"/>
                  <a:pt x="28575" y="0"/>
                </a:cubicBezTo>
                <a:cubicBezTo>
                  <a:pt x="12793" y="0"/>
                  <a:pt x="0" y="12793"/>
                  <a:pt x="0" y="28575"/>
                </a:cubicBezTo>
                <a:close/>
              </a:path>
            </a:pathLst>
          </a:custGeom>
          <a:solidFill>
            <a:srgbClr val="E0CB15"/>
          </a:solidFill>
          <a:ln w="14287">
            <a:solidFill>
              <a:srgbClr val="E0CB15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</xdr:grpSp>
    <xdr:clientData/>
  </xdr:twoCellAnchor>
  <xdr:twoCellAnchor>
    <xdr:from>
      <xdr:col>2</xdr:col>
      <xdr:colOff>599789</xdr:colOff>
      <xdr:row>20</xdr:row>
      <xdr:rowOff>109538</xdr:rowOff>
    </xdr:from>
    <xdr:to>
      <xdr:col>3</xdr:col>
      <xdr:colOff>155221</xdr:colOff>
      <xdr:row>23</xdr:row>
      <xdr:rowOff>185738</xdr:rowOff>
    </xdr:to>
    <xdr:sp macro="" textlink="">
      <xdr:nvSpPr>
        <xdr:cNvPr id="57" name="Rounded Rectangle 8">
          <a:extLst>
            <a:ext uri="{FF2B5EF4-FFF2-40B4-BE49-F238E27FC236}">
              <a16:creationId xmlns:a16="http://schemas.microsoft.com/office/drawing/2014/main" id="{6CCC6CAA-15BA-C025-CD1E-B344E97E60DB}"/>
            </a:ext>
          </a:extLst>
        </xdr:cNvPr>
        <xdr:cNvSpPr/>
      </xdr:nvSpPr>
      <xdr:spPr>
        <a:xfrm>
          <a:off x="3952589" y="7221538"/>
          <a:ext cx="393632" cy="685800"/>
        </a:xfrm>
        <a:custGeom>
          <a:avLst/>
          <a:gdLst/>
          <a:ahLst/>
          <a:cxnLst/>
          <a:rect l="0" t="0" r="0" b="0"/>
          <a:pathLst>
            <a:path w="393632" h="685800">
              <a:moveTo>
                <a:pt x="0" y="685800"/>
              </a:moveTo>
              <a:lnTo>
                <a:pt x="167199" y="685800"/>
              </a:lnTo>
              <a:cubicBezTo>
                <a:pt x="187526" y="685800"/>
                <a:pt x="206322" y="675003"/>
                <a:pt x="216565" y="657445"/>
              </a:cubicBezTo>
              <a:lnTo>
                <a:pt x="383252" y="371695"/>
              </a:lnTo>
              <a:cubicBezTo>
                <a:pt x="393632" y="353901"/>
                <a:pt x="393632" y="331897"/>
                <a:pt x="383252" y="314104"/>
              </a:cubicBezTo>
              <a:lnTo>
                <a:pt x="216565" y="28354"/>
              </a:lnTo>
              <a:cubicBezTo>
                <a:pt x="206322" y="10796"/>
                <a:pt x="187526" y="0"/>
                <a:pt x="167199" y="0"/>
              </a:cubicBezTo>
              <a:lnTo>
                <a:pt x="0" y="0"/>
              </a:lnTo>
            </a:path>
          </a:pathLst>
        </a:custGeom>
        <a:noFill/>
        <a:ln w="14287">
          <a:solidFill>
            <a:srgbClr val="DE8431"/>
          </a:solidFill>
        </a:ln>
      </xdr:spPr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>
          <a:pPr algn="ctr"/>
          <a:endParaRPr/>
        </a:p>
      </xdr:txBody>
    </xdr:sp>
    <xdr:clientData/>
  </xdr:twoCellAnchor>
  <xdr:twoCellAnchor>
    <xdr:from>
      <xdr:col>4</xdr:col>
      <xdr:colOff>74961</xdr:colOff>
      <xdr:row>16</xdr:row>
      <xdr:rowOff>122275</xdr:rowOff>
    </xdr:from>
    <xdr:to>
      <xdr:col>6</xdr:col>
      <xdr:colOff>444511</xdr:colOff>
      <xdr:row>25</xdr:row>
      <xdr:rowOff>122275</xdr:rowOff>
    </xdr:to>
    <xdr:sp macro="" textlink="">
      <xdr:nvSpPr>
        <xdr:cNvPr id="58" name="Rounded Rectangle 9">
          <a:extLst>
            <a:ext uri="{FF2B5EF4-FFF2-40B4-BE49-F238E27FC236}">
              <a16:creationId xmlns:a16="http://schemas.microsoft.com/office/drawing/2014/main" id="{B26FC80B-7C1C-6305-0251-57C2400DD2BF}"/>
            </a:ext>
          </a:extLst>
        </xdr:cNvPr>
        <xdr:cNvSpPr/>
      </xdr:nvSpPr>
      <xdr:spPr>
        <a:xfrm>
          <a:off x="5104161" y="6421475"/>
          <a:ext cx="2045950" cy="1828800"/>
        </a:xfrm>
        <a:custGeom>
          <a:avLst/>
          <a:gdLst/>
          <a:ahLst/>
          <a:cxnLst/>
          <a:rect l="0" t="0" r="0" b="0"/>
          <a:pathLst>
            <a:path w="2045950" h="1828800">
              <a:moveTo>
                <a:pt x="40328" y="1028042"/>
              </a:moveTo>
              <a:cubicBezTo>
                <a:pt x="0" y="957643"/>
                <a:pt x="0" y="871156"/>
                <a:pt x="40328" y="800757"/>
              </a:cubicBezTo>
              <a:lnTo>
                <a:pt x="433235" y="114957"/>
              </a:lnTo>
              <a:cubicBezTo>
                <a:pt x="473973" y="43862"/>
                <a:pt x="549649" y="0"/>
                <a:pt x="631593" y="0"/>
              </a:cubicBezTo>
              <a:lnTo>
                <a:pt x="1414357" y="0"/>
              </a:lnTo>
              <a:cubicBezTo>
                <a:pt x="1496301" y="0"/>
                <a:pt x="1571977" y="43862"/>
                <a:pt x="1612715" y="114957"/>
              </a:cubicBezTo>
              <a:lnTo>
                <a:pt x="2005622" y="800757"/>
              </a:lnTo>
              <a:cubicBezTo>
                <a:pt x="2045950" y="871156"/>
                <a:pt x="2045950" y="957643"/>
                <a:pt x="2005622" y="1028042"/>
              </a:cubicBezTo>
              <a:lnTo>
                <a:pt x="1612715" y="1713842"/>
              </a:lnTo>
              <a:cubicBezTo>
                <a:pt x="1571977" y="1784937"/>
                <a:pt x="1496301" y="1828800"/>
                <a:pt x="1414357" y="1828800"/>
              </a:cubicBezTo>
              <a:lnTo>
                <a:pt x="631593" y="1828800"/>
              </a:lnTo>
              <a:cubicBezTo>
                <a:pt x="549649" y="1828800"/>
                <a:pt x="473973" y="1784937"/>
                <a:pt x="433235" y="1713842"/>
              </a:cubicBezTo>
              <a:lnTo>
                <a:pt x="40328" y="1028042"/>
              </a:lnTo>
            </a:path>
          </a:pathLst>
        </a:custGeom>
        <a:solidFill>
          <a:srgbClr val="DE8431"/>
        </a:solidFill>
        <a:ln>
          <a:noFill/>
        </a:ln>
      </xdr:spPr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>
          <a:pPr algn="ctr"/>
          <a:endParaRPr/>
        </a:p>
      </xdr:txBody>
    </xdr:sp>
    <xdr:clientData/>
  </xdr:twoCellAnchor>
  <xdr:twoCellAnchor>
    <xdr:from>
      <xdr:col>4</xdr:col>
      <xdr:colOff>74966</xdr:colOff>
      <xdr:row>16</xdr:row>
      <xdr:rowOff>122275</xdr:rowOff>
    </xdr:from>
    <xdr:to>
      <xdr:col>6</xdr:col>
      <xdr:colOff>444512</xdr:colOff>
      <xdr:row>25</xdr:row>
      <xdr:rowOff>122275</xdr:rowOff>
    </xdr:to>
    <xdr:sp macro="" textlink="">
      <xdr:nvSpPr>
        <xdr:cNvPr id="59" name="Rounded Rectangle 10">
          <a:extLst>
            <a:ext uri="{FF2B5EF4-FFF2-40B4-BE49-F238E27FC236}">
              <a16:creationId xmlns:a16="http://schemas.microsoft.com/office/drawing/2014/main" id="{FFE1A4D8-92DB-0126-9367-C4B280E46135}"/>
            </a:ext>
          </a:extLst>
        </xdr:cNvPr>
        <xdr:cNvSpPr/>
      </xdr:nvSpPr>
      <xdr:spPr>
        <a:xfrm>
          <a:off x="5104166" y="6421475"/>
          <a:ext cx="2045946" cy="1828800"/>
        </a:xfrm>
        <a:custGeom>
          <a:avLst/>
          <a:gdLst/>
          <a:ahLst/>
          <a:cxnLst/>
          <a:rect l="0" t="0" r="0" b="0"/>
          <a:pathLst>
            <a:path w="2045946" h="1828800">
              <a:moveTo>
                <a:pt x="40328" y="1028039"/>
              </a:moveTo>
              <a:cubicBezTo>
                <a:pt x="0" y="957647"/>
                <a:pt x="0" y="871152"/>
                <a:pt x="40328" y="800760"/>
              </a:cubicBezTo>
              <a:lnTo>
                <a:pt x="433235" y="114960"/>
              </a:lnTo>
              <a:cubicBezTo>
                <a:pt x="473970" y="43858"/>
                <a:pt x="549645" y="0"/>
                <a:pt x="631588" y="0"/>
              </a:cubicBezTo>
              <a:lnTo>
                <a:pt x="1414357" y="0"/>
              </a:lnTo>
              <a:cubicBezTo>
                <a:pt x="1496300" y="0"/>
                <a:pt x="1571975" y="43859"/>
                <a:pt x="1612711" y="114960"/>
              </a:cubicBezTo>
              <a:lnTo>
                <a:pt x="2005617" y="800760"/>
              </a:lnTo>
              <a:cubicBezTo>
                <a:pt x="2045946" y="871152"/>
                <a:pt x="2045946" y="957647"/>
                <a:pt x="2005617" y="1028039"/>
              </a:cubicBezTo>
              <a:lnTo>
                <a:pt x="1612710" y="1713839"/>
              </a:lnTo>
              <a:cubicBezTo>
                <a:pt x="1571975" y="1784941"/>
                <a:pt x="1496300" y="1828800"/>
                <a:pt x="1414357" y="1828800"/>
              </a:cubicBezTo>
              <a:lnTo>
                <a:pt x="631588" y="1828800"/>
              </a:lnTo>
              <a:cubicBezTo>
                <a:pt x="549645" y="1828800"/>
                <a:pt x="473970" y="1784940"/>
                <a:pt x="433235" y="1713839"/>
              </a:cubicBezTo>
              <a:lnTo>
                <a:pt x="40328" y="1028039"/>
              </a:lnTo>
              <a:close/>
            </a:path>
          </a:pathLst>
        </a:custGeom>
        <a:noFill/>
        <a:ln w="14287">
          <a:solidFill>
            <a:srgbClr val="FFFFFF"/>
          </a:solidFill>
        </a:ln>
      </xdr:spPr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>
          <a:pPr algn="ctr"/>
          <a:endParaRPr/>
        </a:p>
      </xdr:txBody>
    </xdr:sp>
    <xdr:clientData/>
  </xdr:twoCellAnchor>
  <xdr:twoCellAnchor>
    <xdr:from>
      <xdr:col>3</xdr:col>
      <xdr:colOff>136239</xdr:colOff>
      <xdr:row>22</xdr:row>
      <xdr:rowOff>20638</xdr:rowOff>
    </xdr:from>
    <xdr:to>
      <xdr:col>4</xdr:col>
      <xdr:colOff>212439</xdr:colOff>
      <xdr:row>22</xdr:row>
      <xdr:rowOff>77788</xdr:rowOff>
    </xdr:to>
    <xdr:grpSp>
      <xdr:nvGrpSpPr>
        <xdr:cNvPr id="60" name="Group 59">
          <a:extLst>
            <a:ext uri="{FF2B5EF4-FFF2-40B4-BE49-F238E27FC236}">
              <a16:creationId xmlns:a16="http://schemas.microsoft.com/office/drawing/2014/main" id="{BA227919-1E33-2209-C06B-1AE564E74CE4}"/>
            </a:ext>
          </a:extLst>
        </xdr:cNvPr>
        <xdr:cNvGrpSpPr/>
      </xdr:nvGrpSpPr>
      <xdr:grpSpPr>
        <a:xfrm>
          <a:off x="2636552" y="4211638"/>
          <a:ext cx="909637" cy="57150"/>
          <a:chOff x="2057102" y="3343275"/>
          <a:chExt cx="914400" cy="57150"/>
        </a:xfrm>
      </xdr:grpSpPr>
      <xdr:sp macro="" textlink="">
        <xdr:nvSpPr>
          <xdr:cNvPr id="70" name="Rounded Rectangle 11">
            <a:extLst>
              <a:ext uri="{FF2B5EF4-FFF2-40B4-BE49-F238E27FC236}">
                <a16:creationId xmlns:a16="http://schemas.microsoft.com/office/drawing/2014/main" id="{4EC748A8-46E4-9BF9-43C0-0B361956F8E3}"/>
              </a:ext>
            </a:extLst>
          </xdr:cNvPr>
          <xdr:cNvSpPr/>
        </xdr:nvSpPr>
        <xdr:spPr>
          <a:xfrm>
            <a:off x="2085677" y="3371850"/>
            <a:ext cx="857250" cy="9525"/>
          </a:xfrm>
          <a:custGeom>
            <a:avLst/>
            <a:gdLst/>
            <a:ahLst/>
            <a:cxnLst/>
            <a:rect l="0" t="0" r="0" b="0"/>
            <a:pathLst>
              <a:path w="857250" h="9525">
                <a:moveTo>
                  <a:pt x="0" y="0"/>
                </a:moveTo>
                <a:lnTo>
                  <a:pt x="857250" y="0"/>
                </a:lnTo>
              </a:path>
            </a:pathLst>
          </a:custGeom>
          <a:noFill/>
          <a:ln w="14287">
            <a:solidFill>
              <a:srgbClr val="DE8431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71" name="Rounded Rectangle 12">
            <a:extLst>
              <a:ext uri="{FF2B5EF4-FFF2-40B4-BE49-F238E27FC236}">
                <a16:creationId xmlns:a16="http://schemas.microsoft.com/office/drawing/2014/main" id="{1342C31C-FBAD-A1C1-7269-02D1A0743378}"/>
              </a:ext>
            </a:extLst>
          </xdr:cNvPr>
          <xdr:cNvSpPr/>
        </xdr:nvSpPr>
        <xdr:spPr>
          <a:xfrm>
            <a:off x="2057102" y="3343275"/>
            <a:ext cx="57150" cy="57150"/>
          </a:xfrm>
          <a:custGeom>
            <a:avLst/>
            <a:gdLst/>
            <a:ahLst/>
            <a:cxnLst/>
            <a:rect l="0" t="0" r="0" b="0"/>
            <a:pathLst>
              <a:path w="57150" h="57150">
                <a:moveTo>
                  <a:pt x="0" y="28575"/>
                </a:moveTo>
                <a:cubicBezTo>
                  <a:pt x="0" y="44356"/>
                  <a:pt x="12793" y="57150"/>
                  <a:pt x="28575" y="57150"/>
                </a:cubicBezTo>
                <a:cubicBezTo>
                  <a:pt x="44356" y="57150"/>
                  <a:pt x="57150" y="44356"/>
                  <a:pt x="57150" y="28575"/>
                </a:cubicBezTo>
                <a:cubicBezTo>
                  <a:pt x="57150" y="12793"/>
                  <a:pt x="44356" y="0"/>
                  <a:pt x="28575" y="0"/>
                </a:cubicBezTo>
                <a:cubicBezTo>
                  <a:pt x="12793" y="0"/>
                  <a:pt x="0" y="12793"/>
                  <a:pt x="0" y="28575"/>
                </a:cubicBezTo>
                <a:close/>
              </a:path>
            </a:pathLst>
          </a:custGeom>
          <a:solidFill>
            <a:srgbClr val="DE8431"/>
          </a:solidFill>
          <a:ln w="14287">
            <a:solidFill>
              <a:srgbClr val="DE8431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72" name="Rounded Rectangle 13">
            <a:extLst>
              <a:ext uri="{FF2B5EF4-FFF2-40B4-BE49-F238E27FC236}">
                <a16:creationId xmlns:a16="http://schemas.microsoft.com/office/drawing/2014/main" id="{7DE56065-7D77-C715-A7FC-EA01E344801E}"/>
              </a:ext>
            </a:extLst>
          </xdr:cNvPr>
          <xdr:cNvSpPr/>
        </xdr:nvSpPr>
        <xdr:spPr>
          <a:xfrm>
            <a:off x="2914352" y="3343275"/>
            <a:ext cx="57150" cy="57150"/>
          </a:xfrm>
          <a:custGeom>
            <a:avLst/>
            <a:gdLst/>
            <a:ahLst/>
            <a:cxnLst/>
            <a:rect l="0" t="0" r="0" b="0"/>
            <a:pathLst>
              <a:path w="57150" h="57150">
                <a:moveTo>
                  <a:pt x="0" y="28575"/>
                </a:moveTo>
                <a:cubicBezTo>
                  <a:pt x="0" y="44356"/>
                  <a:pt x="12793" y="57150"/>
                  <a:pt x="28575" y="57150"/>
                </a:cubicBezTo>
                <a:cubicBezTo>
                  <a:pt x="44356" y="57150"/>
                  <a:pt x="57150" y="44356"/>
                  <a:pt x="57150" y="28575"/>
                </a:cubicBezTo>
                <a:cubicBezTo>
                  <a:pt x="57150" y="12793"/>
                  <a:pt x="44356" y="0"/>
                  <a:pt x="28575" y="0"/>
                </a:cubicBezTo>
                <a:cubicBezTo>
                  <a:pt x="12793" y="0"/>
                  <a:pt x="0" y="12793"/>
                  <a:pt x="0" y="28575"/>
                </a:cubicBezTo>
                <a:close/>
              </a:path>
            </a:pathLst>
          </a:custGeom>
          <a:solidFill>
            <a:srgbClr val="DE8431"/>
          </a:solidFill>
          <a:ln w="14287">
            <a:solidFill>
              <a:srgbClr val="DE8431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</xdr:grpSp>
    <xdr:clientData/>
  </xdr:twoCellAnchor>
  <xdr:twoCellAnchor>
    <xdr:from>
      <xdr:col>3</xdr:col>
      <xdr:colOff>731899</xdr:colOff>
      <xdr:row>8</xdr:row>
      <xdr:rowOff>117475</xdr:rowOff>
    </xdr:from>
    <xdr:to>
      <xdr:col>6</xdr:col>
      <xdr:colOff>677333</xdr:colOff>
      <xdr:row>9</xdr:row>
      <xdr:rowOff>194514</xdr:rowOff>
    </xdr:to>
    <xdr:sp macro="" textlink="">
      <xdr:nvSpPr>
        <xdr:cNvPr id="61" name="TextBox 15">
          <a:extLst>
            <a:ext uri="{FF2B5EF4-FFF2-40B4-BE49-F238E27FC236}">
              <a16:creationId xmlns:a16="http://schemas.microsoft.com/office/drawing/2014/main" id="{C01C333B-2F54-3CB7-59B1-669F05CF9A05}"/>
            </a:ext>
          </a:extLst>
        </xdr:cNvPr>
        <xdr:cNvSpPr txBox="1"/>
      </xdr:nvSpPr>
      <xdr:spPr>
        <a:xfrm>
          <a:off x="3246499" y="2352675"/>
          <a:ext cx="2460034" cy="280239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>
          <a:pPr algn="ctr"/>
          <a:r>
            <a:rPr sz="1800" b="1">
              <a:solidFill>
                <a:srgbClr val="484848"/>
              </a:solidFill>
              <a:latin typeface="Roboto"/>
            </a:rPr>
            <a:t>Actual vs. Profit</a:t>
          </a:r>
          <a:r>
            <a:rPr lang="en-GB" sz="1800" b="1">
              <a:solidFill>
                <a:srgbClr val="484848"/>
              </a:solidFill>
              <a:latin typeface="Roboto"/>
            </a:rPr>
            <a:t> (M)</a:t>
          </a:r>
          <a:endParaRPr sz="1800" b="1">
            <a:solidFill>
              <a:srgbClr val="484848"/>
            </a:solidFill>
            <a:latin typeface="Roboto"/>
          </a:endParaRPr>
        </a:p>
      </xdr:txBody>
    </xdr:sp>
    <xdr:clientData/>
  </xdr:twoCellAnchor>
  <xdr:twoCellAnchor>
    <xdr:from>
      <xdr:col>4</xdr:col>
      <xdr:colOff>815022</xdr:colOff>
      <xdr:row>14</xdr:row>
      <xdr:rowOff>33412</xdr:rowOff>
    </xdr:from>
    <xdr:to>
      <xdr:col>5</xdr:col>
      <xdr:colOff>650875</xdr:colOff>
      <xdr:row>15</xdr:row>
      <xdr:rowOff>57934</xdr:rowOff>
    </xdr:to>
    <xdr:sp macro="" textlink="">
      <xdr:nvSpPr>
        <xdr:cNvPr id="62" name="TextBox 16">
          <a:extLst>
            <a:ext uri="{FF2B5EF4-FFF2-40B4-BE49-F238E27FC236}">
              <a16:creationId xmlns:a16="http://schemas.microsoft.com/office/drawing/2014/main" id="{4836862C-16B2-5AC2-8FDF-9A3C5AF29D83}"/>
            </a:ext>
          </a:extLst>
        </xdr:cNvPr>
        <xdr:cNvSpPr txBox="1"/>
      </xdr:nvSpPr>
      <xdr:spPr>
        <a:xfrm>
          <a:off x="3291522" y="2922662"/>
          <a:ext cx="661353" cy="230897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>
          <a:pPr algn="ctr"/>
          <a:r>
            <a:rPr sz="1500" b="0">
              <a:solidFill>
                <a:srgbClr val="FFFFFF"/>
              </a:solidFill>
              <a:latin typeface="Roboto"/>
            </a:rPr>
            <a:t>$1,000</a:t>
          </a:r>
        </a:p>
      </xdr:txBody>
    </xdr:sp>
    <xdr:clientData/>
  </xdr:twoCellAnchor>
  <xdr:twoCellAnchor>
    <xdr:from>
      <xdr:col>2</xdr:col>
      <xdr:colOff>390256</xdr:colOff>
      <xdr:row>15</xdr:row>
      <xdr:rowOff>115738</xdr:rowOff>
    </xdr:from>
    <xdr:to>
      <xdr:col>2</xdr:col>
      <xdr:colOff>809314</xdr:colOff>
      <xdr:row>17</xdr:row>
      <xdr:rowOff>128396</xdr:rowOff>
    </xdr:to>
    <xdr:sp macro="" textlink="">
      <xdr:nvSpPr>
        <xdr:cNvPr id="63" name="Rounded Rectangle 17">
          <a:extLst>
            <a:ext uri="{FF2B5EF4-FFF2-40B4-BE49-F238E27FC236}">
              <a16:creationId xmlns:a16="http://schemas.microsoft.com/office/drawing/2014/main" id="{446D9AF3-94C7-D05E-67B5-7116623CB647}"/>
            </a:ext>
          </a:extLst>
        </xdr:cNvPr>
        <xdr:cNvSpPr/>
      </xdr:nvSpPr>
      <xdr:spPr>
        <a:xfrm>
          <a:off x="3743056" y="6211738"/>
          <a:ext cx="419058" cy="419058"/>
        </a:xfrm>
        <a:custGeom>
          <a:avLst/>
          <a:gdLst/>
          <a:ahLst/>
          <a:cxnLst/>
          <a:rect l="0" t="0" r="0" b="0"/>
          <a:pathLst>
            <a:path w="419058" h="419058">
              <a:moveTo>
                <a:pt x="209529" y="0"/>
              </a:moveTo>
              <a:lnTo>
                <a:pt x="209529" y="85716"/>
              </a:lnTo>
              <a:moveTo>
                <a:pt x="0" y="209529"/>
              </a:moveTo>
              <a:lnTo>
                <a:pt x="85716" y="209529"/>
              </a:lnTo>
              <a:moveTo>
                <a:pt x="209529" y="419058"/>
              </a:moveTo>
              <a:lnTo>
                <a:pt x="209529" y="333341"/>
              </a:lnTo>
              <a:moveTo>
                <a:pt x="419058" y="209529"/>
              </a:moveTo>
              <a:lnTo>
                <a:pt x="333341" y="209529"/>
              </a:lnTo>
              <a:moveTo>
                <a:pt x="57144" y="209529"/>
              </a:moveTo>
              <a:cubicBezTo>
                <a:pt x="57144" y="293688"/>
                <a:pt x="125369" y="361913"/>
                <a:pt x="209529" y="361913"/>
              </a:cubicBezTo>
              <a:cubicBezTo>
                <a:pt x="293688" y="361913"/>
                <a:pt x="361913" y="293688"/>
                <a:pt x="361913" y="209529"/>
              </a:cubicBezTo>
              <a:cubicBezTo>
                <a:pt x="361913" y="125369"/>
                <a:pt x="293688" y="57144"/>
                <a:pt x="209529" y="57144"/>
              </a:cubicBezTo>
              <a:cubicBezTo>
                <a:pt x="125369" y="57144"/>
                <a:pt x="57144" y="125369"/>
                <a:pt x="57144" y="209529"/>
              </a:cubicBezTo>
              <a:close/>
              <a:moveTo>
                <a:pt x="209529" y="133336"/>
              </a:moveTo>
              <a:lnTo>
                <a:pt x="209529" y="152384"/>
              </a:lnTo>
              <a:moveTo>
                <a:pt x="238101" y="152346"/>
              </a:moveTo>
              <a:lnTo>
                <a:pt x="199376" y="152346"/>
              </a:lnTo>
              <a:cubicBezTo>
                <a:pt x="187135" y="152355"/>
                <a:pt x="176619" y="161040"/>
                <a:pt x="174296" y="173058"/>
              </a:cubicBezTo>
              <a:cubicBezTo>
                <a:pt x="171973" y="185076"/>
                <a:pt x="178496" y="197054"/>
                <a:pt x="189852" y="201624"/>
              </a:cubicBezTo>
              <a:lnTo>
                <a:pt x="229167" y="217338"/>
              </a:lnTo>
              <a:cubicBezTo>
                <a:pt x="240550" y="221892"/>
                <a:pt x="247097" y="233885"/>
                <a:pt x="244771" y="245921"/>
              </a:cubicBezTo>
              <a:cubicBezTo>
                <a:pt x="242446" y="257958"/>
                <a:pt x="231902" y="266649"/>
                <a:pt x="219643" y="266635"/>
              </a:cubicBezTo>
              <a:lnTo>
                <a:pt x="180956" y="266635"/>
              </a:lnTo>
              <a:moveTo>
                <a:pt x="209529" y="266673"/>
              </a:moveTo>
              <a:lnTo>
                <a:pt x="209529" y="285721"/>
              </a:lnTo>
            </a:path>
          </a:pathLst>
        </a:custGeom>
        <a:noFill/>
        <a:ln w="14287">
          <a:solidFill>
            <a:srgbClr val="484848"/>
          </a:solidFill>
        </a:ln>
      </xdr:spPr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>
          <a:pPr algn="ctr"/>
          <a:endParaRPr/>
        </a:p>
      </xdr:txBody>
    </xdr:sp>
    <xdr:clientData/>
  </xdr:twoCellAnchor>
  <xdr:twoCellAnchor>
    <xdr:from>
      <xdr:col>1</xdr:col>
      <xdr:colOff>571</xdr:colOff>
      <xdr:row>16</xdr:row>
      <xdr:rowOff>28764</xdr:rowOff>
    </xdr:from>
    <xdr:to>
      <xdr:col>2</xdr:col>
      <xdr:colOff>237800</xdr:colOff>
      <xdr:row>17</xdr:row>
      <xdr:rowOff>54164</xdr:rowOff>
    </xdr:to>
    <xdr:sp macro="" textlink="">
      <xdr:nvSpPr>
        <xdr:cNvPr id="64" name="TextBox 18">
          <a:extLst>
            <a:ext uri="{FF2B5EF4-FFF2-40B4-BE49-F238E27FC236}">
              <a16:creationId xmlns:a16="http://schemas.microsoft.com/office/drawing/2014/main" id="{15C1FD54-1E75-66AB-0DA4-CA19A2C3B2E6}"/>
            </a:ext>
          </a:extLst>
        </xdr:cNvPr>
        <xdr:cNvSpPr txBox="1"/>
      </xdr:nvSpPr>
      <xdr:spPr>
        <a:xfrm>
          <a:off x="2515171" y="6327964"/>
          <a:ext cx="1075429" cy="22860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>
          <a:pPr algn="r"/>
          <a:r>
            <a:rPr sz="1500" b="1">
              <a:solidFill>
                <a:srgbClr val="E0CB15"/>
              </a:solidFill>
              <a:latin typeface="Roboto"/>
            </a:rPr>
            <a:t>Target Profit</a:t>
          </a:r>
        </a:p>
      </xdr:txBody>
    </xdr:sp>
    <xdr:clientData/>
  </xdr:twoCellAnchor>
  <xdr:twoCellAnchor>
    <xdr:from>
      <xdr:col>1</xdr:col>
      <xdr:colOff>53086</xdr:colOff>
      <xdr:row>18</xdr:row>
      <xdr:rowOff>128777</xdr:rowOff>
    </xdr:from>
    <xdr:to>
      <xdr:col>2</xdr:col>
      <xdr:colOff>241052</xdr:colOff>
      <xdr:row>19</xdr:row>
      <xdr:rowOff>93852</xdr:rowOff>
    </xdr:to>
    <xdr:sp macro="" textlink="">
      <xdr:nvSpPr>
        <xdr:cNvPr id="65" name="TextBox 19">
          <a:extLst>
            <a:ext uri="{FF2B5EF4-FFF2-40B4-BE49-F238E27FC236}">
              <a16:creationId xmlns:a16="http://schemas.microsoft.com/office/drawing/2014/main" id="{8FADCC71-78AD-3D98-7513-E45D04E126B6}"/>
            </a:ext>
          </a:extLst>
        </xdr:cNvPr>
        <xdr:cNvSpPr txBox="1"/>
      </xdr:nvSpPr>
      <xdr:spPr>
        <a:xfrm>
          <a:off x="2567686" y="6834377"/>
          <a:ext cx="1026166" cy="1682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>
          <a:pPr algn="r"/>
          <a:r>
            <a:rPr sz="1100" b="0">
              <a:solidFill>
                <a:srgbClr val="484848"/>
              </a:solidFill>
              <a:latin typeface="Roboto"/>
            </a:rPr>
            <a:t>Initial profit goal</a:t>
          </a:r>
        </a:p>
      </xdr:txBody>
    </xdr:sp>
    <xdr:clientData/>
  </xdr:twoCellAnchor>
  <xdr:twoCellAnchor>
    <xdr:from>
      <xdr:col>2</xdr:col>
      <xdr:colOff>459400</xdr:colOff>
      <xdr:row>21</xdr:row>
      <xdr:rowOff>29938</xdr:rowOff>
    </xdr:from>
    <xdr:to>
      <xdr:col>2</xdr:col>
      <xdr:colOff>740168</xdr:colOff>
      <xdr:row>23</xdr:row>
      <xdr:rowOff>62958</xdr:rowOff>
    </xdr:to>
    <xdr:sp macro="" textlink="">
      <xdr:nvSpPr>
        <xdr:cNvPr id="66" name="Rounded Rectangle 20">
          <a:extLst>
            <a:ext uri="{FF2B5EF4-FFF2-40B4-BE49-F238E27FC236}">
              <a16:creationId xmlns:a16="http://schemas.microsoft.com/office/drawing/2014/main" id="{61E4FF45-399E-49B6-7E91-49DEE43AF8EE}"/>
            </a:ext>
          </a:extLst>
        </xdr:cNvPr>
        <xdr:cNvSpPr/>
      </xdr:nvSpPr>
      <xdr:spPr>
        <a:xfrm>
          <a:off x="3812200" y="7345138"/>
          <a:ext cx="280768" cy="439420"/>
        </a:xfrm>
        <a:custGeom>
          <a:avLst/>
          <a:gdLst/>
          <a:ahLst/>
          <a:cxnLst/>
          <a:rect l="0" t="0" r="0" b="0"/>
          <a:pathLst>
            <a:path w="280768" h="439420">
              <a:moveTo>
                <a:pt x="193147" y="76192"/>
              </a:moveTo>
              <a:lnTo>
                <a:pt x="229529" y="14286"/>
              </a:lnTo>
              <a:cubicBezTo>
                <a:pt x="231155" y="11319"/>
                <a:pt x="231155" y="7728"/>
                <a:pt x="229529" y="4762"/>
              </a:cubicBezTo>
              <a:cubicBezTo>
                <a:pt x="227784" y="1887"/>
                <a:pt x="224700" y="93"/>
                <a:pt x="221338" y="0"/>
              </a:cubicBezTo>
              <a:lnTo>
                <a:pt x="102288" y="0"/>
              </a:lnTo>
              <a:cubicBezTo>
                <a:pt x="98858" y="29"/>
                <a:pt x="95687" y="1830"/>
                <a:pt x="93907" y="4762"/>
              </a:cubicBezTo>
              <a:cubicBezTo>
                <a:pt x="92089" y="7745"/>
                <a:pt x="92089" y="11493"/>
                <a:pt x="93907" y="14476"/>
              </a:cubicBezTo>
              <a:lnTo>
                <a:pt x="130860" y="76192"/>
              </a:lnTo>
              <a:moveTo>
                <a:pt x="201719" y="190480"/>
              </a:moveTo>
              <a:cubicBezTo>
                <a:pt x="217910" y="203624"/>
                <a:pt x="280768" y="246291"/>
                <a:pt x="280768" y="323817"/>
              </a:cubicBezTo>
              <a:cubicBezTo>
                <a:pt x="280768" y="386485"/>
                <a:pt x="221148" y="438106"/>
                <a:pt x="155813" y="438106"/>
              </a:cubicBezTo>
              <a:cubicBezTo>
                <a:pt x="90790" y="439420"/>
                <a:pt x="36516" y="388776"/>
                <a:pt x="33334" y="323817"/>
              </a:cubicBezTo>
              <a:cubicBezTo>
                <a:pt x="33334" y="243053"/>
                <a:pt x="97526" y="200766"/>
                <a:pt x="112574" y="190480"/>
              </a:cubicBezTo>
              <a:moveTo>
                <a:pt x="0" y="57144"/>
              </a:moveTo>
              <a:lnTo>
                <a:pt x="38096" y="57144"/>
              </a:lnTo>
              <a:cubicBezTo>
                <a:pt x="40670" y="56973"/>
                <a:pt x="43193" y="57922"/>
                <a:pt x="45017" y="59746"/>
              </a:cubicBezTo>
              <a:cubicBezTo>
                <a:pt x="46841" y="61571"/>
                <a:pt x="47790" y="64093"/>
                <a:pt x="47620" y="66668"/>
              </a:cubicBezTo>
              <a:lnTo>
                <a:pt x="47620" y="180956"/>
              </a:lnTo>
              <a:cubicBezTo>
                <a:pt x="47790" y="183531"/>
                <a:pt x="46841" y="186054"/>
                <a:pt x="45017" y="187878"/>
              </a:cubicBezTo>
              <a:cubicBezTo>
                <a:pt x="43193" y="189702"/>
                <a:pt x="40670" y="190651"/>
                <a:pt x="38096" y="190480"/>
              </a:cubicBezTo>
              <a:lnTo>
                <a:pt x="0" y="190480"/>
              </a:lnTo>
              <a:moveTo>
                <a:pt x="107240" y="36381"/>
              </a:moveTo>
              <a:lnTo>
                <a:pt x="85716" y="66668"/>
              </a:lnTo>
              <a:cubicBezTo>
                <a:pt x="81041" y="72446"/>
                <a:pt x="74095" y="75919"/>
                <a:pt x="66668" y="76192"/>
              </a:cubicBezTo>
              <a:lnTo>
                <a:pt x="47620" y="76192"/>
              </a:lnTo>
              <a:moveTo>
                <a:pt x="47620" y="161908"/>
              </a:moveTo>
              <a:cubicBezTo>
                <a:pt x="85716" y="180956"/>
                <a:pt x="101335" y="190480"/>
                <a:pt x="123812" y="190480"/>
              </a:cubicBezTo>
              <a:lnTo>
                <a:pt x="200005" y="190480"/>
              </a:lnTo>
              <a:cubicBezTo>
                <a:pt x="219053" y="190480"/>
                <a:pt x="222481" y="189528"/>
                <a:pt x="228577" y="171432"/>
              </a:cubicBezTo>
              <a:cubicBezTo>
                <a:pt x="238101" y="142860"/>
                <a:pt x="247625" y="95240"/>
                <a:pt x="247625" y="95240"/>
              </a:cubicBezTo>
              <a:cubicBezTo>
                <a:pt x="247625" y="85716"/>
                <a:pt x="238101" y="76192"/>
                <a:pt x="219053" y="76192"/>
              </a:cubicBezTo>
              <a:lnTo>
                <a:pt x="130860" y="76192"/>
              </a:lnTo>
              <a:moveTo>
                <a:pt x="156956" y="342865"/>
              </a:moveTo>
              <a:lnTo>
                <a:pt x="156956" y="361913"/>
              </a:lnTo>
              <a:moveTo>
                <a:pt x="156956" y="247625"/>
              </a:moveTo>
              <a:lnTo>
                <a:pt x="156956" y="266673"/>
              </a:lnTo>
              <a:moveTo>
                <a:pt x="118860" y="342865"/>
              </a:moveTo>
              <a:lnTo>
                <a:pt x="176004" y="342865"/>
              </a:lnTo>
              <a:cubicBezTo>
                <a:pt x="186524" y="342865"/>
                <a:pt x="195052" y="334337"/>
                <a:pt x="195052" y="323817"/>
              </a:cubicBezTo>
              <a:cubicBezTo>
                <a:pt x="195052" y="313297"/>
                <a:pt x="186524" y="304769"/>
                <a:pt x="176004" y="304769"/>
              </a:cubicBezTo>
              <a:lnTo>
                <a:pt x="137908" y="304769"/>
              </a:lnTo>
              <a:cubicBezTo>
                <a:pt x="127388" y="304769"/>
                <a:pt x="118860" y="296241"/>
                <a:pt x="118860" y="285721"/>
              </a:cubicBezTo>
              <a:cubicBezTo>
                <a:pt x="118860" y="275201"/>
                <a:pt x="127388" y="266673"/>
                <a:pt x="137908" y="266673"/>
              </a:cubicBezTo>
              <a:lnTo>
                <a:pt x="195052" y="266673"/>
              </a:lnTo>
            </a:path>
          </a:pathLst>
        </a:custGeom>
        <a:noFill/>
        <a:ln w="14287">
          <a:solidFill>
            <a:srgbClr val="484848"/>
          </a:solidFill>
        </a:ln>
      </xdr:spPr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>
          <a:pPr algn="ctr"/>
          <a:endParaRPr/>
        </a:p>
      </xdr:txBody>
    </xdr:sp>
    <xdr:clientData/>
  </xdr:twoCellAnchor>
  <xdr:twoCellAnchor>
    <xdr:from>
      <xdr:col>5</xdr:col>
      <xdr:colOff>42767</xdr:colOff>
      <xdr:row>20</xdr:row>
      <xdr:rowOff>128625</xdr:rowOff>
    </xdr:from>
    <xdr:to>
      <xdr:col>5</xdr:col>
      <xdr:colOff>471096</xdr:colOff>
      <xdr:row>21</xdr:row>
      <xdr:rowOff>154025</xdr:rowOff>
    </xdr:to>
    <xdr:sp macro="" textlink="">
      <xdr:nvSpPr>
        <xdr:cNvPr id="67" name="TextBox 21">
          <a:extLst>
            <a:ext uri="{FF2B5EF4-FFF2-40B4-BE49-F238E27FC236}">
              <a16:creationId xmlns:a16="http://schemas.microsoft.com/office/drawing/2014/main" id="{63F5F504-30EF-9F4D-048F-6B8E1186D5E2}"/>
            </a:ext>
          </a:extLst>
        </xdr:cNvPr>
        <xdr:cNvSpPr txBox="1"/>
      </xdr:nvSpPr>
      <xdr:spPr>
        <a:xfrm>
          <a:off x="5910167" y="7240625"/>
          <a:ext cx="428329" cy="22860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>
          <a:pPr algn="ctr"/>
          <a:r>
            <a:rPr sz="1500" b="0">
              <a:solidFill>
                <a:srgbClr val="FFFFFF"/>
              </a:solidFill>
              <a:latin typeface="Roboto"/>
            </a:rPr>
            <a:t>$890</a:t>
          </a:r>
        </a:p>
      </xdr:txBody>
    </xdr:sp>
    <xdr:clientData/>
  </xdr:twoCellAnchor>
  <xdr:twoCellAnchor>
    <xdr:from>
      <xdr:col>1</xdr:col>
      <xdr:colOff>0</xdr:colOff>
      <xdr:row>21</xdr:row>
      <xdr:rowOff>155764</xdr:rowOff>
    </xdr:from>
    <xdr:to>
      <xdr:col>2</xdr:col>
      <xdr:colOff>237829</xdr:colOff>
      <xdr:row>22</xdr:row>
      <xdr:rowOff>181164</xdr:rowOff>
    </xdr:to>
    <xdr:sp macro="" textlink="">
      <xdr:nvSpPr>
        <xdr:cNvPr id="68" name="TextBox 22">
          <a:extLst>
            <a:ext uri="{FF2B5EF4-FFF2-40B4-BE49-F238E27FC236}">
              <a16:creationId xmlns:a16="http://schemas.microsoft.com/office/drawing/2014/main" id="{F304D762-8758-701D-8E30-14D18CC3BB4D}"/>
            </a:ext>
          </a:extLst>
        </xdr:cNvPr>
        <xdr:cNvSpPr txBox="1"/>
      </xdr:nvSpPr>
      <xdr:spPr>
        <a:xfrm>
          <a:off x="2514600" y="7470964"/>
          <a:ext cx="1076029" cy="22860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>
          <a:pPr algn="r"/>
          <a:r>
            <a:rPr sz="1500" b="1">
              <a:solidFill>
                <a:srgbClr val="DE8431"/>
              </a:solidFill>
              <a:latin typeface="Roboto"/>
            </a:rPr>
            <a:t>Actual Profit</a:t>
          </a:r>
        </a:p>
      </xdr:txBody>
    </xdr:sp>
    <xdr:clientData/>
  </xdr:twoCellAnchor>
  <xdr:twoCellAnchor>
    <xdr:from>
      <xdr:col>1</xdr:col>
      <xdr:colOff>130492</xdr:colOff>
      <xdr:row>24</xdr:row>
      <xdr:rowOff>27177</xdr:rowOff>
    </xdr:from>
    <xdr:to>
      <xdr:col>2</xdr:col>
      <xdr:colOff>240975</xdr:colOff>
      <xdr:row>24</xdr:row>
      <xdr:rowOff>195452</xdr:rowOff>
    </xdr:to>
    <xdr:sp macro="" textlink="">
      <xdr:nvSpPr>
        <xdr:cNvPr id="69" name="TextBox 23">
          <a:extLst>
            <a:ext uri="{FF2B5EF4-FFF2-40B4-BE49-F238E27FC236}">
              <a16:creationId xmlns:a16="http://schemas.microsoft.com/office/drawing/2014/main" id="{B6943755-447C-C529-91AF-AA3C75535993}"/>
            </a:ext>
          </a:extLst>
        </xdr:cNvPr>
        <xdr:cNvSpPr txBox="1"/>
      </xdr:nvSpPr>
      <xdr:spPr>
        <a:xfrm>
          <a:off x="2645092" y="7951977"/>
          <a:ext cx="948683" cy="1682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>
          <a:pPr algn="r"/>
          <a:r>
            <a:rPr sz="1100" b="0">
              <a:solidFill>
                <a:srgbClr val="484848"/>
              </a:solidFill>
              <a:latin typeface="Roboto"/>
            </a:rPr>
            <a:t>Profit achieved</a:t>
          </a:r>
        </a:p>
      </xdr:txBody>
    </xdr:sp>
    <xdr:clientData/>
  </xdr:twoCellAnchor>
  <xdr:twoCellAnchor>
    <xdr:from>
      <xdr:col>1</xdr:col>
      <xdr:colOff>127000</xdr:colOff>
      <xdr:row>31</xdr:row>
      <xdr:rowOff>98425</xdr:rowOff>
    </xdr:from>
    <xdr:to>
      <xdr:col>7</xdr:col>
      <xdr:colOff>377825</xdr:colOff>
      <xdr:row>60</xdr:row>
      <xdr:rowOff>50800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77" name="Chart 76">
              <a:extLst>
                <a:ext uri="{FF2B5EF4-FFF2-40B4-BE49-F238E27FC236}">
                  <a16:creationId xmlns:a16="http://schemas.microsoft.com/office/drawing/2014/main" id="{A5087337-287A-4BCA-8EBC-4BBAEFC20F8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7000" y="6397625"/>
              <a:ext cx="5280025" cy="5845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257175</xdr:colOff>
      <xdr:row>31</xdr:row>
      <xdr:rowOff>168275</xdr:rowOff>
    </xdr:from>
    <xdr:to>
      <xdr:col>15</xdr:col>
      <xdr:colOff>812800</xdr:colOff>
      <xdr:row>59</xdr:row>
      <xdr:rowOff>-1</xdr:rowOff>
    </xdr:to>
    <xdr:graphicFrame macro="">
      <xdr:nvGraphicFramePr>
        <xdr:cNvPr id="78" name="Chart 77">
          <a:extLst>
            <a:ext uri="{FF2B5EF4-FFF2-40B4-BE49-F238E27FC236}">
              <a16:creationId xmlns:a16="http://schemas.microsoft.com/office/drawing/2014/main" id="{5C6CEF64-84E3-480A-97D1-4A0624BA79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159258</xdr:colOff>
      <xdr:row>14</xdr:row>
      <xdr:rowOff>185738</xdr:rowOff>
    </xdr:from>
    <xdr:to>
      <xdr:col>10</xdr:col>
      <xdr:colOff>552890</xdr:colOff>
      <xdr:row>18</xdr:row>
      <xdr:rowOff>58738</xdr:rowOff>
    </xdr:to>
    <xdr:sp macro="" textlink="">
      <xdr:nvSpPr>
        <xdr:cNvPr id="125" name="Rounded Rectangle 1">
          <a:extLst>
            <a:ext uri="{FF2B5EF4-FFF2-40B4-BE49-F238E27FC236}">
              <a16:creationId xmlns:a16="http://schemas.microsoft.com/office/drawing/2014/main" id="{9520F383-C711-D8FC-3375-C217FD510181}"/>
            </a:ext>
          </a:extLst>
        </xdr:cNvPr>
        <xdr:cNvSpPr/>
      </xdr:nvSpPr>
      <xdr:spPr>
        <a:xfrm>
          <a:off x="8541258" y="4452938"/>
          <a:ext cx="393632" cy="685800"/>
        </a:xfrm>
        <a:custGeom>
          <a:avLst/>
          <a:gdLst/>
          <a:ahLst/>
          <a:cxnLst/>
          <a:rect l="0" t="0" r="0" b="0"/>
          <a:pathLst>
            <a:path w="393632" h="685800">
              <a:moveTo>
                <a:pt x="0" y="685800"/>
              </a:moveTo>
              <a:lnTo>
                <a:pt x="167199" y="685800"/>
              </a:lnTo>
              <a:cubicBezTo>
                <a:pt x="187526" y="685800"/>
                <a:pt x="206322" y="675003"/>
                <a:pt x="216565" y="657445"/>
              </a:cubicBezTo>
              <a:lnTo>
                <a:pt x="383252" y="371695"/>
              </a:lnTo>
              <a:cubicBezTo>
                <a:pt x="393632" y="353901"/>
                <a:pt x="393632" y="331897"/>
                <a:pt x="383252" y="314104"/>
              </a:cubicBezTo>
              <a:lnTo>
                <a:pt x="216565" y="28354"/>
              </a:lnTo>
              <a:cubicBezTo>
                <a:pt x="206322" y="10796"/>
                <a:pt x="187526" y="0"/>
                <a:pt x="167199" y="0"/>
              </a:cubicBezTo>
              <a:lnTo>
                <a:pt x="0" y="0"/>
              </a:lnTo>
            </a:path>
          </a:pathLst>
        </a:custGeom>
        <a:noFill/>
        <a:ln w="14287">
          <a:solidFill>
            <a:schemeClr val="accent4">
              <a:lumMod val="50000"/>
            </a:schemeClr>
          </a:solidFill>
        </a:ln>
      </xdr:spPr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>
          <a:pPr algn="ctr"/>
          <a:endParaRPr/>
        </a:p>
      </xdr:txBody>
    </xdr:sp>
    <xdr:clientData/>
  </xdr:twoCellAnchor>
  <xdr:twoCellAnchor>
    <xdr:from>
      <xdr:col>10</xdr:col>
      <xdr:colOff>790130</xdr:colOff>
      <xdr:row>12</xdr:row>
      <xdr:rowOff>134938</xdr:rowOff>
    </xdr:from>
    <xdr:to>
      <xdr:col>14</xdr:col>
      <xdr:colOff>531030</xdr:colOff>
      <xdr:row>26</xdr:row>
      <xdr:rowOff>33338</xdr:rowOff>
    </xdr:to>
    <xdr:sp macro="" textlink="">
      <xdr:nvSpPr>
        <xdr:cNvPr id="126" name="Rounded Rectangle 2">
          <a:extLst>
            <a:ext uri="{FF2B5EF4-FFF2-40B4-BE49-F238E27FC236}">
              <a16:creationId xmlns:a16="http://schemas.microsoft.com/office/drawing/2014/main" id="{2DCDF5BA-B349-E2FF-A8D5-E84A48703F24}"/>
            </a:ext>
          </a:extLst>
        </xdr:cNvPr>
        <xdr:cNvSpPr/>
      </xdr:nvSpPr>
      <xdr:spPr>
        <a:xfrm>
          <a:off x="8219630" y="2611438"/>
          <a:ext cx="3042900" cy="2787650"/>
        </a:xfrm>
        <a:custGeom>
          <a:avLst/>
          <a:gdLst/>
          <a:ahLst/>
          <a:cxnLst/>
          <a:rect l="0" t="0" r="0" b="0"/>
          <a:pathLst>
            <a:path w="3093700" h="2743200">
              <a:moveTo>
                <a:pt x="40328" y="1257957"/>
              </a:moveTo>
              <a:cubicBezTo>
                <a:pt x="0" y="1328356"/>
                <a:pt x="0" y="1414843"/>
                <a:pt x="40328" y="1485242"/>
              </a:cubicBezTo>
              <a:lnTo>
                <a:pt x="695172" y="2628242"/>
              </a:lnTo>
              <a:cubicBezTo>
                <a:pt x="735911" y="2699337"/>
                <a:pt x="811587" y="2743200"/>
                <a:pt x="893530" y="2743200"/>
              </a:cubicBezTo>
              <a:lnTo>
                <a:pt x="2200170" y="2743200"/>
              </a:lnTo>
              <a:cubicBezTo>
                <a:pt x="2282113" y="2743200"/>
                <a:pt x="2357789" y="2699337"/>
                <a:pt x="2398528" y="2628242"/>
              </a:cubicBezTo>
              <a:lnTo>
                <a:pt x="3053372" y="1485242"/>
              </a:lnTo>
              <a:cubicBezTo>
                <a:pt x="3093700" y="1414843"/>
                <a:pt x="3093700" y="1328356"/>
                <a:pt x="3053372" y="1257957"/>
              </a:cubicBezTo>
              <a:lnTo>
                <a:pt x="2398528" y="114957"/>
              </a:lnTo>
              <a:cubicBezTo>
                <a:pt x="2357789" y="43862"/>
                <a:pt x="2282113" y="0"/>
                <a:pt x="2200170" y="0"/>
              </a:cubicBezTo>
              <a:lnTo>
                <a:pt x="893530" y="0"/>
              </a:lnTo>
              <a:cubicBezTo>
                <a:pt x="811587" y="0"/>
                <a:pt x="735911" y="43862"/>
                <a:pt x="695172" y="114957"/>
              </a:cubicBezTo>
              <a:lnTo>
                <a:pt x="40328" y="1257957"/>
              </a:lnTo>
              <a:moveTo>
                <a:pt x="564203" y="1600857"/>
              </a:moveTo>
              <a:lnTo>
                <a:pt x="957110" y="915057"/>
              </a:lnTo>
              <a:cubicBezTo>
                <a:pt x="997848" y="843962"/>
                <a:pt x="1073524" y="800100"/>
                <a:pt x="1155468" y="800100"/>
              </a:cubicBezTo>
              <a:lnTo>
                <a:pt x="1938232" y="800100"/>
              </a:lnTo>
              <a:cubicBezTo>
                <a:pt x="2020176" y="800100"/>
                <a:pt x="2095852" y="843962"/>
                <a:pt x="2136590" y="915057"/>
              </a:cubicBezTo>
              <a:lnTo>
                <a:pt x="2529497" y="1600857"/>
              </a:lnTo>
              <a:cubicBezTo>
                <a:pt x="2569825" y="1671256"/>
                <a:pt x="2569825" y="1757743"/>
                <a:pt x="2529497" y="1828142"/>
              </a:cubicBezTo>
              <a:lnTo>
                <a:pt x="2136590" y="2513942"/>
              </a:lnTo>
              <a:cubicBezTo>
                <a:pt x="2095852" y="2585037"/>
                <a:pt x="2020176" y="2628900"/>
                <a:pt x="1938232" y="2628900"/>
              </a:cubicBezTo>
              <a:lnTo>
                <a:pt x="1155468" y="2628900"/>
              </a:lnTo>
              <a:cubicBezTo>
                <a:pt x="1073524" y="2628900"/>
                <a:pt x="997848" y="2585037"/>
                <a:pt x="957110" y="2513942"/>
              </a:cubicBezTo>
              <a:lnTo>
                <a:pt x="564203" y="1828142"/>
              </a:lnTo>
              <a:cubicBezTo>
                <a:pt x="523884" y="1757743"/>
                <a:pt x="523884" y="1671256"/>
                <a:pt x="564203" y="1600857"/>
              </a:cubicBezTo>
            </a:path>
          </a:pathLst>
        </a:custGeom>
        <a:solidFill>
          <a:schemeClr val="accent4">
            <a:lumMod val="50000"/>
          </a:schemeClr>
        </a:solidFill>
        <a:ln>
          <a:noFill/>
        </a:ln>
      </xdr:spPr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>
          <a:pPr algn="ctr"/>
          <a:endParaRPr/>
        </a:p>
      </xdr:txBody>
    </xdr:sp>
    <xdr:clientData/>
  </xdr:twoCellAnchor>
  <xdr:twoCellAnchor>
    <xdr:from>
      <xdr:col>10</xdr:col>
      <xdr:colOff>786960</xdr:colOff>
      <xdr:row>12</xdr:row>
      <xdr:rowOff>134938</xdr:rowOff>
    </xdr:from>
    <xdr:to>
      <xdr:col>14</xdr:col>
      <xdr:colOff>527856</xdr:colOff>
      <xdr:row>26</xdr:row>
      <xdr:rowOff>33338</xdr:rowOff>
    </xdr:to>
    <xdr:sp macro="" textlink="">
      <xdr:nvSpPr>
        <xdr:cNvPr id="127" name="Rounded Rectangle 3">
          <a:extLst>
            <a:ext uri="{FF2B5EF4-FFF2-40B4-BE49-F238E27FC236}">
              <a16:creationId xmlns:a16="http://schemas.microsoft.com/office/drawing/2014/main" id="{3466D156-2AA1-A11A-2936-59C613518BBA}"/>
            </a:ext>
          </a:extLst>
        </xdr:cNvPr>
        <xdr:cNvSpPr/>
      </xdr:nvSpPr>
      <xdr:spPr>
        <a:xfrm>
          <a:off x="9168960" y="3995738"/>
          <a:ext cx="3093696" cy="2743200"/>
        </a:xfrm>
        <a:custGeom>
          <a:avLst/>
          <a:gdLst/>
          <a:ahLst/>
          <a:cxnLst/>
          <a:rect l="0" t="0" r="0" b="0"/>
          <a:pathLst>
            <a:path w="3093696" h="2743200">
              <a:moveTo>
                <a:pt x="40328" y="1257960"/>
              </a:moveTo>
              <a:cubicBezTo>
                <a:pt x="0" y="1328352"/>
                <a:pt x="0" y="1414847"/>
                <a:pt x="40328" y="1485239"/>
              </a:cubicBezTo>
              <a:lnTo>
                <a:pt x="695172" y="2628239"/>
              </a:lnTo>
              <a:cubicBezTo>
                <a:pt x="735908" y="2699341"/>
                <a:pt x="811583" y="2743200"/>
                <a:pt x="893525" y="2743200"/>
              </a:cubicBezTo>
              <a:lnTo>
                <a:pt x="2200170" y="2743200"/>
              </a:lnTo>
              <a:cubicBezTo>
                <a:pt x="2282112" y="2743200"/>
                <a:pt x="2357788" y="2699341"/>
                <a:pt x="2398522" y="2628239"/>
              </a:cubicBezTo>
              <a:lnTo>
                <a:pt x="3053366" y="1485239"/>
              </a:lnTo>
              <a:cubicBezTo>
                <a:pt x="3093696" y="1414847"/>
                <a:pt x="3093696" y="1328352"/>
                <a:pt x="3053366" y="1257960"/>
              </a:cubicBezTo>
              <a:lnTo>
                <a:pt x="2398522" y="114960"/>
              </a:lnTo>
              <a:cubicBezTo>
                <a:pt x="2357788" y="43859"/>
                <a:pt x="2282112" y="0"/>
                <a:pt x="2200170" y="0"/>
              </a:cubicBezTo>
              <a:lnTo>
                <a:pt x="893525" y="0"/>
              </a:lnTo>
              <a:cubicBezTo>
                <a:pt x="811582" y="0"/>
                <a:pt x="735907" y="43859"/>
                <a:pt x="695172" y="114960"/>
              </a:cubicBezTo>
              <a:close/>
              <a:moveTo>
                <a:pt x="564203" y="1600860"/>
              </a:moveTo>
              <a:lnTo>
                <a:pt x="957110" y="915060"/>
              </a:lnTo>
              <a:cubicBezTo>
                <a:pt x="997844" y="843959"/>
                <a:pt x="1073519" y="800100"/>
                <a:pt x="1155463" y="800100"/>
              </a:cubicBezTo>
              <a:lnTo>
                <a:pt x="1938232" y="800100"/>
              </a:lnTo>
              <a:cubicBezTo>
                <a:pt x="2020175" y="800100"/>
                <a:pt x="2095850" y="843959"/>
                <a:pt x="2136585" y="915060"/>
              </a:cubicBezTo>
              <a:lnTo>
                <a:pt x="2529491" y="1600860"/>
              </a:lnTo>
              <a:cubicBezTo>
                <a:pt x="2569821" y="1671252"/>
                <a:pt x="2569821" y="1757747"/>
                <a:pt x="2529491" y="1828139"/>
              </a:cubicBezTo>
              <a:lnTo>
                <a:pt x="2136585" y="2513939"/>
              </a:lnTo>
              <a:cubicBezTo>
                <a:pt x="2095850" y="2585041"/>
                <a:pt x="2020175" y="2628900"/>
                <a:pt x="1938232" y="2628900"/>
              </a:cubicBezTo>
              <a:lnTo>
                <a:pt x="1155463" y="2628900"/>
              </a:lnTo>
              <a:cubicBezTo>
                <a:pt x="1073520" y="2628900"/>
                <a:pt x="997845" y="2585041"/>
                <a:pt x="957110" y="2513939"/>
              </a:cubicBezTo>
              <a:lnTo>
                <a:pt x="564203" y="1828139"/>
              </a:lnTo>
              <a:cubicBezTo>
                <a:pt x="523875" y="1757747"/>
                <a:pt x="523875" y="1671252"/>
                <a:pt x="564203" y="1600860"/>
              </a:cubicBezTo>
              <a:close/>
            </a:path>
          </a:pathLst>
        </a:custGeom>
        <a:noFill/>
        <a:ln w="14287">
          <a:solidFill>
            <a:srgbClr val="FFFFFF"/>
          </a:solidFill>
        </a:ln>
      </xdr:spPr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>
          <a:pPr algn="ctr"/>
          <a:endParaRPr/>
        </a:p>
      </xdr:txBody>
    </xdr:sp>
    <xdr:clientData/>
  </xdr:twoCellAnchor>
  <xdr:twoCellAnchor>
    <xdr:from>
      <xdr:col>10</xdr:col>
      <xdr:colOff>530733</xdr:colOff>
      <xdr:row>16</xdr:row>
      <xdr:rowOff>96838</xdr:rowOff>
    </xdr:from>
    <xdr:to>
      <xdr:col>11</xdr:col>
      <xdr:colOff>283083</xdr:colOff>
      <xdr:row>16</xdr:row>
      <xdr:rowOff>153988</xdr:rowOff>
    </xdr:to>
    <xdr:grpSp>
      <xdr:nvGrpSpPr>
        <xdr:cNvPr id="128" name="Group 127">
          <a:extLst>
            <a:ext uri="{FF2B5EF4-FFF2-40B4-BE49-F238E27FC236}">
              <a16:creationId xmlns:a16="http://schemas.microsoft.com/office/drawing/2014/main" id="{E5E7A2AA-3005-B865-2B0B-857681054A87}"/>
            </a:ext>
          </a:extLst>
        </xdr:cNvPr>
        <xdr:cNvGrpSpPr/>
      </xdr:nvGrpSpPr>
      <xdr:grpSpPr>
        <a:xfrm>
          <a:off x="8865108" y="3144838"/>
          <a:ext cx="585788" cy="57150"/>
          <a:chOff x="2454771" y="2200275"/>
          <a:chExt cx="590550" cy="57150"/>
        </a:xfrm>
      </xdr:grpSpPr>
      <xdr:sp macro="" textlink="">
        <xdr:nvSpPr>
          <xdr:cNvPr id="145" name="Rounded Rectangle 4">
            <a:extLst>
              <a:ext uri="{FF2B5EF4-FFF2-40B4-BE49-F238E27FC236}">
                <a16:creationId xmlns:a16="http://schemas.microsoft.com/office/drawing/2014/main" id="{EF6FA42D-D5E8-6594-9AF7-33534FE186F8}"/>
              </a:ext>
            </a:extLst>
          </xdr:cNvPr>
          <xdr:cNvSpPr/>
        </xdr:nvSpPr>
        <xdr:spPr>
          <a:xfrm>
            <a:off x="2483346" y="2228850"/>
            <a:ext cx="533400" cy="9525"/>
          </a:xfrm>
          <a:custGeom>
            <a:avLst/>
            <a:gdLst/>
            <a:ahLst/>
            <a:cxnLst/>
            <a:rect l="0" t="0" r="0" b="0"/>
            <a:pathLst>
              <a:path w="533400" h="9525">
                <a:moveTo>
                  <a:pt x="0" y="0"/>
                </a:moveTo>
                <a:lnTo>
                  <a:pt x="533400" y="0"/>
                </a:lnTo>
              </a:path>
            </a:pathLst>
          </a:custGeom>
          <a:noFill/>
          <a:ln w="14287">
            <a:solidFill>
              <a:schemeClr val="accent4">
                <a:lumMod val="50000"/>
              </a:schemeClr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>
              <a:solidFill>
                <a:schemeClr val="accent4">
                  <a:lumMod val="50000"/>
                </a:schemeClr>
              </a:solidFill>
            </a:endParaRPr>
          </a:p>
        </xdr:txBody>
      </xdr:sp>
      <xdr:sp macro="" textlink="">
        <xdr:nvSpPr>
          <xdr:cNvPr id="146" name="Rounded Rectangle 5">
            <a:extLst>
              <a:ext uri="{FF2B5EF4-FFF2-40B4-BE49-F238E27FC236}">
                <a16:creationId xmlns:a16="http://schemas.microsoft.com/office/drawing/2014/main" id="{BCDE9403-4502-A691-FB12-ACCC4CA7AD1D}"/>
              </a:ext>
            </a:extLst>
          </xdr:cNvPr>
          <xdr:cNvSpPr/>
        </xdr:nvSpPr>
        <xdr:spPr>
          <a:xfrm>
            <a:off x="2454771" y="2200275"/>
            <a:ext cx="57150" cy="57150"/>
          </a:xfrm>
          <a:custGeom>
            <a:avLst/>
            <a:gdLst/>
            <a:ahLst/>
            <a:cxnLst/>
            <a:rect l="0" t="0" r="0" b="0"/>
            <a:pathLst>
              <a:path w="57150" h="57150">
                <a:moveTo>
                  <a:pt x="0" y="28575"/>
                </a:moveTo>
                <a:cubicBezTo>
                  <a:pt x="0" y="44356"/>
                  <a:pt x="12793" y="57150"/>
                  <a:pt x="28575" y="57150"/>
                </a:cubicBezTo>
                <a:cubicBezTo>
                  <a:pt x="44356" y="57150"/>
                  <a:pt x="57150" y="44356"/>
                  <a:pt x="57150" y="28575"/>
                </a:cubicBezTo>
                <a:cubicBezTo>
                  <a:pt x="57150" y="12793"/>
                  <a:pt x="44356" y="0"/>
                  <a:pt x="28575" y="0"/>
                </a:cubicBezTo>
                <a:cubicBezTo>
                  <a:pt x="12793" y="0"/>
                  <a:pt x="0" y="12793"/>
                  <a:pt x="0" y="28575"/>
                </a:cubicBezTo>
                <a:close/>
              </a:path>
            </a:pathLst>
          </a:custGeom>
          <a:solidFill>
            <a:srgbClr val="E0CB15"/>
          </a:solidFill>
          <a:ln w="14287">
            <a:solidFill>
              <a:schemeClr val="accent4">
                <a:lumMod val="50000"/>
              </a:schemeClr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>
              <a:solidFill>
                <a:schemeClr val="accent4">
                  <a:lumMod val="50000"/>
                </a:schemeClr>
              </a:solidFill>
            </a:endParaRPr>
          </a:p>
        </xdr:txBody>
      </xdr:sp>
      <xdr:sp macro="" textlink="">
        <xdr:nvSpPr>
          <xdr:cNvPr id="147" name="Rounded Rectangle 6">
            <a:extLst>
              <a:ext uri="{FF2B5EF4-FFF2-40B4-BE49-F238E27FC236}">
                <a16:creationId xmlns:a16="http://schemas.microsoft.com/office/drawing/2014/main" id="{A5FBFB08-47ED-BBCA-0FA9-1532A36DE510}"/>
              </a:ext>
            </a:extLst>
          </xdr:cNvPr>
          <xdr:cNvSpPr/>
        </xdr:nvSpPr>
        <xdr:spPr>
          <a:xfrm>
            <a:off x="2988171" y="2200275"/>
            <a:ext cx="57150" cy="57150"/>
          </a:xfrm>
          <a:custGeom>
            <a:avLst/>
            <a:gdLst/>
            <a:ahLst/>
            <a:cxnLst/>
            <a:rect l="0" t="0" r="0" b="0"/>
            <a:pathLst>
              <a:path w="57150" h="57150">
                <a:moveTo>
                  <a:pt x="0" y="28575"/>
                </a:moveTo>
                <a:cubicBezTo>
                  <a:pt x="0" y="44356"/>
                  <a:pt x="12793" y="57150"/>
                  <a:pt x="28575" y="57150"/>
                </a:cubicBezTo>
                <a:cubicBezTo>
                  <a:pt x="44356" y="57150"/>
                  <a:pt x="57150" y="44356"/>
                  <a:pt x="57150" y="28575"/>
                </a:cubicBezTo>
                <a:cubicBezTo>
                  <a:pt x="57150" y="12793"/>
                  <a:pt x="44356" y="0"/>
                  <a:pt x="28575" y="0"/>
                </a:cubicBezTo>
                <a:cubicBezTo>
                  <a:pt x="12793" y="0"/>
                  <a:pt x="0" y="12793"/>
                  <a:pt x="0" y="28575"/>
                </a:cubicBezTo>
                <a:close/>
              </a:path>
            </a:pathLst>
          </a:custGeom>
          <a:solidFill>
            <a:srgbClr val="E0CB15"/>
          </a:solidFill>
          <a:ln w="14287">
            <a:solidFill>
              <a:schemeClr val="accent4">
                <a:lumMod val="50000"/>
              </a:schemeClr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>
              <a:solidFill>
                <a:schemeClr val="accent4">
                  <a:lumMod val="50000"/>
                </a:schemeClr>
              </a:solidFill>
            </a:endParaRPr>
          </a:p>
        </xdr:txBody>
      </xdr:sp>
    </xdr:grpSp>
    <xdr:clientData/>
  </xdr:twoCellAnchor>
  <xdr:twoCellAnchor>
    <xdr:from>
      <xdr:col>10</xdr:col>
      <xdr:colOff>159258</xdr:colOff>
      <xdr:row>20</xdr:row>
      <xdr:rowOff>109538</xdr:rowOff>
    </xdr:from>
    <xdr:to>
      <xdr:col>10</xdr:col>
      <xdr:colOff>552890</xdr:colOff>
      <xdr:row>23</xdr:row>
      <xdr:rowOff>185738</xdr:rowOff>
    </xdr:to>
    <xdr:sp macro="" textlink="">
      <xdr:nvSpPr>
        <xdr:cNvPr id="129" name="Rounded Rectangle 8">
          <a:extLst>
            <a:ext uri="{FF2B5EF4-FFF2-40B4-BE49-F238E27FC236}">
              <a16:creationId xmlns:a16="http://schemas.microsoft.com/office/drawing/2014/main" id="{CFA1B673-9A2C-C7DF-DA56-E8700D3652A4}"/>
            </a:ext>
          </a:extLst>
        </xdr:cNvPr>
        <xdr:cNvSpPr/>
      </xdr:nvSpPr>
      <xdr:spPr>
        <a:xfrm>
          <a:off x="8541258" y="5595938"/>
          <a:ext cx="393632" cy="685800"/>
        </a:xfrm>
        <a:custGeom>
          <a:avLst/>
          <a:gdLst/>
          <a:ahLst/>
          <a:cxnLst/>
          <a:rect l="0" t="0" r="0" b="0"/>
          <a:pathLst>
            <a:path w="393632" h="685800">
              <a:moveTo>
                <a:pt x="0" y="685800"/>
              </a:moveTo>
              <a:lnTo>
                <a:pt x="167199" y="685800"/>
              </a:lnTo>
              <a:cubicBezTo>
                <a:pt x="187526" y="685800"/>
                <a:pt x="206322" y="675003"/>
                <a:pt x="216565" y="657445"/>
              </a:cubicBezTo>
              <a:lnTo>
                <a:pt x="383252" y="371695"/>
              </a:lnTo>
              <a:cubicBezTo>
                <a:pt x="393632" y="353901"/>
                <a:pt x="393632" y="331897"/>
                <a:pt x="383252" y="314104"/>
              </a:cubicBezTo>
              <a:lnTo>
                <a:pt x="216565" y="28354"/>
              </a:lnTo>
              <a:cubicBezTo>
                <a:pt x="206322" y="10796"/>
                <a:pt x="187526" y="0"/>
                <a:pt x="167199" y="0"/>
              </a:cubicBezTo>
              <a:lnTo>
                <a:pt x="0" y="0"/>
              </a:lnTo>
            </a:path>
          </a:pathLst>
        </a:custGeom>
        <a:noFill/>
        <a:ln w="14287">
          <a:solidFill>
            <a:srgbClr val="DE8431"/>
          </a:solidFill>
        </a:ln>
      </xdr:spPr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>
          <a:pPr algn="ctr"/>
          <a:endParaRPr/>
        </a:p>
      </xdr:txBody>
    </xdr:sp>
    <xdr:clientData/>
  </xdr:twoCellAnchor>
  <xdr:twoCellAnchor>
    <xdr:from>
      <xdr:col>11</xdr:col>
      <xdr:colOff>472630</xdr:colOff>
      <xdr:row>16</xdr:row>
      <xdr:rowOff>122275</xdr:rowOff>
    </xdr:from>
    <xdr:to>
      <xdr:col>14</xdr:col>
      <xdr:colOff>3980</xdr:colOff>
      <xdr:row>25</xdr:row>
      <xdr:rowOff>122275</xdr:rowOff>
    </xdr:to>
    <xdr:sp macro="" textlink="">
      <xdr:nvSpPr>
        <xdr:cNvPr id="130" name="Rounded Rectangle 9">
          <a:extLst>
            <a:ext uri="{FF2B5EF4-FFF2-40B4-BE49-F238E27FC236}">
              <a16:creationId xmlns:a16="http://schemas.microsoft.com/office/drawing/2014/main" id="{DD78CF01-412F-BAA1-280D-B4DB7DED6F7C}"/>
            </a:ext>
          </a:extLst>
        </xdr:cNvPr>
        <xdr:cNvSpPr/>
      </xdr:nvSpPr>
      <xdr:spPr>
        <a:xfrm>
          <a:off x="9692830" y="4795875"/>
          <a:ext cx="2045950" cy="1828800"/>
        </a:xfrm>
        <a:custGeom>
          <a:avLst/>
          <a:gdLst/>
          <a:ahLst/>
          <a:cxnLst/>
          <a:rect l="0" t="0" r="0" b="0"/>
          <a:pathLst>
            <a:path w="2045950" h="1828800">
              <a:moveTo>
                <a:pt x="40328" y="1028042"/>
              </a:moveTo>
              <a:cubicBezTo>
                <a:pt x="0" y="957643"/>
                <a:pt x="0" y="871156"/>
                <a:pt x="40328" y="800757"/>
              </a:cubicBezTo>
              <a:lnTo>
                <a:pt x="433235" y="114957"/>
              </a:lnTo>
              <a:cubicBezTo>
                <a:pt x="473973" y="43862"/>
                <a:pt x="549649" y="0"/>
                <a:pt x="631593" y="0"/>
              </a:cubicBezTo>
              <a:lnTo>
                <a:pt x="1414357" y="0"/>
              </a:lnTo>
              <a:cubicBezTo>
                <a:pt x="1496301" y="0"/>
                <a:pt x="1571977" y="43862"/>
                <a:pt x="1612715" y="114957"/>
              </a:cubicBezTo>
              <a:lnTo>
                <a:pt x="2005622" y="800757"/>
              </a:lnTo>
              <a:cubicBezTo>
                <a:pt x="2045950" y="871156"/>
                <a:pt x="2045950" y="957643"/>
                <a:pt x="2005622" y="1028042"/>
              </a:cubicBezTo>
              <a:lnTo>
                <a:pt x="1612715" y="1713842"/>
              </a:lnTo>
              <a:cubicBezTo>
                <a:pt x="1571977" y="1784937"/>
                <a:pt x="1496301" y="1828800"/>
                <a:pt x="1414357" y="1828800"/>
              </a:cubicBezTo>
              <a:lnTo>
                <a:pt x="631593" y="1828800"/>
              </a:lnTo>
              <a:cubicBezTo>
                <a:pt x="549649" y="1828800"/>
                <a:pt x="473973" y="1784937"/>
                <a:pt x="433235" y="1713842"/>
              </a:cubicBezTo>
              <a:lnTo>
                <a:pt x="40328" y="1028042"/>
              </a:lnTo>
            </a:path>
          </a:pathLst>
        </a:custGeom>
        <a:solidFill>
          <a:schemeClr val="accent4">
            <a:lumMod val="75000"/>
          </a:schemeClr>
        </a:solidFill>
        <a:ln>
          <a:noFill/>
        </a:ln>
      </xdr:spPr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>
          <a:pPr algn="ctr"/>
          <a:endParaRPr/>
        </a:p>
      </xdr:txBody>
    </xdr:sp>
    <xdr:clientData/>
  </xdr:twoCellAnchor>
  <xdr:twoCellAnchor>
    <xdr:from>
      <xdr:col>11</xdr:col>
      <xdr:colOff>472635</xdr:colOff>
      <xdr:row>16</xdr:row>
      <xdr:rowOff>122275</xdr:rowOff>
    </xdr:from>
    <xdr:to>
      <xdr:col>14</xdr:col>
      <xdr:colOff>3981</xdr:colOff>
      <xdr:row>25</xdr:row>
      <xdr:rowOff>122275</xdr:rowOff>
    </xdr:to>
    <xdr:sp macro="" textlink="">
      <xdr:nvSpPr>
        <xdr:cNvPr id="131" name="Rounded Rectangle 10">
          <a:extLst>
            <a:ext uri="{FF2B5EF4-FFF2-40B4-BE49-F238E27FC236}">
              <a16:creationId xmlns:a16="http://schemas.microsoft.com/office/drawing/2014/main" id="{17AF8209-9BF3-73E8-7BC7-DF95ADC9015B}"/>
            </a:ext>
          </a:extLst>
        </xdr:cNvPr>
        <xdr:cNvSpPr/>
      </xdr:nvSpPr>
      <xdr:spPr>
        <a:xfrm>
          <a:off x="9692835" y="4795875"/>
          <a:ext cx="2045946" cy="1828800"/>
        </a:xfrm>
        <a:custGeom>
          <a:avLst/>
          <a:gdLst/>
          <a:ahLst/>
          <a:cxnLst/>
          <a:rect l="0" t="0" r="0" b="0"/>
          <a:pathLst>
            <a:path w="2045946" h="1828800">
              <a:moveTo>
                <a:pt x="40328" y="1028039"/>
              </a:moveTo>
              <a:cubicBezTo>
                <a:pt x="0" y="957647"/>
                <a:pt x="0" y="871152"/>
                <a:pt x="40328" y="800760"/>
              </a:cubicBezTo>
              <a:lnTo>
                <a:pt x="433235" y="114960"/>
              </a:lnTo>
              <a:cubicBezTo>
                <a:pt x="473970" y="43858"/>
                <a:pt x="549645" y="0"/>
                <a:pt x="631588" y="0"/>
              </a:cubicBezTo>
              <a:lnTo>
                <a:pt x="1414357" y="0"/>
              </a:lnTo>
              <a:cubicBezTo>
                <a:pt x="1496300" y="0"/>
                <a:pt x="1571975" y="43859"/>
                <a:pt x="1612711" y="114960"/>
              </a:cubicBezTo>
              <a:lnTo>
                <a:pt x="2005617" y="800760"/>
              </a:lnTo>
              <a:cubicBezTo>
                <a:pt x="2045946" y="871152"/>
                <a:pt x="2045946" y="957647"/>
                <a:pt x="2005617" y="1028039"/>
              </a:cubicBezTo>
              <a:lnTo>
                <a:pt x="1612710" y="1713839"/>
              </a:lnTo>
              <a:cubicBezTo>
                <a:pt x="1571975" y="1784941"/>
                <a:pt x="1496300" y="1828800"/>
                <a:pt x="1414357" y="1828800"/>
              </a:cubicBezTo>
              <a:lnTo>
                <a:pt x="631588" y="1828800"/>
              </a:lnTo>
              <a:cubicBezTo>
                <a:pt x="549645" y="1828800"/>
                <a:pt x="473970" y="1784940"/>
                <a:pt x="433235" y="1713839"/>
              </a:cubicBezTo>
              <a:lnTo>
                <a:pt x="40328" y="1028039"/>
              </a:lnTo>
              <a:close/>
            </a:path>
          </a:pathLst>
        </a:custGeom>
        <a:noFill/>
        <a:ln w="14287">
          <a:solidFill>
            <a:srgbClr val="FFFFFF"/>
          </a:solidFill>
        </a:ln>
      </xdr:spPr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>
          <a:pPr algn="ctr"/>
          <a:endParaRPr/>
        </a:p>
      </xdr:txBody>
    </xdr:sp>
    <xdr:clientData/>
  </xdr:twoCellAnchor>
  <xdr:twoCellAnchor>
    <xdr:from>
      <xdr:col>10</xdr:col>
      <xdr:colOff>530733</xdr:colOff>
      <xdr:row>22</xdr:row>
      <xdr:rowOff>20638</xdr:rowOff>
    </xdr:from>
    <xdr:to>
      <xdr:col>11</xdr:col>
      <xdr:colOff>606933</xdr:colOff>
      <xdr:row>22</xdr:row>
      <xdr:rowOff>77788</xdr:rowOff>
    </xdr:to>
    <xdr:grpSp>
      <xdr:nvGrpSpPr>
        <xdr:cNvPr id="132" name="Group 131">
          <a:extLst>
            <a:ext uri="{FF2B5EF4-FFF2-40B4-BE49-F238E27FC236}">
              <a16:creationId xmlns:a16="http://schemas.microsoft.com/office/drawing/2014/main" id="{26CE9D7A-A8C8-3850-DE4E-23F8C3EEE4A6}"/>
            </a:ext>
          </a:extLst>
        </xdr:cNvPr>
        <xdr:cNvGrpSpPr/>
      </xdr:nvGrpSpPr>
      <xdr:grpSpPr>
        <a:xfrm>
          <a:off x="8865108" y="4211638"/>
          <a:ext cx="909638" cy="57150"/>
          <a:chOff x="2454771" y="3343275"/>
          <a:chExt cx="914400" cy="57150"/>
        </a:xfrm>
      </xdr:grpSpPr>
      <xdr:sp macro="" textlink="">
        <xdr:nvSpPr>
          <xdr:cNvPr id="142" name="Rounded Rectangle 11">
            <a:extLst>
              <a:ext uri="{FF2B5EF4-FFF2-40B4-BE49-F238E27FC236}">
                <a16:creationId xmlns:a16="http://schemas.microsoft.com/office/drawing/2014/main" id="{AB15DD6D-D3ED-0ACB-803C-8BF1B4C7BC13}"/>
              </a:ext>
            </a:extLst>
          </xdr:cNvPr>
          <xdr:cNvSpPr/>
        </xdr:nvSpPr>
        <xdr:spPr>
          <a:xfrm>
            <a:off x="2483346" y="3371850"/>
            <a:ext cx="857250" cy="9525"/>
          </a:xfrm>
          <a:custGeom>
            <a:avLst/>
            <a:gdLst/>
            <a:ahLst/>
            <a:cxnLst/>
            <a:rect l="0" t="0" r="0" b="0"/>
            <a:pathLst>
              <a:path w="857250" h="9525">
                <a:moveTo>
                  <a:pt x="0" y="0"/>
                </a:moveTo>
                <a:lnTo>
                  <a:pt x="857250" y="0"/>
                </a:lnTo>
              </a:path>
            </a:pathLst>
          </a:custGeom>
          <a:noFill/>
          <a:ln w="14287">
            <a:solidFill>
              <a:schemeClr val="accent4">
                <a:lumMod val="75000"/>
              </a:schemeClr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143" name="Rounded Rectangle 12">
            <a:extLst>
              <a:ext uri="{FF2B5EF4-FFF2-40B4-BE49-F238E27FC236}">
                <a16:creationId xmlns:a16="http://schemas.microsoft.com/office/drawing/2014/main" id="{20D80094-8075-90FD-2963-FAD09DCCAB4F}"/>
              </a:ext>
            </a:extLst>
          </xdr:cNvPr>
          <xdr:cNvSpPr/>
        </xdr:nvSpPr>
        <xdr:spPr>
          <a:xfrm>
            <a:off x="2454771" y="3343275"/>
            <a:ext cx="57150" cy="57150"/>
          </a:xfrm>
          <a:custGeom>
            <a:avLst/>
            <a:gdLst/>
            <a:ahLst/>
            <a:cxnLst/>
            <a:rect l="0" t="0" r="0" b="0"/>
            <a:pathLst>
              <a:path w="57150" h="57150">
                <a:moveTo>
                  <a:pt x="0" y="28575"/>
                </a:moveTo>
                <a:cubicBezTo>
                  <a:pt x="0" y="44356"/>
                  <a:pt x="12793" y="57150"/>
                  <a:pt x="28575" y="57150"/>
                </a:cubicBezTo>
                <a:cubicBezTo>
                  <a:pt x="44356" y="57150"/>
                  <a:pt x="57150" y="44356"/>
                  <a:pt x="57150" y="28575"/>
                </a:cubicBezTo>
                <a:cubicBezTo>
                  <a:pt x="57150" y="12793"/>
                  <a:pt x="44356" y="0"/>
                  <a:pt x="28575" y="0"/>
                </a:cubicBezTo>
                <a:cubicBezTo>
                  <a:pt x="12793" y="0"/>
                  <a:pt x="0" y="12793"/>
                  <a:pt x="0" y="28575"/>
                </a:cubicBezTo>
                <a:close/>
              </a:path>
            </a:pathLst>
          </a:custGeom>
          <a:solidFill>
            <a:srgbClr val="DE8431"/>
          </a:solidFill>
          <a:ln w="14287">
            <a:solidFill>
              <a:schemeClr val="accent4">
                <a:lumMod val="75000"/>
              </a:schemeClr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144" name="Rounded Rectangle 13">
            <a:extLst>
              <a:ext uri="{FF2B5EF4-FFF2-40B4-BE49-F238E27FC236}">
                <a16:creationId xmlns:a16="http://schemas.microsoft.com/office/drawing/2014/main" id="{475809A6-8E93-1C3D-A5FD-C5D62E445C91}"/>
              </a:ext>
            </a:extLst>
          </xdr:cNvPr>
          <xdr:cNvSpPr/>
        </xdr:nvSpPr>
        <xdr:spPr>
          <a:xfrm>
            <a:off x="3312021" y="3343275"/>
            <a:ext cx="57150" cy="57150"/>
          </a:xfrm>
          <a:custGeom>
            <a:avLst/>
            <a:gdLst/>
            <a:ahLst/>
            <a:cxnLst/>
            <a:rect l="0" t="0" r="0" b="0"/>
            <a:pathLst>
              <a:path w="57150" h="57150">
                <a:moveTo>
                  <a:pt x="0" y="28575"/>
                </a:moveTo>
                <a:cubicBezTo>
                  <a:pt x="0" y="44356"/>
                  <a:pt x="12793" y="57150"/>
                  <a:pt x="28575" y="57150"/>
                </a:cubicBezTo>
                <a:cubicBezTo>
                  <a:pt x="44356" y="57150"/>
                  <a:pt x="57150" y="44356"/>
                  <a:pt x="57150" y="28575"/>
                </a:cubicBezTo>
                <a:cubicBezTo>
                  <a:pt x="57150" y="12793"/>
                  <a:pt x="44356" y="0"/>
                  <a:pt x="28575" y="0"/>
                </a:cubicBezTo>
                <a:cubicBezTo>
                  <a:pt x="12793" y="0"/>
                  <a:pt x="0" y="12793"/>
                  <a:pt x="0" y="28575"/>
                </a:cubicBezTo>
                <a:close/>
              </a:path>
            </a:pathLst>
          </a:custGeom>
          <a:solidFill>
            <a:srgbClr val="DE8431"/>
          </a:solidFill>
          <a:ln w="14287">
            <a:solidFill>
              <a:schemeClr val="accent4">
                <a:lumMod val="75000"/>
              </a:schemeClr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</xdr:grpSp>
    <xdr:clientData/>
  </xdr:twoCellAnchor>
  <xdr:twoCellAnchor>
    <xdr:from>
      <xdr:col>10</xdr:col>
      <xdr:colOff>419352</xdr:colOff>
      <xdr:row>8</xdr:row>
      <xdr:rowOff>57150</xdr:rowOff>
    </xdr:from>
    <xdr:to>
      <xdr:col>14</xdr:col>
      <xdr:colOff>705651</xdr:colOff>
      <xdr:row>9</xdr:row>
      <xdr:rowOff>139700</xdr:rowOff>
    </xdr:to>
    <xdr:sp macro="" textlink="">
      <xdr:nvSpPr>
        <xdr:cNvPr id="133" name="TextBox 15">
          <a:extLst>
            <a:ext uri="{FF2B5EF4-FFF2-40B4-BE49-F238E27FC236}">
              <a16:creationId xmlns:a16="http://schemas.microsoft.com/office/drawing/2014/main" id="{C15D006C-2629-6AB1-98D6-36FA8B1D96B5}"/>
            </a:ext>
          </a:extLst>
        </xdr:cNvPr>
        <xdr:cNvSpPr txBox="1"/>
      </xdr:nvSpPr>
      <xdr:spPr>
        <a:xfrm>
          <a:off x="7963152" y="2292350"/>
          <a:ext cx="3639099" cy="2857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>
          <a:pPr algn="ctr"/>
          <a:r>
            <a:rPr lang="en-GB" sz="1800" b="1">
              <a:solidFill>
                <a:srgbClr val="484848"/>
              </a:solidFill>
              <a:latin typeface="Roboto"/>
            </a:rPr>
            <a:t>Sales (M)</a:t>
          </a:r>
          <a:endParaRPr sz="1800" b="1">
            <a:solidFill>
              <a:srgbClr val="484848"/>
            </a:solidFill>
            <a:latin typeface="Roboto"/>
          </a:endParaRPr>
        </a:p>
      </xdr:txBody>
    </xdr:sp>
    <xdr:clientData/>
  </xdr:twoCellAnchor>
  <xdr:twoCellAnchor>
    <xdr:from>
      <xdr:col>12</xdr:col>
      <xdr:colOff>298291</xdr:colOff>
      <xdr:row>14</xdr:row>
      <xdr:rowOff>17537</xdr:rowOff>
    </xdr:from>
    <xdr:to>
      <xdr:col>13</xdr:col>
      <xdr:colOff>190500</xdr:colOff>
      <xdr:row>15</xdr:row>
      <xdr:rowOff>42059</xdr:rowOff>
    </xdr:to>
    <xdr:sp macro="" textlink="">
      <xdr:nvSpPr>
        <xdr:cNvPr id="134" name="TextBox 16">
          <a:extLst>
            <a:ext uri="{FF2B5EF4-FFF2-40B4-BE49-F238E27FC236}">
              <a16:creationId xmlns:a16="http://schemas.microsoft.com/office/drawing/2014/main" id="{3D31AD95-3331-1D14-FBAB-294DAD878137}"/>
            </a:ext>
          </a:extLst>
        </xdr:cNvPr>
        <xdr:cNvSpPr txBox="1"/>
      </xdr:nvSpPr>
      <xdr:spPr>
        <a:xfrm>
          <a:off x="9378791" y="2906787"/>
          <a:ext cx="717709" cy="230897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>
          <a:pPr algn="ctr"/>
          <a:r>
            <a:rPr sz="1500" b="0">
              <a:solidFill>
                <a:srgbClr val="FFFFFF"/>
              </a:solidFill>
              <a:latin typeface="Roboto"/>
            </a:rPr>
            <a:t>$3,000</a:t>
          </a:r>
        </a:p>
      </xdr:txBody>
    </xdr:sp>
    <xdr:clientData/>
  </xdr:twoCellAnchor>
  <xdr:twoCellAnchor>
    <xdr:from>
      <xdr:col>9</xdr:col>
      <xdr:colOff>760119</xdr:colOff>
      <xdr:row>15</xdr:row>
      <xdr:rowOff>106176</xdr:rowOff>
    </xdr:from>
    <xdr:to>
      <xdr:col>10</xdr:col>
      <xdr:colOff>378306</xdr:colOff>
      <xdr:row>17</xdr:row>
      <xdr:rowOff>159519</xdr:rowOff>
    </xdr:to>
    <xdr:sp macro="" textlink="">
      <xdr:nvSpPr>
        <xdr:cNvPr id="135" name="Rounded Rectangle 17">
          <a:extLst>
            <a:ext uri="{FF2B5EF4-FFF2-40B4-BE49-F238E27FC236}">
              <a16:creationId xmlns:a16="http://schemas.microsoft.com/office/drawing/2014/main" id="{46D223F0-468C-0C04-5326-842765E4D401}"/>
            </a:ext>
          </a:extLst>
        </xdr:cNvPr>
        <xdr:cNvSpPr/>
      </xdr:nvSpPr>
      <xdr:spPr>
        <a:xfrm>
          <a:off x="8303919" y="4576576"/>
          <a:ext cx="456387" cy="459743"/>
        </a:xfrm>
        <a:custGeom>
          <a:avLst/>
          <a:gdLst/>
          <a:ahLst/>
          <a:cxnLst/>
          <a:rect l="0" t="0" r="0" b="0"/>
          <a:pathLst>
            <a:path w="456387" h="459743">
              <a:moveTo>
                <a:pt x="240763" y="215624"/>
              </a:moveTo>
              <a:cubicBezTo>
                <a:pt x="211779" y="186623"/>
                <a:pt x="166342" y="182147"/>
                <a:pt x="132256" y="204933"/>
              </a:cubicBezTo>
              <a:cubicBezTo>
                <a:pt x="98170" y="227720"/>
                <a:pt x="84938" y="271418"/>
                <a:pt x="100657" y="309286"/>
              </a:cubicBezTo>
              <a:cubicBezTo>
                <a:pt x="116375" y="347154"/>
                <a:pt x="156664" y="368636"/>
                <a:pt x="196867" y="360586"/>
              </a:cubicBezTo>
              <a:cubicBezTo>
                <a:pt x="237069" y="352536"/>
                <a:pt x="265980" y="317198"/>
                <a:pt x="265906" y="276197"/>
              </a:cubicBezTo>
              <a:cubicBezTo>
                <a:pt x="265935" y="266395"/>
                <a:pt x="264259" y="256662"/>
                <a:pt x="260954" y="247434"/>
              </a:cubicBezTo>
              <a:moveTo>
                <a:pt x="320003" y="194481"/>
              </a:moveTo>
              <a:cubicBezTo>
                <a:pt x="363783" y="268044"/>
                <a:pt x="342896" y="362963"/>
                <a:pt x="272279" y="411353"/>
              </a:cubicBezTo>
              <a:cubicBezTo>
                <a:pt x="201663" y="459743"/>
                <a:pt x="105603" y="444961"/>
                <a:pt x="52801" y="377580"/>
              </a:cubicBezTo>
              <a:cubicBezTo>
                <a:pt x="0" y="310198"/>
                <a:pt x="8615" y="213391"/>
                <a:pt x="72486" y="156393"/>
              </a:cubicBezTo>
              <a:cubicBezTo>
                <a:pt x="136357" y="99395"/>
                <a:pt x="233517" y="101809"/>
                <a:pt x="294478" y="161908"/>
              </a:cubicBezTo>
              <a:moveTo>
                <a:pt x="18281" y="438106"/>
              </a:moveTo>
              <a:lnTo>
                <a:pt x="65711" y="390676"/>
              </a:lnTo>
              <a:moveTo>
                <a:pt x="294669" y="390676"/>
              </a:moveTo>
              <a:lnTo>
                <a:pt x="342099" y="438106"/>
              </a:lnTo>
              <a:moveTo>
                <a:pt x="321717" y="134670"/>
              </a:moveTo>
              <a:lnTo>
                <a:pt x="314860" y="60572"/>
              </a:lnTo>
              <a:lnTo>
                <a:pt x="375433" y="0"/>
              </a:lnTo>
              <a:lnTo>
                <a:pt x="395814" y="60572"/>
              </a:lnTo>
              <a:lnTo>
                <a:pt x="456387" y="80954"/>
              </a:lnTo>
              <a:lnTo>
                <a:pt x="395814" y="141527"/>
              </a:lnTo>
              <a:close/>
              <a:moveTo>
                <a:pt x="370671" y="85716"/>
              </a:moveTo>
              <a:lnTo>
                <a:pt x="180190" y="276197"/>
              </a:lnTo>
            </a:path>
          </a:pathLst>
        </a:custGeom>
        <a:noFill/>
        <a:ln w="14287">
          <a:solidFill>
            <a:srgbClr val="484848"/>
          </a:solidFill>
        </a:ln>
      </xdr:spPr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>
          <a:pPr algn="ctr"/>
          <a:endParaRPr/>
        </a:p>
      </xdr:txBody>
    </xdr:sp>
    <xdr:clientData/>
  </xdr:twoCellAnchor>
  <xdr:twoCellAnchor>
    <xdr:from>
      <xdr:col>8</xdr:col>
      <xdr:colOff>203771</xdr:colOff>
      <xdr:row>16</xdr:row>
      <xdr:rowOff>31939</xdr:rowOff>
    </xdr:from>
    <xdr:to>
      <xdr:col>9</xdr:col>
      <xdr:colOff>638644</xdr:colOff>
      <xdr:row>18</xdr:row>
      <xdr:rowOff>87332</xdr:rowOff>
    </xdr:to>
    <xdr:sp macro="" textlink="">
      <xdr:nvSpPr>
        <xdr:cNvPr id="136" name="TextBox 18">
          <a:extLst>
            <a:ext uri="{FF2B5EF4-FFF2-40B4-BE49-F238E27FC236}">
              <a16:creationId xmlns:a16="http://schemas.microsoft.com/office/drawing/2014/main" id="{3CE35E3C-AA12-ABAC-41CD-C845BAE87DA1}"/>
            </a:ext>
          </a:extLst>
        </xdr:cNvPr>
        <xdr:cNvSpPr txBox="1"/>
      </xdr:nvSpPr>
      <xdr:spPr>
        <a:xfrm>
          <a:off x="6909371" y="3892739"/>
          <a:ext cx="1273073" cy="461793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>
          <a:pPr algn="r"/>
          <a:r>
            <a:rPr sz="1500" b="1">
              <a:solidFill>
                <a:schemeClr val="accent4">
                  <a:lumMod val="50000"/>
                </a:schemeClr>
              </a:solidFill>
              <a:latin typeface="Roboto"/>
            </a:rPr>
            <a:t>Target Amount</a:t>
          </a:r>
        </a:p>
      </xdr:txBody>
    </xdr:sp>
    <xdr:clientData/>
  </xdr:twoCellAnchor>
  <xdr:twoCellAnchor>
    <xdr:from>
      <xdr:col>8</xdr:col>
      <xdr:colOff>296259</xdr:colOff>
      <xdr:row>18</xdr:row>
      <xdr:rowOff>170052</xdr:rowOff>
    </xdr:from>
    <xdr:to>
      <xdr:col>9</xdr:col>
      <xdr:colOff>689511</xdr:colOff>
      <xdr:row>19</xdr:row>
      <xdr:rowOff>135127</xdr:rowOff>
    </xdr:to>
    <xdr:sp macro="" textlink="">
      <xdr:nvSpPr>
        <xdr:cNvPr id="137" name="TextBox 19">
          <a:extLst>
            <a:ext uri="{FF2B5EF4-FFF2-40B4-BE49-F238E27FC236}">
              <a16:creationId xmlns:a16="http://schemas.microsoft.com/office/drawing/2014/main" id="{BE8676A6-67A6-96AA-11CA-1BD1235C89DD}"/>
            </a:ext>
          </a:extLst>
        </xdr:cNvPr>
        <xdr:cNvSpPr txBox="1"/>
      </xdr:nvSpPr>
      <xdr:spPr>
        <a:xfrm>
          <a:off x="7001859" y="4437252"/>
          <a:ext cx="1231452" cy="1682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>
          <a:pPr algn="r"/>
          <a:r>
            <a:rPr sz="1100" b="0">
              <a:solidFill>
                <a:srgbClr val="484848"/>
              </a:solidFill>
              <a:latin typeface="Roboto"/>
            </a:rPr>
            <a:t>Initial financial goal</a:t>
          </a:r>
        </a:p>
      </xdr:txBody>
    </xdr:sp>
    <xdr:clientData/>
  </xdr:twoCellAnchor>
  <xdr:twoCellAnchor>
    <xdr:from>
      <xdr:col>10</xdr:col>
      <xdr:colOff>18869</xdr:colOff>
      <xdr:row>21</xdr:row>
      <xdr:rowOff>29938</xdr:rowOff>
    </xdr:from>
    <xdr:to>
      <xdr:col>10</xdr:col>
      <xdr:colOff>299637</xdr:colOff>
      <xdr:row>23</xdr:row>
      <xdr:rowOff>62958</xdr:rowOff>
    </xdr:to>
    <xdr:sp macro="" textlink="">
      <xdr:nvSpPr>
        <xdr:cNvPr id="138" name="Rounded Rectangle 20">
          <a:extLst>
            <a:ext uri="{FF2B5EF4-FFF2-40B4-BE49-F238E27FC236}">
              <a16:creationId xmlns:a16="http://schemas.microsoft.com/office/drawing/2014/main" id="{B3C6E963-A2E6-90E5-2E24-5432E65E03FF}"/>
            </a:ext>
          </a:extLst>
        </xdr:cNvPr>
        <xdr:cNvSpPr/>
      </xdr:nvSpPr>
      <xdr:spPr>
        <a:xfrm>
          <a:off x="8400869" y="5719538"/>
          <a:ext cx="280768" cy="439420"/>
        </a:xfrm>
        <a:custGeom>
          <a:avLst/>
          <a:gdLst/>
          <a:ahLst/>
          <a:cxnLst/>
          <a:rect l="0" t="0" r="0" b="0"/>
          <a:pathLst>
            <a:path w="280768" h="439420">
              <a:moveTo>
                <a:pt x="193147" y="76192"/>
              </a:moveTo>
              <a:lnTo>
                <a:pt x="229529" y="14286"/>
              </a:lnTo>
              <a:cubicBezTo>
                <a:pt x="231155" y="11319"/>
                <a:pt x="231155" y="7728"/>
                <a:pt x="229529" y="4762"/>
              </a:cubicBezTo>
              <a:cubicBezTo>
                <a:pt x="227784" y="1887"/>
                <a:pt x="224700" y="93"/>
                <a:pt x="221338" y="0"/>
              </a:cubicBezTo>
              <a:lnTo>
                <a:pt x="102288" y="0"/>
              </a:lnTo>
              <a:cubicBezTo>
                <a:pt x="98858" y="29"/>
                <a:pt x="95687" y="1830"/>
                <a:pt x="93907" y="4762"/>
              </a:cubicBezTo>
              <a:cubicBezTo>
                <a:pt x="92089" y="7745"/>
                <a:pt x="92089" y="11493"/>
                <a:pt x="93907" y="14476"/>
              </a:cubicBezTo>
              <a:lnTo>
                <a:pt x="130860" y="76192"/>
              </a:lnTo>
              <a:moveTo>
                <a:pt x="201719" y="190480"/>
              </a:moveTo>
              <a:cubicBezTo>
                <a:pt x="217910" y="203624"/>
                <a:pt x="280768" y="246291"/>
                <a:pt x="280768" y="323817"/>
              </a:cubicBezTo>
              <a:cubicBezTo>
                <a:pt x="280768" y="386485"/>
                <a:pt x="221148" y="438106"/>
                <a:pt x="155813" y="438106"/>
              </a:cubicBezTo>
              <a:cubicBezTo>
                <a:pt x="90790" y="439420"/>
                <a:pt x="36516" y="388776"/>
                <a:pt x="33334" y="323817"/>
              </a:cubicBezTo>
              <a:cubicBezTo>
                <a:pt x="33334" y="243053"/>
                <a:pt x="97526" y="200766"/>
                <a:pt x="112574" y="190480"/>
              </a:cubicBezTo>
              <a:moveTo>
                <a:pt x="0" y="57144"/>
              </a:moveTo>
              <a:lnTo>
                <a:pt x="38096" y="57144"/>
              </a:lnTo>
              <a:cubicBezTo>
                <a:pt x="40670" y="56973"/>
                <a:pt x="43193" y="57922"/>
                <a:pt x="45017" y="59746"/>
              </a:cubicBezTo>
              <a:cubicBezTo>
                <a:pt x="46841" y="61571"/>
                <a:pt x="47790" y="64093"/>
                <a:pt x="47620" y="66668"/>
              </a:cubicBezTo>
              <a:lnTo>
                <a:pt x="47620" y="180956"/>
              </a:lnTo>
              <a:cubicBezTo>
                <a:pt x="47790" y="183531"/>
                <a:pt x="46841" y="186054"/>
                <a:pt x="45017" y="187878"/>
              </a:cubicBezTo>
              <a:cubicBezTo>
                <a:pt x="43193" y="189702"/>
                <a:pt x="40670" y="190651"/>
                <a:pt x="38096" y="190480"/>
              </a:cubicBezTo>
              <a:lnTo>
                <a:pt x="0" y="190480"/>
              </a:lnTo>
              <a:moveTo>
                <a:pt x="107240" y="36381"/>
              </a:moveTo>
              <a:lnTo>
                <a:pt x="85716" y="66668"/>
              </a:lnTo>
              <a:cubicBezTo>
                <a:pt x="81041" y="72446"/>
                <a:pt x="74095" y="75919"/>
                <a:pt x="66668" y="76192"/>
              </a:cubicBezTo>
              <a:lnTo>
                <a:pt x="47620" y="76192"/>
              </a:lnTo>
              <a:moveTo>
                <a:pt x="47620" y="161908"/>
              </a:moveTo>
              <a:cubicBezTo>
                <a:pt x="85716" y="180956"/>
                <a:pt x="101335" y="190480"/>
                <a:pt x="123812" y="190480"/>
              </a:cubicBezTo>
              <a:lnTo>
                <a:pt x="200005" y="190480"/>
              </a:lnTo>
              <a:cubicBezTo>
                <a:pt x="219053" y="190480"/>
                <a:pt x="222481" y="189528"/>
                <a:pt x="228577" y="171432"/>
              </a:cubicBezTo>
              <a:cubicBezTo>
                <a:pt x="238101" y="142860"/>
                <a:pt x="247625" y="95240"/>
                <a:pt x="247625" y="95240"/>
              </a:cubicBezTo>
              <a:cubicBezTo>
                <a:pt x="247625" y="85716"/>
                <a:pt x="238101" y="76192"/>
                <a:pt x="219053" y="76192"/>
              </a:cubicBezTo>
              <a:lnTo>
                <a:pt x="130860" y="76192"/>
              </a:lnTo>
              <a:moveTo>
                <a:pt x="156956" y="342865"/>
              </a:moveTo>
              <a:lnTo>
                <a:pt x="156956" y="361913"/>
              </a:lnTo>
              <a:moveTo>
                <a:pt x="156956" y="247625"/>
              </a:moveTo>
              <a:lnTo>
                <a:pt x="156956" y="266673"/>
              </a:lnTo>
              <a:moveTo>
                <a:pt x="118860" y="342865"/>
              </a:moveTo>
              <a:lnTo>
                <a:pt x="176004" y="342865"/>
              </a:lnTo>
              <a:cubicBezTo>
                <a:pt x="186524" y="342865"/>
                <a:pt x="195052" y="334337"/>
                <a:pt x="195052" y="323817"/>
              </a:cubicBezTo>
              <a:cubicBezTo>
                <a:pt x="195052" y="313297"/>
                <a:pt x="186524" y="304769"/>
                <a:pt x="176004" y="304769"/>
              </a:cubicBezTo>
              <a:lnTo>
                <a:pt x="137908" y="304769"/>
              </a:lnTo>
              <a:cubicBezTo>
                <a:pt x="127388" y="304769"/>
                <a:pt x="118860" y="296241"/>
                <a:pt x="118860" y="285721"/>
              </a:cubicBezTo>
              <a:cubicBezTo>
                <a:pt x="118860" y="275201"/>
                <a:pt x="127388" y="266673"/>
                <a:pt x="137908" y="266673"/>
              </a:cubicBezTo>
              <a:lnTo>
                <a:pt x="195052" y="266673"/>
              </a:lnTo>
            </a:path>
          </a:pathLst>
        </a:custGeom>
        <a:noFill/>
        <a:ln w="14287">
          <a:solidFill>
            <a:srgbClr val="484848"/>
          </a:solidFill>
        </a:ln>
      </xdr:spPr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>
          <a:pPr algn="ctr"/>
          <a:endParaRPr/>
        </a:p>
      </xdr:txBody>
    </xdr:sp>
    <xdr:clientData/>
  </xdr:twoCellAnchor>
  <xdr:twoCellAnchor>
    <xdr:from>
      <xdr:col>12</xdr:col>
      <xdr:colOff>298291</xdr:colOff>
      <xdr:row>20</xdr:row>
      <xdr:rowOff>144500</xdr:rowOff>
    </xdr:from>
    <xdr:to>
      <xdr:col>13</xdr:col>
      <xdr:colOff>241300</xdr:colOff>
      <xdr:row>21</xdr:row>
      <xdr:rowOff>169022</xdr:rowOff>
    </xdr:to>
    <xdr:sp macro="" textlink="">
      <xdr:nvSpPr>
        <xdr:cNvPr id="139" name="TextBox 21">
          <a:extLst>
            <a:ext uri="{FF2B5EF4-FFF2-40B4-BE49-F238E27FC236}">
              <a16:creationId xmlns:a16="http://schemas.microsoft.com/office/drawing/2014/main" id="{2547AB92-6EC3-8355-6082-E09BABAECB41}"/>
            </a:ext>
          </a:extLst>
        </xdr:cNvPr>
        <xdr:cNvSpPr txBox="1"/>
      </xdr:nvSpPr>
      <xdr:spPr>
        <a:xfrm>
          <a:off x="9378791" y="4272000"/>
          <a:ext cx="768509" cy="230897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>
          <a:pPr algn="ctr"/>
          <a:r>
            <a:rPr sz="1500" b="0">
              <a:solidFill>
                <a:srgbClr val="FFFFFF"/>
              </a:solidFill>
              <a:latin typeface="Roboto"/>
            </a:rPr>
            <a:t>$2,544</a:t>
          </a:r>
        </a:p>
      </xdr:txBody>
    </xdr:sp>
    <xdr:clientData/>
  </xdr:twoCellAnchor>
  <xdr:twoCellAnchor>
    <xdr:from>
      <xdr:col>8</xdr:col>
      <xdr:colOff>203200</xdr:colOff>
      <xdr:row>21</xdr:row>
      <xdr:rowOff>155765</xdr:rowOff>
    </xdr:from>
    <xdr:to>
      <xdr:col>9</xdr:col>
      <xdr:colOff>638673</xdr:colOff>
      <xdr:row>22</xdr:row>
      <xdr:rowOff>152401</xdr:rowOff>
    </xdr:to>
    <xdr:sp macro="" textlink="">
      <xdr:nvSpPr>
        <xdr:cNvPr id="140" name="TextBox 22">
          <a:extLst>
            <a:ext uri="{FF2B5EF4-FFF2-40B4-BE49-F238E27FC236}">
              <a16:creationId xmlns:a16="http://schemas.microsoft.com/office/drawing/2014/main" id="{401E10A3-9A46-2434-51BE-C527C4936032}"/>
            </a:ext>
          </a:extLst>
        </xdr:cNvPr>
        <xdr:cNvSpPr txBox="1"/>
      </xdr:nvSpPr>
      <xdr:spPr>
        <a:xfrm>
          <a:off x="6908800" y="5032565"/>
          <a:ext cx="1273673" cy="199836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>
          <a:pPr algn="r"/>
          <a:r>
            <a:rPr sz="1500" b="1">
              <a:solidFill>
                <a:schemeClr val="accent4">
                  <a:lumMod val="75000"/>
                </a:schemeClr>
              </a:solidFill>
              <a:latin typeface="Roboto"/>
            </a:rPr>
            <a:t>Actual Amount</a:t>
          </a:r>
        </a:p>
      </xdr:txBody>
    </xdr:sp>
    <xdr:clientData/>
  </xdr:twoCellAnchor>
  <xdr:twoCellAnchor>
    <xdr:from>
      <xdr:col>8</xdr:col>
      <xdr:colOff>101600</xdr:colOff>
      <xdr:row>24</xdr:row>
      <xdr:rowOff>14477</xdr:rowOff>
    </xdr:from>
    <xdr:to>
      <xdr:col>9</xdr:col>
      <xdr:colOff>740273</xdr:colOff>
      <xdr:row>24</xdr:row>
      <xdr:rowOff>182752</xdr:rowOff>
    </xdr:to>
    <xdr:sp macro="" textlink="">
      <xdr:nvSpPr>
        <xdr:cNvPr id="141" name="TextBox 23">
          <a:extLst>
            <a:ext uri="{FF2B5EF4-FFF2-40B4-BE49-F238E27FC236}">
              <a16:creationId xmlns:a16="http://schemas.microsoft.com/office/drawing/2014/main" id="{6FC94FF9-AEC9-9CA0-BCF7-325A21D07613}"/>
            </a:ext>
          </a:extLst>
        </xdr:cNvPr>
        <xdr:cNvSpPr txBox="1"/>
      </xdr:nvSpPr>
      <xdr:spPr>
        <a:xfrm>
          <a:off x="5969000" y="5500877"/>
          <a:ext cx="1476873" cy="1682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4572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>
          <a:pPr algn="r"/>
          <a:r>
            <a:rPr sz="1100" b="0">
              <a:solidFill>
                <a:srgbClr val="484848"/>
              </a:solidFill>
              <a:latin typeface="Roboto"/>
            </a:rPr>
            <a:t>Current financial status</a:t>
          </a:r>
        </a:p>
      </xdr:txBody>
    </xdr:sp>
    <xdr:clientData/>
  </xdr:twoCellAnchor>
  <xdr:twoCellAnchor>
    <xdr:from>
      <xdr:col>15</xdr:col>
      <xdr:colOff>168274</xdr:colOff>
      <xdr:row>8</xdr:row>
      <xdr:rowOff>117475</xdr:rowOff>
    </xdr:from>
    <xdr:to>
      <xdr:col>22</xdr:col>
      <xdr:colOff>377803</xdr:colOff>
      <xdr:row>26</xdr:row>
      <xdr:rowOff>171447</xdr:rowOff>
    </xdr:to>
    <xdr:grpSp>
      <xdr:nvGrpSpPr>
        <xdr:cNvPr id="217" name="Group 216">
          <a:extLst>
            <a:ext uri="{FF2B5EF4-FFF2-40B4-BE49-F238E27FC236}">
              <a16:creationId xmlns:a16="http://schemas.microsoft.com/office/drawing/2014/main" id="{C173A413-E98F-B03B-9217-B9B6E0ED8B76}"/>
            </a:ext>
          </a:extLst>
        </xdr:cNvPr>
        <xdr:cNvGrpSpPr/>
      </xdr:nvGrpSpPr>
      <xdr:grpSpPr>
        <a:xfrm>
          <a:off x="12669837" y="1641475"/>
          <a:ext cx="6043591" cy="3482972"/>
          <a:chOff x="541388" y="929486"/>
          <a:chExt cx="7544619" cy="4802183"/>
        </a:xfrm>
      </xdr:grpSpPr>
      <xdr:sp macro="" textlink="">
        <xdr:nvSpPr>
          <xdr:cNvPr id="218" name="Rounded Rectangle 1">
            <a:extLst>
              <a:ext uri="{FF2B5EF4-FFF2-40B4-BE49-F238E27FC236}">
                <a16:creationId xmlns:a16="http://schemas.microsoft.com/office/drawing/2014/main" id="{DB34E93B-E172-6DD0-B605-D272824A6897}"/>
              </a:ext>
            </a:extLst>
          </xdr:cNvPr>
          <xdr:cNvSpPr/>
        </xdr:nvSpPr>
        <xdr:spPr>
          <a:xfrm>
            <a:off x="3015438" y="2417006"/>
            <a:ext cx="393632" cy="685800"/>
          </a:xfrm>
          <a:custGeom>
            <a:avLst/>
            <a:gdLst/>
            <a:ahLst/>
            <a:cxnLst/>
            <a:rect l="0" t="0" r="0" b="0"/>
            <a:pathLst>
              <a:path w="393632" h="685800">
                <a:moveTo>
                  <a:pt x="0" y="685800"/>
                </a:moveTo>
                <a:lnTo>
                  <a:pt x="167199" y="685800"/>
                </a:lnTo>
                <a:cubicBezTo>
                  <a:pt x="187526" y="685800"/>
                  <a:pt x="206322" y="675003"/>
                  <a:pt x="216565" y="657445"/>
                </a:cubicBezTo>
                <a:lnTo>
                  <a:pt x="383252" y="371695"/>
                </a:lnTo>
                <a:cubicBezTo>
                  <a:pt x="393632" y="353901"/>
                  <a:pt x="393632" y="331897"/>
                  <a:pt x="383252" y="314104"/>
                </a:cubicBezTo>
                <a:lnTo>
                  <a:pt x="216565" y="28354"/>
                </a:lnTo>
                <a:cubicBezTo>
                  <a:pt x="206322" y="10796"/>
                  <a:pt x="187526" y="0"/>
                  <a:pt x="167199" y="0"/>
                </a:cubicBezTo>
                <a:lnTo>
                  <a:pt x="0" y="0"/>
                </a:lnTo>
              </a:path>
            </a:pathLst>
          </a:custGeom>
          <a:noFill/>
          <a:ln w="14287">
            <a:solidFill>
              <a:srgbClr val="E0CB15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219" name="Rounded Rectangle 2">
            <a:extLst>
              <a:ext uri="{FF2B5EF4-FFF2-40B4-BE49-F238E27FC236}">
                <a16:creationId xmlns:a16="http://schemas.microsoft.com/office/drawing/2014/main" id="{1DCAF469-807D-D25F-F2B1-589F33D394AD}"/>
              </a:ext>
            </a:extLst>
          </xdr:cNvPr>
          <xdr:cNvSpPr/>
        </xdr:nvSpPr>
        <xdr:spPr>
          <a:xfrm>
            <a:off x="3795766" y="2074069"/>
            <a:ext cx="4160053" cy="3657600"/>
          </a:xfrm>
          <a:custGeom>
            <a:avLst/>
            <a:gdLst/>
            <a:ahLst/>
            <a:cxnLst/>
            <a:rect l="0" t="0" r="0" b="0"/>
            <a:pathLst>
              <a:path w="4160053" h="3657600">
                <a:moveTo>
                  <a:pt x="40624" y="1714776"/>
                </a:moveTo>
                <a:cubicBezTo>
                  <a:pt x="0" y="1785366"/>
                  <a:pt x="0" y="1872234"/>
                  <a:pt x="40624" y="1942823"/>
                </a:cubicBezTo>
                <a:lnTo>
                  <a:pt x="961567" y="3543023"/>
                </a:lnTo>
                <a:cubicBezTo>
                  <a:pt x="1002363" y="3613908"/>
                  <a:pt x="1077915" y="3657600"/>
                  <a:pt x="1159706" y="3657600"/>
                </a:cubicBezTo>
                <a:lnTo>
                  <a:pt x="3000346" y="3657600"/>
                </a:lnTo>
                <a:cubicBezTo>
                  <a:pt x="3082128" y="3657600"/>
                  <a:pt x="3157680" y="3613908"/>
                  <a:pt x="3198475" y="3543023"/>
                </a:cubicBezTo>
                <a:lnTo>
                  <a:pt x="4119419" y="1942823"/>
                </a:lnTo>
                <a:cubicBezTo>
                  <a:pt x="4160053" y="1872234"/>
                  <a:pt x="4160053" y="1785366"/>
                  <a:pt x="4119419" y="1714776"/>
                </a:cubicBezTo>
                <a:lnTo>
                  <a:pt x="3198475" y="114576"/>
                </a:lnTo>
                <a:cubicBezTo>
                  <a:pt x="3157680" y="43691"/>
                  <a:pt x="3082128" y="0"/>
                  <a:pt x="3000346" y="0"/>
                </a:cubicBezTo>
                <a:lnTo>
                  <a:pt x="1159706" y="0"/>
                </a:lnTo>
                <a:cubicBezTo>
                  <a:pt x="1077915" y="0"/>
                  <a:pt x="1002363" y="43691"/>
                  <a:pt x="961567" y="114576"/>
                </a:cubicBezTo>
                <a:lnTo>
                  <a:pt x="40624" y="1714776"/>
                </a:lnTo>
                <a:moveTo>
                  <a:pt x="573500" y="2058057"/>
                </a:moveTo>
                <a:lnTo>
                  <a:pt x="1228343" y="915057"/>
                </a:lnTo>
                <a:cubicBezTo>
                  <a:pt x="1269082" y="843962"/>
                  <a:pt x="1344758" y="800100"/>
                  <a:pt x="1426702" y="800100"/>
                </a:cubicBezTo>
                <a:lnTo>
                  <a:pt x="2733341" y="800100"/>
                </a:lnTo>
                <a:cubicBezTo>
                  <a:pt x="2815285" y="800100"/>
                  <a:pt x="2890961" y="843962"/>
                  <a:pt x="2931699" y="915057"/>
                </a:cubicBezTo>
                <a:lnTo>
                  <a:pt x="3586543" y="2058057"/>
                </a:lnTo>
                <a:cubicBezTo>
                  <a:pt x="3626872" y="2128456"/>
                  <a:pt x="3626872" y="2214943"/>
                  <a:pt x="3586543" y="2285342"/>
                </a:cubicBezTo>
                <a:lnTo>
                  <a:pt x="2931699" y="3428342"/>
                </a:lnTo>
                <a:cubicBezTo>
                  <a:pt x="2890961" y="3499437"/>
                  <a:pt x="2815285" y="3543300"/>
                  <a:pt x="2733341" y="3543300"/>
                </a:cubicBezTo>
                <a:lnTo>
                  <a:pt x="1426702" y="3543300"/>
                </a:lnTo>
                <a:cubicBezTo>
                  <a:pt x="1344758" y="3543300"/>
                  <a:pt x="1269082" y="3499437"/>
                  <a:pt x="1228343" y="3428342"/>
                </a:cubicBezTo>
                <a:lnTo>
                  <a:pt x="573500" y="2285342"/>
                </a:lnTo>
                <a:cubicBezTo>
                  <a:pt x="533171" y="2214943"/>
                  <a:pt x="533171" y="2128456"/>
                  <a:pt x="573500" y="2058057"/>
                </a:cubicBezTo>
              </a:path>
            </a:pathLst>
          </a:custGeom>
          <a:solidFill>
            <a:srgbClr val="E0CB15"/>
          </a:solidFill>
          <a:ln>
            <a:noFill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220" name="Rounded Rectangle 3">
            <a:extLst>
              <a:ext uri="{FF2B5EF4-FFF2-40B4-BE49-F238E27FC236}">
                <a16:creationId xmlns:a16="http://schemas.microsoft.com/office/drawing/2014/main" id="{3AE8FEE9-502E-4D64-BF72-DDA65A5AEEE2}"/>
              </a:ext>
            </a:extLst>
          </xdr:cNvPr>
          <xdr:cNvSpPr/>
        </xdr:nvSpPr>
        <xdr:spPr>
          <a:xfrm>
            <a:off x="3795763" y="2074069"/>
            <a:ext cx="4160051" cy="3657600"/>
          </a:xfrm>
          <a:custGeom>
            <a:avLst/>
            <a:gdLst/>
            <a:ahLst/>
            <a:cxnLst/>
            <a:rect l="0" t="0" r="0" b="0"/>
            <a:pathLst>
              <a:path w="4160051" h="3657600">
                <a:moveTo>
                  <a:pt x="40626" y="1714772"/>
                </a:moveTo>
                <a:cubicBezTo>
                  <a:pt x="0" y="1785363"/>
                  <a:pt x="0" y="1872237"/>
                  <a:pt x="40626" y="1942828"/>
                </a:cubicBezTo>
                <a:lnTo>
                  <a:pt x="961574" y="3543027"/>
                </a:lnTo>
                <a:cubicBezTo>
                  <a:pt x="1002369" y="3613909"/>
                  <a:pt x="1077922" y="3657600"/>
                  <a:pt x="1159704" y="3657600"/>
                </a:cubicBezTo>
                <a:lnTo>
                  <a:pt x="3000346" y="3657600"/>
                </a:lnTo>
                <a:cubicBezTo>
                  <a:pt x="3082129" y="3657600"/>
                  <a:pt x="3157682" y="3613909"/>
                  <a:pt x="3198476" y="3543027"/>
                </a:cubicBezTo>
                <a:lnTo>
                  <a:pt x="4119425" y="1942828"/>
                </a:lnTo>
                <a:cubicBezTo>
                  <a:pt x="4160051" y="1872236"/>
                  <a:pt x="4160051" y="1785362"/>
                  <a:pt x="4119425" y="1714771"/>
                </a:cubicBezTo>
                <a:lnTo>
                  <a:pt x="3198476" y="114572"/>
                </a:lnTo>
                <a:cubicBezTo>
                  <a:pt x="3157682" y="43689"/>
                  <a:pt x="3082129" y="0"/>
                  <a:pt x="3000346" y="0"/>
                </a:cubicBezTo>
                <a:lnTo>
                  <a:pt x="1159704" y="0"/>
                </a:lnTo>
                <a:cubicBezTo>
                  <a:pt x="1077921" y="0"/>
                  <a:pt x="1002369" y="43690"/>
                  <a:pt x="961574" y="114572"/>
                </a:cubicBezTo>
                <a:close/>
                <a:moveTo>
                  <a:pt x="573506" y="2058060"/>
                </a:moveTo>
                <a:lnTo>
                  <a:pt x="1228350" y="915060"/>
                </a:lnTo>
                <a:cubicBezTo>
                  <a:pt x="1269085" y="843959"/>
                  <a:pt x="1344760" y="800100"/>
                  <a:pt x="1426704" y="800100"/>
                </a:cubicBezTo>
                <a:lnTo>
                  <a:pt x="2733348" y="800100"/>
                </a:lnTo>
                <a:cubicBezTo>
                  <a:pt x="2815290" y="800100"/>
                  <a:pt x="2890966" y="843959"/>
                  <a:pt x="2931700" y="915060"/>
                </a:cubicBezTo>
                <a:lnTo>
                  <a:pt x="3586544" y="2058060"/>
                </a:lnTo>
                <a:cubicBezTo>
                  <a:pt x="3626874" y="2128452"/>
                  <a:pt x="3626874" y="2214947"/>
                  <a:pt x="3586544" y="2285339"/>
                </a:cubicBezTo>
                <a:lnTo>
                  <a:pt x="2931700" y="3428339"/>
                </a:lnTo>
                <a:cubicBezTo>
                  <a:pt x="2890966" y="3499441"/>
                  <a:pt x="2815290" y="3543300"/>
                  <a:pt x="2733348" y="3543300"/>
                </a:cubicBezTo>
                <a:lnTo>
                  <a:pt x="1426704" y="3543300"/>
                </a:lnTo>
                <a:cubicBezTo>
                  <a:pt x="1344760" y="3543300"/>
                  <a:pt x="1269085" y="3499441"/>
                  <a:pt x="1228350" y="3428339"/>
                </a:cubicBezTo>
                <a:lnTo>
                  <a:pt x="573506" y="2285339"/>
                </a:lnTo>
                <a:cubicBezTo>
                  <a:pt x="533178" y="2214947"/>
                  <a:pt x="533178" y="2128452"/>
                  <a:pt x="573506" y="2058060"/>
                </a:cubicBezTo>
                <a:close/>
              </a:path>
            </a:pathLst>
          </a:custGeom>
          <a:noFill/>
          <a:ln w="14287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grpSp>
        <xdr:nvGrpSpPr>
          <xdr:cNvPr id="221" name="Group 220">
            <a:extLst>
              <a:ext uri="{FF2B5EF4-FFF2-40B4-BE49-F238E27FC236}">
                <a16:creationId xmlns:a16="http://schemas.microsoft.com/office/drawing/2014/main" id="{8E3C67BB-87B3-BB5B-78F2-BBF86071840F}"/>
              </a:ext>
            </a:extLst>
          </xdr:cNvPr>
          <xdr:cNvGrpSpPr/>
        </xdr:nvGrpSpPr>
        <xdr:grpSpPr>
          <a:xfrm>
            <a:off x="3386913" y="2731294"/>
            <a:ext cx="1066800" cy="57150"/>
            <a:chOff x="2446418" y="2085975"/>
            <a:chExt cx="1066800" cy="57150"/>
          </a:xfrm>
        </xdr:grpSpPr>
        <xdr:sp macro="" textlink="">
          <xdr:nvSpPr>
            <xdr:cNvPr id="249" name="Rounded Rectangle 4">
              <a:extLst>
                <a:ext uri="{FF2B5EF4-FFF2-40B4-BE49-F238E27FC236}">
                  <a16:creationId xmlns:a16="http://schemas.microsoft.com/office/drawing/2014/main" id="{9B64C47F-81C3-0E20-7452-A6DC26C92496}"/>
                </a:ext>
              </a:extLst>
            </xdr:cNvPr>
            <xdr:cNvSpPr/>
          </xdr:nvSpPr>
          <xdr:spPr>
            <a:xfrm>
              <a:off x="2474993" y="2114550"/>
              <a:ext cx="1009650" cy="9525"/>
            </a:xfrm>
            <a:custGeom>
              <a:avLst/>
              <a:gdLst/>
              <a:ahLst/>
              <a:cxnLst/>
              <a:rect l="0" t="0" r="0" b="0"/>
              <a:pathLst>
                <a:path w="1009650" h="9525">
                  <a:moveTo>
                    <a:pt x="0" y="0"/>
                  </a:moveTo>
                  <a:lnTo>
                    <a:pt x="1009650" y="0"/>
                  </a:lnTo>
                </a:path>
              </a:pathLst>
            </a:custGeom>
            <a:noFill/>
            <a:ln w="14287">
              <a:solidFill>
                <a:srgbClr val="E0CB15"/>
              </a:solidFill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9pPr>
            </a:lstStyle>
            <a:p>
              <a:pPr algn="ctr"/>
              <a:endParaRPr/>
            </a:p>
          </xdr:txBody>
        </xdr:sp>
        <xdr:sp macro="" textlink="">
          <xdr:nvSpPr>
            <xdr:cNvPr id="250" name="Rounded Rectangle 5">
              <a:extLst>
                <a:ext uri="{FF2B5EF4-FFF2-40B4-BE49-F238E27FC236}">
                  <a16:creationId xmlns:a16="http://schemas.microsoft.com/office/drawing/2014/main" id="{AB30349B-C875-0A9A-5DD8-04FA9C6EED33}"/>
                </a:ext>
              </a:extLst>
            </xdr:cNvPr>
            <xdr:cNvSpPr/>
          </xdr:nvSpPr>
          <xdr:spPr>
            <a:xfrm>
              <a:off x="2446418" y="2085975"/>
              <a:ext cx="57150" cy="57150"/>
            </a:xfrm>
            <a:custGeom>
              <a:avLst/>
              <a:gdLst/>
              <a:ahLst/>
              <a:cxnLst/>
              <a:rect l="0" t="0" r="0" b="0"/>
              <a:pathLst>
                <a:path w="57150" h="57150">
                  <a:moveTo>
                    <a:pt x="0" y="28575"/>
                  </a:moveTo>
                  <a:cubicBezTo>
                    <a:pt x="0" y="44356"/>
                    <a:pt x="12793" y="57150"/>
                    <a:pt x="28575" y="57150"/>
                  </a:cubicBezTo>
                  <a:cubicBezTo>
                    <a:pt x="44356" y="57150"/>
                    <a:pt x="57150" y="44356"/>
                    <a:pt x="57150" y="28575"/>
                  </a:cubicBezTo>
                  <a:cubicBezTo>
                    <a:pt x="57150" y="12793"/>
                    <a:pt x="44356" y="0"/>
                    <a:pt x="28575" y="0"/>
                  </a:cubicBezTo>
                  <a:cubicBezTo>
                    <a:pt x="12793" y="0"/>
                    <a:pt x="0" y="12793"/>
                    <a:pt x="0" y="28575"/>
                  </a:cubicBezTo>
                  <a:close/>
                </a:path>
              </a:pathLst>
            </a:custGeom>
            <a:solidFill>
              <a:srgbClr val="E0CB15"/>
            </a:solidFill>
            <a:ln w="14287">
              <a:solidFill>
                <a:srgbClr val="E0CB15"/>
              </a:solidFill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9pPr>
            </a:lstStyle>
            <a:p>
              <a:pPr algn="ctr"/>
              <a:endParaRPr/>
            </a:p>
          </xdr:txBody>
        </xdr:sp>
        <xdr:sp macro="" textlink="">
          <xdr:nvSpPr>
            <xdr:cNvPr id="251" name="Rounded Rectangle 6">
              <a:extLst>
                <a:ext uri="{FF2B5EF4-FFF2-40B4-BE49-F238E27FC236}">
                  <a16:creationId xmlns:a16="http://schemas.microsoft.com/office/drawing/2014/main" id="{02DEA0C1-2383-1A99-E9D3-5B614B0C64D3}"/>
                </a:ext>
              </a:extLst>
            </xdr:cNvPr>
            <xdr:cNvSpPr/>
          </xdr:nvSpPr>
          <xdr:spPr>
            <a:xfrm>
              <a:off x="3456068" y="2085975"/>
              <a:ext cx="57150" cy="57150"/>
            </a:xfrm>
            <a:custGeom>
              <a:avLst/>
              <a:gdLst/>
              <a:ahLst/>
              <a:cxnLst/>
              <a:rect l="0" t="0" r="0" b="0"/>
              <a:pathLst>
                <a:path w="57150" h="57150">
                  <a:moveTo>
                    <a:pt x="0" y="28575"/>
                  </a:moveTo>
                  <a:cubicBezTo>
                    <a:pt x="0" y="44356"/>
                    <a:pt x="12793" y="57150"/>
                    <a:pt x="28575" y="57150"/>
                  </a:cubicBezTo>
                  <a:cubicBezTo>
                    <a:pt x="44356" y="57150"/>
                    <a:pt x="57150" y="44356"/>
                    <a:pt x="57150" y="28575"/>
                  </a:cubicBezTo>
                  <a:cubicBezTo>
                    <a:pt x="57150" y="12793"/>
                    <a:pt x="44356" y="0"/>
                    <a:pt x="28575" y="0"/>
                  </a:cubicBezTo>
                  <a:cubicBezTo>
                    <a:pt x="12793" y="0"/>
                    <a:pt x="0" y="12793"/>
                    <a:pt x="0" y="28575"/>
                  </a:cubicBezTo>
                  <a:close/>
                </a:path>
              </a:pathLst>
            </a:custGeom>
            <a:solidFill>
              <a:srgbClr val="E0CB15"/>
            </a:solidFill>
            <a:ln w="14287">
              <a:solidFill>
                <a:srgbClr val="E0CB15"/>
              </a:solidFill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9pPr>
            </a:lstStyle>
            <a:p>
              <a:pPr algn="ctr"/>
              <a:endParaRPr/>
            </a:p>
          </xdr:txBody>
        </xdr:sp>
      </xdr:grpSp>
      <xdr:sp macro="" textlink="">
        <xdr:nvSpPr>
          <xdr:cNvPr id="222" name="Rounded Rectangle 8">
            <a:extLst>
              <a:ext uri="{FF2B5EF4-FFF2-40B4-BE49-F238E27FC236}">
                <a16:creationId xmlns:a16="http://schemas.microsoft.com/office/drawing/2014/main" id="{37C7C87A-5C00-B4FE-A9B9-F0CBA7961FFB}"/>
              </a:ext>
            </a:extLst>
          </xdr:cNvPr>
          <xdr:cNvSpPr/>
        </xdr:nvSpPr>
        <xdr:spPr>
          <a:xfrm>
            <a:off x="3015438" y="3560006"/>
            <a:ext cx="393632" cy="685800"/>
          </a:xfrm>
          <a:custGeom>
            <a:avLst/>
            <a:gdLst/>
            <a:ahLst/>
            <a:cxnLst/>
            <a:rect l="0" t="0" r="0" b="0"/>
            <a:pathLst>
              <a:path w="393632" h="685800">
                <a:moveTo>
                  <a:pt x="0" y="685800"/>
                </a:moveTo>
                <a:lnTo>
                  <a:pt x="167199" y="685800"/>
                </a:lnTo>
                <a:cubicBezTo>
                  <a:pt x="187526" y="685800"/>
                  <a:pt x="206322" y="675003"/>
                  <a:pt x="216565" y="657445"/>
                </a:cubicBezTo>
                <a:lnTo>
                  <a:pt x="383252" y="371695"/>
                </a:lnTo>
                <a:cubicBezTo>
                  <a:pt x="393632" y="353901"/>
                  <a:pt x="393632" y="331897"/>
                  <a:pt x="383252" y="314104"/>
                </a:cubicBezTo>
                <a:lnTo>
                  <a:pt x="216565" y="28354"/>
                </a:lnTo>
                <a:cubicBezTo>
                  <a:pt x="206322" y="10796"/>
                  <a:pt x="187526" y="0"/>
                  <a:pt x="167199" y="0"/>
                </a:cubicBezTo>
                <a:lnTo>
                  <a:pt x="0" y="0"/>
                </a:lnTo>
              </a:path>
            </a:pathLst>
          </a:custGeom>
          <a:noFill/>
          <a:ln w="14287">
            <a:solidFill>
              <a:srgbClr val="DE8431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223" name="Rounded Rectangle 9">
            <a:extLst>
              <a:ext uri="{FF2B5EF4-FFF2-40B4-BE49-F238E27FC236}">
                <a16:creationId xmlns:a16="http://schemas.microsoft.com/office/drawing/2014/main" id="{1D3A7C69-C4AC-5E60-B1D7-4AC45909C59B}"/>
              </a:ext>
            </a:extLst>
          </xdr:cNvPr>
          <xdr:cNvSpPr/>
        </xdr:nvSpPr>
        <xdr:spPr>
          <a:xfrm>
            <a:off x="4328935" y="2874169"/>
            <a:ext cx="3093700" cy="2743200"/>
          </a:xfrm>
          <a:custGeom>
            <a:avLst/>
            <a:gdLst/>
            <a:ahLst/>
            <a:cxnLst/>
            <a:rect l="0" t="0" r="0" b="0"/>
            <a:pathLst>
              <a:path w="3093700" h="2743200">
                <a:moveTo>
                  <a:pt x="40328" y="1257957"/>
                </a:moveTo>
                <a:cubicBezTo>
                  <a:pt x="0" y="1328356"/>
                  <a:pt x="0" y="1414843"/>
                  <a:pt x="40328" y="1485242"/>
                </a:cubicBezTo>
                <a:lnTo>
                  <a:pt x="695172" y="2628242"/>
                </a:lnTo>
                <a:cubicBezTo>
                  <a:pt x="735911" y="2699337"/>
                  <a:pt x="811587" y="2743200"/>
                  <a:pt x="893530" y="2743200"/>
                </a:cubicBezTo>
                <a:lnTo>
                  <a:pt x="2200170" y="2743200"/>
                </a:lnTo>
                <a:cubicBezTo>
                  <a:pt x="2282113" y="2743200"/>
                  <a:pt x="2357789" y="2699337"/>
                  <a:pt x="2398528" y="2628242"/>
                </a:cubicBezTo>
                <a:lnTo>
                  <a:pt x="3053372" y="1485242"/>
                </a:lnTo>
                <a:cubicBezTo>
                  <a:pt x="3093700" y="1414843"/>
                  <a:pt x="3093700" y="1328356"/>
                  <a:pt x="3053372" y="1257957"/>
                </a:cubicBezTo>
                <a:lnTo>
                  <a:pt x="2398528" y="114957"/>
                </a:lnTo>
                <a:cubicBezTo>
                  <a:pt x="2357789" y="43862"/>
                  <a:pt x="2282113" y="0"/>
                  <a:pt x="2200170" y="0"/>
                </a:cubicBezTo>
                <a:lnTo>
                  <a:pt x="893530" y="0"/>
                </a:lnTo>
                <a:cubicBezTo>
                  <a:pt x="811587" y="0"/>
                  <a:pt x="735911" y="43862"/>
                  <a:pt x="695172" y="114957"/>
                </a:cubicBezTo>
                <a:lnTo>
                  <a:pt x="40328" y="1257957"/>
                </a:lnTo>
                <a:moveTo>
                  <a:pt x="564203" y="1600857"/>
                </a:moveTo>
                <a:lnTo>
                  <a:pt x="957110" y="915057"/>
                </a:lnTo>
                <a:cubicBezTo>
                  <a:pt x="997848" y="843962"/>
                  <a:pt x="1073524" y="800100"/>
                  <a:pt x="1155468" y="800100"/>
                </a:cubicBezTo>
                <a:lnTo>
                  <a:pt x="1938232" y="800100"/>
                </a:lnTo>
                <a:cubicBezTo>
                  <a:pt x="2020176" y="800100"/>
                  <a:pt x="2095852" y="843962"/>
                  <a:pt x="2136590" y="915057"/>
                </a:cubicBezTo>
                <a:lnTo>
                  <a:pt x="2529497" y="1600857"/>
                </a:lnTo>
                <a:cubicBezTo>
                  <a:pt x="2569825" y="1671256"/>
                  <a:pt x="2569825" y="1757743"/>
                  <a:pt x="2529497" y="1828142"/>
                </a:cubicBezTo>
                <a:lnTo>
                  <a:pt x="2136590" y="2513942"/>
                </a:lnTo>
                <a:cubicBezTo>
                  <a:pt x="2095852" y="2585037"/>
                  <a:pt x="2020176" y="2628900"/>
                  <a:pt x="1938232" y="2628900"/>
                </a:cubicBezTo>
                <a:lnTo>
                  <a:pt x="1155468" y="2628900"/>
                </a:lnTo>
                <a:cubicBezTo>
                  <a:pt x="1073524" y="2628900"/>
                  <a:pt x="997848" y="2585037"/>
                  <a:pt x="957110" y="2513942"/>
                </a:cubicBezTo>
                <a:lnTo>
                  <a:pt x="564203" y="1828142"/>
                </a:lnTo>
                <a:cubicBezTo>
                  <a:pt x="523884" y="1757743"/>
                  <a:pt x="523884" y="1671256"/>
                  <a:pt x="564203" y="1600857"/>
                </a:cubicBezTo>
              </a:path>
            </a:pathLst>
          </a:custGeom>
          <a:solidFill>
            <a:srgbClr val="DE8431"/>
          </a:solidFill>
          <a:ln>
            <a:noFill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224" name="Rounded Rectangle 10">
            <a:extLst>
              <a:ext uri="{FF2B5EF4-FFF2-40B4-BE49-F238E27FC236}">
                <a16:creationId xmlns:a16="http://schemas.microsoft.com/office/drawing/2014/main" id="{56C709D9-9E89-36DE-DE62-AF873689B2D7}"/>
              </a:ext>
            </a:extLst>
          </xdr:cNvPr>
          <xdr:cNvSpPr/>
        </xdr:nvSpPr>
        <xdr:spPr>
          <a:xfrm>
            <a:off x="4328940" y="2874169"/>
            <a:ext cx="3093696" cy="2743200"/>
          </a:xfrm>
          <a:custGeom>
            <a:avLst/>
            <a:gdLst/>
            <a:ahLst/>
            <a:cxnLst/>
            <a:rect l="0" t="0" r="0" b="0"/>
            <a:pathLst>
              <a:path w="3093696" h="2743200">
                <a:moveTo>
                  <a:pt x="40328" y="1257960"/>
                </a:moveTo>
                <a:cubicBezTo>
                  <a:pt x="0" y="1328352"/>
                  <a:pt x="0" y="1414847"/>
                  <a:pt x="40328" y="1485239"/>
                </a:cubicBezTo>
                <a:lnTo>
                  <a:pt x="695172" y="2628239"/>
                </a:lnTo>
                <a:cubicBezTo>
                  <a:pt x="735908" y="2699341"/>
                  <a:pt x="811583" y="2743200"/>
                  <a:pt x="893525" y="2743200"/>
                </a:cubicBezTo>
                <a:lnTo>
                  <a:pt x="2200170" y="2743200"/>
                </a:lnTo>
                <a:cubicBezTo>
                  <a:pt x="2282112" y="2743200"/>
                  <a:pt x="2357788" y="2699341"/>
                  <a:pt x="2398522" y="2628239"/>
                </a:cubicBezTo>
                <a:lnTo>
                  <a:pt x="3053366" y="1485239"/>
                </a:lnTo>
                <a:cubicBezTo>
                  <a:pt x="3093696" y="1414847"/>
                  <a:pt x="3093696" y="1328352"/>
                  <a:pt x="3053366" y="1257960"/>
                </a:cubicBezTo>
                <a:lnTo>
                  <a:pt x="2398522" y="114960"/>
                </a:lnTo>
                <a:cubicBezTo>
                  <a:pt x="2357788" y="43859"/>
                  <a:pt x="2282112" y="0"/>
                  <a:pt x="2200170" y="0"/>
                </a:cubicBezTo>
                <a:lnTo>
                  <a:pt x="893525" y="0"/>
                </a:lnTo>
                <a:cubicBezTo>
                  <a:pt x="811582" y="0"/>
                  <a:pt x="735907" y="43859"/>
                  <a:pt x="695172" y="114960"/>
                </a:cubicBezTo>
                <a:close/>
                <a:moveTo>
                  <a:pt x="564203" y="1600860"/>
                </a:moveTo>
                <a:lnTo>
                  <a:pt x="957110" y="915060"/>
                </a:lnTo>
                <a:cubicBezTo>
                  <a:pt x="997844" y="843959"/>
                  <a:pt x="1073519" y="800100"/>
                  <a:pt x="1155463" y="800100"/>
                </a:cubicBezTo>
                <a:lnTo>
                  <a:pt x="1938232" y="800100"/>
                </a:lnTo>
                <a:cubicBezTo>
                  <a:pt x="2020175" y="800100"/>
                  <a:pt x="2095850" y="843959"/>
                  <a:pt x="2136585" y="915060"/>
                </a:cubicBezTo>
                <a:lnTo>
                  <a:pt x="2529491" y="1600860"/>
                </a:lnTo>
                <a:cubicBezTo>
                  <a:pt x="2569821" y="1671252"/>
                  <a:pt x="2569821" y="1757747"/>
                  <a:pt x="2529491" y="1828139"/>
                </a:cubicBezTo>
                <a:lnTo>
                  <a:pt x="2136585" y="2513939"/>
                </a:lnTo>
                <a:cubicBezTo>
                  <a:pt x="2095850" y="2585041"/>
                  <a:pt x="2020175" y="2628900"/>
                  <a:pt x="1938232" y="2628900"/>
                </a:cubicBezTo>
                <a:lnTo>
                  <a:pt x="1155463" y="2628900"/>
                </a:lnTo>
                <a:cubicBezTo>
                  <a:pt x="1073520" y="2628900"/>
                  <a:pt x="997845" y="2585041"/>
                  <a:pt x="957110" y="2513939"/>
                </a:cubicBezTo>
                <a:lnTo>
                  <a:pt x="564203" y="1828139"/>
                </a:lnTo>
                <a:cubicBezTo>
                  <a:pt x="523875" y="1757747"/>
                  <a:pt x="523875" y="1671252"/>
                  <a:pt x="564203" y="1600860"/>
                </a:cubicBezTo>
                <a:close/>
              </a:path>
            </a:pathLst>
          </a:custGeom>
          <a:noFill/>
          <a:ln w="14287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grpSp>
        <xdr:nvGrpSpPr>
          <xdr:cNvPr id="225" name="Group 224">
            <a:extLst>
              <a:ext uri="{FF2B5EF4-FFF2-40B4-BE49-F238E27FC236}">
                <a16:creationId xmlns:a16="http://schemas.microsoft.com/office/drawing/2014/main" id="{028D7AA6-4AB0-0E14-54F9-D0B72243F7F7}"/>
              </a:ext>
            </a:extLst>
          </xdr:cNvPr>
          <xdr:cNvGrpSpPr/>
        </xdr:nvGrpSpPr>
        <xdr:grpSpPr>
          <a:xfrm>
            <a:off x="3386913" y="3874294"/>
            <a:ext cx="1143000" cy="57150"/>
            <a:chOff x="2446418" y="3228975"/>
            <a:chExt cx="1143000" cy="57150"/>
          </a:xfrm>
        </xdr:grpSpPr>
        <xdr:sp macro="" textlink="">
          <xdr:nvSpPr>
            <xdr:cNvPr id="246" name="Rounded Rectangle 11">
              <a:extLst>
                <a:ext uri="{FF2B5EF4-FFF2-40B4-BE49-F238E27FC236}">
                  <a16:creationId xmlns:a16="http://schemas.microsoft.com/office/drawing/2014/main" id="{74A4CCE4-0B71-6325-3085-BDEF309CF17E}"/>
                </a:ext>
              </a:extLst>
            </xdr:cNvPr>
            <xdr:cNvSpPr/>
          </xdr:nvSpPr>
          <xdr:spPr>
            <a:xfrm>
              <a:off x="2474993" y="3257550"/>
              <a:ext cx="1085850" cy="9525"/>
            </a:xfrm>
            <a:custGeom>
              <a:avLst/>
              <a:gdLst/>
              <a:ahLst/>
              <a:cxnLst/>
              <a:rect l="0" t="0" r="0" b="0"/>
              <a:pathLst>
                <a:path w="1085850" h="9525">
                  <a:moveTo>
                    <a:pt x="0" y="0"/>
                  </a:moveTo>
                  <a:lnTo>
                    <a:pt x="1085850" y="0"/>
                  </a:lnTo>
                </a:path>
              </a:pathLst>
            </a:custGeom>
            <a:noFill/>
            <a:ln w="14287">
              <a:solidFill>
                <a:srgbClr val="DE8431"/>
              </a:solidFill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9pPr>
            </a:lstStyle>
            <a:p>
              <a:pPr algn="ctr"/>
              <a:endParaRPr/>
            </a:p>
          </xdr:txBody>
        </xdr:sp>
        <xdr:sp macro="" textlink="">
          <xdr:nvSpPr>
            <xdr:cNvPr id="247" name="Rounded Rectangle 12">
              <a:extLst>
                <a:ext uri="{FF2B5EF4-FFF2-40B4-BE49-F238E27FC236}">
                  <a16:creationId xmlns:a16="http://schemas.microsoft.com/office/drawing/2014/main" id="{9C21FA7E-1472-6DF3-E83D-36604B370A85}"/>
                </a:ext>
              </a:extLst>
            </xdr:cNvPr>
            <xdr:cNvSpPr/>
          </xdr:nvSpPr>
          <xdr:spPr>
            <a:xfrm>
              <a:off x="2446418" y="3228975"/>
              <a:ext cx="57150" cy="57150"/>
            </a:xfrm>
            <a:custGeom>
              <a:avLst/>
              <a:gdLst/>
              <a:ahLst/>
              <a:cxnLst/>
              <a:rect l="0" t="0" r="0" b="0"/>
              <a:pathLst>
                <a:path w="57150" h="57150">
                  <a:moveTo>
                    <a:pt x="0" y="28575"/>
                  </a:moveTo>
                  <a:cubicBezTo>
                    <a:pt x="0" y="44356"/>
                    <a:pt x="12793" y="57150"/>
                    <a:pt x="28575" y="57150"/>
                  </a:cubicBezTo>
                  <a:cubicBezTo>
                    <a:pt x="44356" y="57150"/>
                    <a:pt x="57150" y="44356"/>
                    <a:pt x="57150" y="28575"/>
                  </a:cubicBezTo>
                  <a:cubicBezTo>
                    <a:pt x="57150" y="12793"/>
                    <a:pt x="44356" y="0"/>
                    <a:pt x="28575" y="0"/>
                  </a:cubicBezTo>
                  <a:cubicBezTo>
                    <a:pt x="12793" y="0"/>
                    <a:pt x="0" y="12793"/>
                    <a:pt x="0" y="28575"/>
                  </a:cubicBezTo>
                  <a:close/>
                </a:path>
              </a:pathLst>
            </a:custGeom>
            <a:solidFill>
              <a:srgbClr val="DE8431"/>
            </a:solidFill>
            <a:ln w="14287">
              <a:solidFill>
                <a:srgbClr val="DE8431"/>
              </a:solidFill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9pPr>
            </a:lstStyle>
            <a:p>
              <a:pPr algn="ctr"/>
              <a:endParaRPr/>
            </a:p>
          </xdr:txBody>
        </xdr:sp>
        <xdr:sp macro="" textlink="">
          <xdr:nvSpPr>
            <xdr:cNvPr id="248" name="Rounded Rectangle 13">
              <a:extLst>
                <a:ext uri="{FF2B5EF4-FFF2-40B4-BE49-F238E27FC236}">
                  <a16:creationId xmlns:a16="http://schemas.microsoft.com/office/drawing/2014/main" id="{CD513039-2C32-CB0D-C34D-D1B25572125D}"/>
                </a:ext>
              </a:extLst>
            </xdr:cNvPr>
            <xdr:cNvSpPr/>
          </xdr:nvSpPr>
          <xdr:spPr>
            <a:xfrm>
              <a:off x="3532268" y="3228975"/>
              <a:ext cx="57150" cy="57150"/>
            </a:xfrm>
            <a:custGeom>
              <a:avLst/>
              <a:gdLst/>
              <a:ahLst/>
              <a:cxnLst/>
              <a:rect l="0" t="0" r="0" b="0"/>
              <a:pathLst>
                <a:path w="57150" h="57150">
                  <a:moveTo>
                    <a:pt x="0" y="28575"/>
                  </a:moveTo>
                  <a:cubicBezTo>
                    <a:pt x="0" y="44356"/>
                    <a:pt x="12793" y="57150"/>
                    <a:pt x="28575" y="57150"/>
                  </a:cubicBezTo>
                  <a:cubicBezTo>
                    <a:pt x="44356" y="57150"/>
                    <a:pt x="57150" y="44356"/>
                    <a:pt x="57150" y="28575"/>
                  </a:cubicBezTo>
                  <a:cubicBezTo>
                    <a:pt x="57150" y="12793"/>
                    <a:pt x="44356" y="0"/>
                    <a:pt x="28575" y="0"/>
                  </a:cubicBezTo>
                  <a:cubicBezTo>
                    <a:pt x="12793" y="0"/>
                    <a:pt x="0" y="12793"/>
                    <a:pt x="0" y="28575"/>
                  </a:cubicBezTo>
                  <a:close/>
                </a:path>
              </a:pathLst>
            </a:custGeom>
            <a:solidFill>
              <a:srgbClr val="DE8431"/>
            </a:solidFill>
            <a:ln w="14287">
              <a:solidFill>
                <a:srgbClr val="DE8431"/>
              </a:solidFill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9pPr>
            </a:lstStyle>
            <a:p>
              <a:pPr algn="ctr"/>
              <a:endParaRPr/>
            </a:p>
          </xdr:txBody>
        </xdr:sp>
      </xdr:grpSp>
      <xdr:sp macro="" textlink="">
        <xdr:nvSpPr>
          <xdr:cNvPr id="226" name="Rounded Rectangle 15">
            <a:extLst>
              <a:ext uri="{FF2B5EF4-FFF2-40B4-BE49-F238E27FC236}">
                <a16:creationId xmlns:a16="http://schemas.microsoft.com/office/drawing/2014/main" id="{438EAB19-DD5D-7A9C-9BAD-7C66469E1FA6}"/>
              </a:ext>
            </a:extLst>
          </xdr:cNvPr>
          <xdr:cNvSpPr/>
        </xdr:nvSpPr>
        <xdr:spPr>
          <a:xfrm>
            <a:off x="3015438" y="4703006"/>
            <a:ext cx="393632" cy="685800"/>
          </a:xfrm>
          <a:custGeom>
            <a:avLst/>
            <a:gdLst/>
            <a:ahLst/>
            <a:cxnLst/>
            <a:rect l="0" t="0" r="0" b="0"/>
            <a:pathLst>
              <a:path w="393632" h="685800">
                <a:moveTo>
                  <a:pt x="0" y="685800"/>
                </a:moveTo>
                <a:lnTo>
                  <a:pt x="167199" y="685800"/>
                </a:lnTo>
                <a:cubicBezTo>
                  <a:pt x="187526" y="685800"/>
                  <a:pt x="206322" y="675003"/>
                  <a:pt x="216565" y="657445"/>
                </a:cubicBezTo>
                <a:lnTo>
                  <a:pt x="383252" y="371695"/>
                </a:lnTo>
                <a:cubicBezTo>
                  <a:pt x="393632" y="353901"/>
                  <a:pt x="393632" y="331897"/>
                  <a:pt x="383252" y="314104"/>
                </a:cubicBezTo>
                <a:lnTo>
                  <a:pt x="216565" y="28354"/>
                </a:lnTo>
                <a:cubicBezTo>
                  <a:pt x="206322" y="10796"/>
                  <a:pt x="187526" y="0"/>
                  <a:pt x="167199" y="0"/>
                </a:cubicBezTo>
                <a:lnTo>
                  <a:pt x="0" y="0"/>
                </a:lnTo>
              </a:path>
            </a:pathLst>
          </a:custGeom>
          <a:noFill/>
          <a:ln w="14287">
            <a:solidFill>
              <a:srgbClr val="E55753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227" name="Rounded Rectangle 16">
            <a:extLst>
              <a:ext uri="{FF2B5EF4-FFF2-40B4-BE49-F238E27FC236}">
                <a16:creationId xmlns:a16="http://schemas.microsoft.com/office/drawing/2014/main" id="{1FAD61B1-955C-3F31-8162-A64F631C0244}"/>
              </a:ext>
            </a:extLst>
          </xdr:cNvPr>
          <xdr:cNvSpPr/>
        </xdr:nvSpPr>
        <xdr:spPr>
          <a:xfrm>
            <a:off x="4852810" y="3674306"/>
            <a:ext cx="2045950" cy="1828800"/>
          </a:xfrm>
          <a:custGeom>
            <a:avLst/>
            <a:gdLst/>
            <a:ahLst/>
            <a:cxnLst/>
            <a:rect l="0" t="0" r="0" b="0"/>
            <a:pathLst>
              <a:path w="2045950" h="1828800">
                <a:moveTo>
                  <a:pt x="40328" y="1028042"/>
                </a:moveTo>
                <a:cubicBezTo>
                  <a:pt x="0" y="957643"/>
                  <a:pt x="0" y="871156"/>
                  <a:pt x="40328" y="800757"/>
                </a:cubicBezTo>
                <a:lnTo>
                  <a:pt x="433235" y="114957"/>
                </a:lnTo>
                <a:cubicBezTo>
                  <a:pt x="473973" y="43862"/>
                  <a:pt x="549649" y="0"/>
                  <a:pt x="631593" y="0"/>
                </a:cubicBezTo>
                <a:lnTo>
                  <a:pt x="1414357" y="0"/>
                </a:lnTo>
                <a:cubicBezTo>
                  <a:pt x="1496301" y="0"/>
                  <a:pt x="1571977" y="43862"/>
                  <a:pt x="1612715" y="114957"/>
                </a:cubicBezTo>
                <a:lnTo>
                  <a:pt x="2005622" y="800757"/>
                </a:lnTo>
                <a:cubicBezTo>
                  <a:pt x="2045950" y="871156"/>
                  <a:pt x="2045950" y="957643"/>
                  <a:pt x="2005622" y="1028042"/>
                </a:cubicBezTo>
                <a:lnTo>
                  <a:pt x="1612715" y="1713842"/>
                </a:lnTo>
                <a:cubicBezTo>
                  <a:pt x="1571977" y="1784937"/>
                  <a:pt x="1496301" y="1828800"/>
                  <a:pt x="1414357" y="1828800"/>
                </a:cubicBezTo>
                <a:lnTo>
                  <a:pt x="631593" y="1828800"/>
                </a:lnTo>
                <a:cubicBezTo>
                  <a:pt x="549649" y="1828800"/>
                  <a:pt x="473973" y="1784937"/>
                  <a:pt x="433235" y="1713842"/>
                </a:cubicBezTo>
                <a:lnTo>
                  <a:pt x="40328" y="1028042"/>
                </a:lnTo>
              </a:path>
            </a:pathLst>
          </a:custGeom>
          <a:solidFill>
            <a:srgbClr val="E55753"/>
          </a:solidFill>
          <a:ln>
            <a:noFill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228" name="Rounded Rectangle 17">
            <a:extLst>
              <a:ext uri="{FF2B5EF4-FFF2-40B4-BE49-F238E27FC236}">
                <a16:creationId xmlns:a16="http://schemas.microsoft.com/office/drawing/2014/main" id="{5F30FF39-EC25-49C5-4420-972CFF688EBF}"/>
              </a:ext>
            </a:extLst>
          </xdr:cNvPr>
          <xdr:cNvSpPr/>
        </xdr:nvSpPr>
        <xdr:spPr>
          <a:xfrm>
            <a:off x="4852815" y="3674306"/>
            <a:ext cx="2045946" cy="1828800"/>
          </a:xfrm>
          <a:custGeom>
            <a:avLst/>
            <a:gdLst/>
            <a:ahLst/>
            <a:cxnLst/>
            <a:rect l="0" t="0" r="0" b="0"/>
            <a:pathLst>
              <a:path w="2045946" h="1828800">
                <a:moveTo>
                  <a:pt x="40328" y="1028039"/>
                </a:moveTo>
                <a:cubicBezTo>
                  <a:pt x="0" y="957647"/>
                  <a:pt x="0" y="871152"/>
                  <a:pt x="40328" y="800760"/>
                </a:cubicBezTo>
                <a:lnTo>
                  <a:pt x="433235" y="114960"/>
                </a:lnTo>
                <a:cubicBezTo>
                  <a:pt x="473970" y="43858"/>
                  <a:pt x="549645" y="0"/>
                  <a:pt x="631588" y="0"/>
                </a:cubicBezTo>
                <a:lnTo>
                  <a:pt x="1414357" y="0"/>
                </a:lnTo>
                <a:cubicBezTo>
                  <a:pt x="1496300" y="0"/>
                  <a:pt x="1571975" y="43859"/>
                  <a:pt x="1612711" y="114960"/>
                </a:cubicBezTo>
                <a:lnTo>
                  <a:pt x="2005617" y="800760"/>
                </a:lnTo>
                <a:cubicBezTo>
                  <a:pt x="2045946" y="871152"/>
                  <a:pt x="2045946" y="957647"/>
                  <a:pt x="2005617" y="1028039"/>
                </a:cubicBezTo>
                <a:lnTo>
                  <a:pt x="1612710" y="1713839"/>
                </a:lnTo>
                <a:cubicBezTo>
                  <a:pt x="1571975" y="1784941"/>
                  <a:pt x="1496300" y="1828800"/>
                  <a:pt x="1414357" y="1828800"/>
                </a:cubicBezTo>
                <a:lnTo>
                  <a:pt x="631588" y="1828800"/>
                </a:lnTo>
                <a:cubicBezTo>
                  <a:pt x="549645" y="1828800"/>
                  <a:pt x="473970" y="1784940"/>
                  <a:pt x="433235" y="1713839"/>
                </a:cubicBezTo>
                <a:lnTo>
                  <a:pt x="40328" y="1028039"/>
                </a:lnTo>
                <a:close/>
              </a:path>
            </a:pathLst>
          </a:custGeom>
          <a:noFill/>
          <a:ln w="14287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grpSp>
        <xdr:nvGrpSpPr>
          <xdr:cNvPr id="229" name="Group 228">
            <a:extLst>
              <a:ext uri="{FF2B5EF4-FFF2-40B4-BE49-F238E27FC236}">
                <a16:creationId xmlns:a16="http://schemas.microsoft.com/office/drawing/2014/main" id="{CB28CC1C-59F1-DD72-654D-2D816868ABAC}"/>
              </a:ext>
            </a:extLst>
          </xdr:cNvPr>
          <xdr:cNvGrpSpPr/>
        </xdr:nvGrpSpPr>
        <xdr:grpSpPr>
          <a:xfrm>
            <a:off x="3386913" y="5017294"/>
            <a:ext cx="1733550" cy="57150"/>
            <a:chOff x="2446418" y="4371975"/>
            <a:chExt cx="1733550" cy="57150"/>
          </a:xfrm>
        </xdr:grpSpPr>
        <xdr:sp macro="" textlink="">
          <xdr:nvSpPr>
            <xdr:cNvPr id="243" name="Rounded Rectangle 18">
              <a:extLst>
                <a:ext uri="{FF2B5EF4-FFF2-40B4-BE49-F238E27FC236}">
                  <a16:creationId xmlns:a16="http://schemas.microsoft.com/office/drawing/2014/main" id="{BAFDA0AC-836D-79B9-610C-DD4EE3757D38}"/>
                </a:ext>
              </a:extLst>
            </xdr:cNvPr>
            <xdr:cNvSpPr/>
          </xdr:nvSpPr>
          <xdr:spPr>
            <a:xfrm>
              <a:off x="2474993" y="4400550"/>
              <a:ext cx="1676400" cy="9525"/>
            </a:xfrm>
            <a:custGeom>
              <a:avLst/>
              <a:gdLst/>
              <a:ahLst/>
              <a:cxnLst/>
              <a:rect l="0" t="0" r="0" b="0"/>
              <a:pathLst>
                <a:path w="1676400" h="9525">
                  <a:moveTo>
                    <a:pt x="0" y="0"/>
                  </a:moveTo>
                  <a:lnTo>
                    <a:pt x="1676400" y="0"/>
                  </a:lnTo>
                </a:path>
              </a:pathLst>
            </a:custGeom>
            <a:noFill/>
            <a:ln w="14287">
              <a:solidFill>
                <a:srgbClr val="E55753"/>
              </a:solidFill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9pPr>
            </a:lstStyle>
            <a:p>
              <a:pPr algn="ctr"/>
              <a:endParaRPr/>
            </a:p>
          </xdr:txBody>
        </xdr:sp>
        <xdr:sp macro="" textlink="">
          <xdr:nvSpPr>
            <xdr:cNvPr id="244" name="Rounded Rectangle 19">
              <a:extLst>
                <a:ext uri="{FF2B5EF4-FFF2-40B4-BE49-F238E27FC236}">
                  <a16:creationId xmlns:a16="http://schemas.microsoft.com/office/drawing/2014/main" id="{05B51EAB-7025-BB64-70C7-39126FDED997}"/>
                </a:ext>
              </a:extLst>
            </xdr:cNvPr>
            <xdr:cNvSpPr/>
          </xdr:nvSpPr>
          <xdr:spPr>
            <a:xfrm>
              <a:off x="2446418" y="4371975"/>
              <a:ext cx="57150" cy="57150"/>
            </a:xfrm>
            <a:custGeom>
              <a:avLst/>
              <a:gdLst/>
              <a:ahLst/>
              <a:cxnLst/>
              <a:rect l="0" t="0" r="0" b="0"/>
              <a:pathLst>
                <a:path w="57150" h="57150">
                  <a:moveTo>
                    <a:pt x="0" y="28575"/>
                  </a:moveTo>
                  <a:cubicBezTo>
                    <a:pt x="0" y="44356"/>
                    <a:pt x="12793" y="57150"/>
                    <a:pt x="28575" y="57150"/>
                  </a:cubicBezTo>
                  <a:cubicBezTo>
                    <a:pt x="44356" y="57150"/>
                    <a:pt x="57150" y="44356"/>
                    <a:pt x="57150" y="28575"/>
                  </a:cubicBezTo>
                  <a:cubicBezTo>
                    <a:pt x="57150" y="12793"/>
                    <a:pt x="44356" y="0"/>
                    <a:pt x="28575" y="0"/>
                  </a:cubicBezTo>
                  <a:cubicBezTo>
                    <a:pt x="12793" y="0"/>
                    <a:pt x="0" y="12793"/>
                    <a:pt x="0" y="28575"/>
                  </a:cubicBezTo>
                  <a:close/>
                </a:path>
              </a:pathLst>
            </a:custGeom>
            <a:solidFill>
              <a:srgbClr val="E55753"/>
            </a:solidFill>
            <a:ln w="14287">
              <a:solidFill>
                <a:srgbClr val="E55753"/>
              </a:solidFill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9pPr>
            </a:lstStyle>
            <a:p>
              <a:pPr algn="ctr"/>
              <a:endParaRPr/>
            </a:p>
          </xdr:txBody>
        </xdr:sp>
        <xdr:sp macro="" textlink="">
          <xdr:nvSpPr>
            <xdr:cNvPr id="245" name="Rounded Rectangle 20">
              <a:extLst>
                <a:ext uri="{FF2B5EF4-FFF2-40B4-BE49-F238E27FC236}">
                  <a16:creationId xmlns:a16="http://schemas.microsoft.com/office/drawing/2014/main" id="{10391597-9BF7-E4A1-FE46-82B855A813AF}"/>
                </a:ext>
              </a:extLst>
            </xdr:cNvPr>
            <xdr:cNvSpPr/>
          </xdr:nvSpPr>
          <xdr:spPr>
            <a:xfrm>
              <a:off x="4122818" y="4371975"/>
              <a:ext cx="57150" cy="57150"/>
            </a:xfrm>
            <a:custGeom>
              <a:avLst/>
              <a:gdLst/>
              <a:ahLst/>
              <a:cxnLst/>
              <a:rect l="0" t="0" r="0" b="0"/>
              <a:pathLst>
                <a:path w="57150" h="57150">
                  <a:moveTo>
                    <a:pt x="0" y="28575"/>
                  </a:moveTo>
                  <a:cubicBezTo>
                    <a:pt x="0" y="44356"/>
                    <a:pt x="12793" y="57150"/>
                    <a:pt x="28575" y="57150"/>
                  </a:cubicBezTo>
                  <a:cubicBezTo>
                    <a:pt x="44356" y="57150"/>
                    <a:pt x="57150" y="44356"/>
                    <a:pt x="57150" y="28575"/>
                  </a:cubicBezTo>
                  <a:cubicBezTo>
                    <a:pt x="57150" y="12793"/>
                    <a:pt x="44356" y="0"/>
                    <a:pt x="28575" y="0"/>
                  </a:cubicBezTo>
                  <a:cubicBezTo>
                    <a:pt x="12793" y="0"/>
                    <a:pt x="0" y="12793"/>
                    <a:pt x="0" y="28575"/>
                  </a:cubicBezTo>
                  <a:close/>
                </a:path>
              </a:pathLst>
            </a:custGeom>
            <a:solidFill>
              <a:srgbClr val="E55753"/>
            </a:solidFill>
            <a:ln w="14287">
              <a:solidFill>
                <a:srgbClr val="E55753"/>
              </a:solidFill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9pPr>
            </a:lstStyle>
            <a:p>
              <a:pPr algn="ctr"/>
              <a:endParaRPr/>
            </a:p>
          </xdr:txBody>
        </xdr:sp>
      </xdr:grpSp>
      <xdr:sp macro="" textlink="">
        <xdr:nvSpPr>
          <xdr:cNvPr id="230" name="TextBox 22">
            <a:extLst>
              <a:ext uri="{FF2B5EF4-FFF2-40B4-BE49-F238E27FC236}">
                <a16:creationId xmlns:a16="http://schemas.microsoft.com/office/drawing/2014/main" id="{AB685AF2-A1B8-B7A0-EB27-8AF125C388E7}"/>
              </a:ext>
            </a:extLst>
          </xdr:cNvPr>
          <xdr:cNvSpPr txBox="1"/>
        </xdr:nvSpPr>
        <xdr:spPr>
          <a:xfrm>
            <a:off x="5527187" y="3158815"/>
            <a:ext cx="844890" cy="298234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r>
              <a:rPr sz="1500" b="0">
                <a:solidFill>
                  <a:srgbClr val="FFFFFF"/>
                </a:solidFill>
                <a:latin typeface="Roboto"/>
              </a:rPr>
              <a:t>87</a:t>
            </a:r>
            <a:r>
              <a:rPr lang="en-GB" sz="1500" b="0">
                <a:solidFill>
                  <a:srgbClr val="FFFFFF"/>
                </a:solidFill>
                <a:latin typeface="Roboto"/>
              </a:rPr>
              <a:t>%</a:t>
            </a:r>
            <a:endParaRPr sz="1500" b="0">
              <a:solidFill>
                <a:srgbClr val="FFFFFF"/>
              </a:solidFill>
              <a:latin typeface="Roboto"/>
            </a:endParaRPr>
          </a:p>
        </xdr:txBody>
      </xdr:sp>
      <xdr:sp macro="" textlink="">
        <xdr:nvSpPr>
          <xdr:cNvPr id="231" name="TextBox 23">
            <a:extLst>
              <a:ext uri="{FF2B5EF4-FFF2-40B4-BE49-F238E27FC236}">
                <a16:creationId xmlns:a16="http://schemas.microsoft.com/office/drawing/2014/main" id="{C0384AAE-05AF-FA95-F312-88EE6B83ABA7}"/>
              </a:ext>
            </a:extLst>
          </xdr:cNvPr>
          <xdr:cNvSpPr txBox="1"/>
        </xdr:nvSpPr>
        <xdr:spPr>
          <a:xfrm>
            <a:off x="541388" y="5470992"/>
            <a:ext cx="2157283" cy="218643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r"/>
            <a:r>
              <a:rPr sz="1100" b="0">
                <a:solidFill>
                  <a:srgbClr val="484848"/>
                </a:solidFill>
                <a:latin typeface="Roboto"/>
              </a:rPr>
              <a:t>Room for improvement</a:t>
            </a:r>
          </a:p>
        </xdr:txBody>
      </xdr:sp>
      <xdr:sp macro="" textlink="">
        <xdr:nvSpPr>
          <xdr:cNvPr id="232" name="TextBox 24">
            <a:extLst>
              <a:ext uri="{FF2B5EF4-FFF2-40B4-BE49-F238E27FC236}">
                <a16:creationId xmlns:a16="http://schemas.microsoft.com/office/drawing/2014/main" id="{C7CF616C-9731-8498-7E59-140000774E99}"/>
              </a:ext>
            </a:extLst>
          </xdr:cNvPr>
          <xdr:cNvSpPr txBox="1"/>
        </xdr:nvSpPr>
        <xdr:spPr>
          <a:xfrm>
            <a:off x="1562628" y="3267010"/>
            <a:ext cx="1136045" cy="218643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r"/>
            <a:r>
              <a:rPr sz="1100" b="0">
                <a:solidFill>
                  <a:srgbClr val="484848"/>
                </a:solidFill>
                <a:latin typeface="Roboto"/>
              </a:rPr>
              <a:t>Desired goal</a:t>
            </a:r>
          </a:p>
        </xdr:txBody>
      </xdr:sp>
      <xdr:sp macro="" textlink="">
        <xdr:nvSpPr>
          <xdr:cNvPr id="233" name="TextBox 25">
            <a:extLst>
              <a:ext uri="{FF2B5EF4-FFF2-40B4-BE49-F238E27FC236}">
                <a16:creationId xmlns:a16="http://schemas.microsoft.com/office/drawing/2014/main" id="{D4807B49-F2DE-62F6-66D3-C5EAC4000D10}"/>
              </a:ext>
            </a:extLst>
          </xdr:cNvPr>
          <xdr:cNvSpPr txBox="1"/>
        </xdr:nvSpPr>
        <xdr:spPr>
          <a:xfrm>
            <a:off x="1573752" y="2666414"/>
            <a:ext cx="1079744" cy="461665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r"/>
            <a:r>
              <a:rPr sz="1500" b="1">
                <a:solidFill>
                  <a:srgbClr val="E0CB15"/>
                </a:solidFill>
                <a:latin typeface="Roboto"/>
              </a:rPr>
              <a:t>Target Value</a:t>
            </a:r>
          </a:p>
        </xdr:txBody>
      </xdr:sp>
      <xdr:sp macro="" textlink="">
        <xdr:nvSpPr>
          <xdr:cNvPr id="234" name="TextBox 26">
            <a:extLst>
              <a:ext uri="{FF2B5EF4-FFF2-40B4-BE49-F238E27FC236}">
                <a16:creationId xmlns:a16="http://schemas.microsoft.com/office/drawing/2014/main" id="{DB2266E6-0912-00B0-094C-E684D20B127D}"/>
              </a:ext>
            </a:extLst>
          </xdr:cNvPr>
          <xdr:cNvSpPr txBox="1"/>
        </xdr:nvSpPr>
        <xdr:spPr>
          <a:xfrm>
            <a:off x="1573181" y="3809414"/>
            <a:ext cx="1080344" cy="461665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r"/>
            <a:r>
              <a:rPr sz="1500" b="1">
                <a:solidFill>
                  <a:srgbClr val="DE8431"/>
                </a:solidFill>
                <a:latin typeface="Roboto"/>
              </a:rPr>
              <a:t>Actual Value</a:t>
            </a:r>
          </a:p>
        </xdr:txBody>
      </xdr:sp>
      <xdr:sp macro="" textlink="">
        <xdr:nvSpPr>
          <xdr:cNvPr id="235" name="TextBox 27">
            <a:extLst>
              <a:ext uri="{FF2B5EF4-FFF2-40B4-BE49-F238E27FC236}">
                <a16:creationId xmlns:a16="http://schemas.microsoft.com/office/drawing/2014/main" id="{3C301640-5649-A44E-6604-605FC09C4EBD}"/>
              </a:ext>
            </a:extLst>
          </xdr:cNvPr>
          <xdr:cNvSpPr txBox="1"/>
        </xdr:nvSpPr>
        <xdr:spPr>
          <a:xfrm>
            <a:off x="5293638" y="2318219"/>
            <a:ext cx="1135051" cy="309880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r>
              <a:rPr sz="1500" b="0">
                <a:solidFill>
                  <a:srgbClr val="FFFFFF"/>
                </a:solidFill>
                <a:latin typeface="Roboto"/>
              </a:rPr>
              <a:t>100</a:t>
            </a:r>
            <a:r>
              <a:rPr lang="en-GB" sz="1500" b="0">
                <a:solidFill>
                  <a:srgbClr val="FFFFFF"/>
                </a:solidFill>
                <a:latin typeface="Roboto"/>
              </a:rPr>
              <a:t>%</a:t>
            </a:r>
            <a:endParaRPr sz="1500" b="0">
              <a:solidFill>
                <a:srgbClr val="FFFFFF"/>
              </a:solidFill>
              <a:latin typeface="Roboto"/>
            </a:endParaRPr>
          </a:p>
        </xdr:txBody>
      </xdr:sp>
      <xdr:sp macro="" textlink="">
        <xdr:nvSpPr>
          <xdr:cNvPr id="236" name="TextBox 28">
            <a:extLst>
              <a:ext uri="{FF2B5EF4-FFF2-40B4-BE49-F238E27FC236}">
                <a16:creationId xmlns:a16="http://schemas.microsoft.com/office/drawing/2014/main" id="{11D9B485-9C61-8D18-BA4A-5CC9922CC02C}"/>
              </a:ext>
            </a:extLst>
          </xdr:cNvPr>
          <xdr:cNvSpPr txBox="1"/>
        </xdr:nvSpPr>
        <xdr:spPr>
          <a:xfrm>
            <a:off x="911784" y="4344731"/>
            <a:ext cx="1811935" cy="218830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r"/>
            <a:r>
              <a:rPr sz="1100" b="0">
                <a:solidFill>
                  <a:srgbClr val="484848"/>
                </a:solidFill>
                <a:latin typeface="Roboto"/>
              </a:rPr>
              <a:t>Current achievement</a:t>
            </a:r>
          </a:p>
        </xdr:txBody>
      </xdr:sp>
      <xdr:sp macro="" textlink="">
        <xdr:nvSpPr>
          <xdr:cNvPr id="237" name="TextBox 29">
            <a:extLst>
              <a:ext uri="{FF2B5EF4-FFF2-40B4-BE49-F238E27FC236}">
                <a16:creationId xmlns:a16="http://schemas.microsoft.com/office/drawing/2014/main" id="{FFD271F2-BE3B-FD68-C4E5-584434D049C5}"/>
              </a:ext>
            </a:extLst>
          </xdr:cNvPr>
          <xdr:cNvSpPr txBox="1"/>
        </xdr:nvSpPr>
        <xdr:spPr>
          <a:xfrm>
            <a:off x="5487183" y="4493455"/>
            <a:ext cx="907991" cy="298234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r>
              <a:rPr sz="1500" b="0">
                <a:solidFill>
                  <a:srgbClr val="FFFFFF"/>
                </a:solidFill>
                <a:latin typeface="Roboto"/>
              </a:rPr>
              <a:t>13</a:t>
            </a:r>
            <a:r>
              <a:rPr lang="en-GB" sz="1500" b="0">
                <a:solidFill>
                  <a:srgbClr val="FFFFFF"/>
                </a:solidFill>
                <a:latin typeface="Roboto"/>
              </a:rPr>
              <a:t>%</a:t>
            </a:r>
            <a:endParaRPr sz="1500" b="0">
              <a:solidFill>
                <a:srgbClr val="FFFFFF"/>
              </a:solidFill>
              <a:latin typeface="Roboto"/>
            </a:endParaRPr>
          </a:p>
        </xdr:txBody>
      </xdr:sp>
      <xdr:sp macro="" textlink="">
        <xdr:nvSpPr>
          <xdr:cNvPr id="238" name="Rounded Rectangle 30">
            <a:extLst>
              <a:ext uri="{FF2B5EF4-FFF2-40B4-BE49-F238E27FC236}">
                <a16:creationId xmlns:a16="http://schemas.microsoft.com/office/drawing/2014/main" id="{98C6A92F-7834-6500-D49D-1C8CEFE3F893}"/>
              </a:ext>
            </a:extLst>
          </xdr:cNvPr>
          <xdr:cNvSpPr/>
        </xdr:nvSpPr>
        <xdr:spPr>
          <a:xfrm>
            <a:off x="2796456" y="4836131"/>
            <a:ext cx="438106" cy="419058"/>
          </a:xfrm>
          <a:custGeom>
            <a:avLst/>
            <a:gdLst/>
            <a:ahLst/>
            <a:cxnLst/>
            <a:rect l="0" t="0" r="0" b="0"/>
            <a:pathLst>
              <a:path w="438106" h="419058">
                <a:moveTo>
                  <a:pt x="438106" y="419058"/>
                </a:moveTo>
                <a:lnTo>
                  <a:pt x="0" y="419058"/>
                </a:lnTo>
                <a:moveTo>
                  <a:pt x="361837" y="419058"/>
                </a:moveTo>
                <a:lnTo>
                  <a:pt x="361837" y="371437"/>
                </a:lnTo>
                <a:cubicBezTo>
                  <a:pt x="361837" y="366177"/>
                  <a:pt x="366101" y="361913"/>
                  <a:pt x="371361" y="361913"/>
                </a:cubicBezTo>
                <a:lnTo>
                  <a:pt x="409457" y="361913"/>
                </a:lnTo>
                <a:cubicBezTo>
                  <a:pt x="414717" y="361913"/>
                  <a:pt x="418981" y="366177"/>
                  <a:pt x="418981" y="371437"/>
                </a:cubicBezTo>
                <a:lnTo>
                  <a:pt x="418981" y="419058"/>
                </a:lnTo>
                <a:moveTo>
                  <a:pt x="247549" y="419058"/>
                </a:moveTo>
                <a:lnTo>
                  <a:pt x="247549" y="295245"/>
                </a:lnTo>
                <a:cubicBezTo>
                  <a:pt x="247549" y="289985"/>
                  <a:pt x="251813" y="285721"/>
                  <a:pt x="257073" y="285721"/>
                </a:cubicBezTo>
                <a:lnTo>
                  <a:pt x="295169" y="285721"/>
                </a:lnTo>
                <a:cubicBezTo>
                  <a:pt x="300429" y="285721"/>
                  <a:pt x="304693" y="289985"/>
                  <a:pt x="304693" y="295245"/>
                </a:cubicBezTo>
                <a:lnTo>
                  <a:pt x="304693" y="419058"/>
                </a:lnTo>
                <a:moveTo>
                  <a:pt x="133260" y="419058"/>
                </a:moveTo>
                <a:lnTo>
                  <a:pt x="133260" y="219053"/>
                </a:lnTo>
                <a:cubicBezTo>
                  <a:pt x="133260" y="213793"/>
                  <a:pt x="137524" y="209529"/>
                  <a:pt x="142784" y="209529"/>
                </a:cubicBezTo>
                <a:lnTo>
                  <a:pt x="180880" y="209529"/>
                </a:lnTo>
                <a:cubicBezTo>
                  <a:pt x="186140" y="209529"/>
                  <a:pt x="190404" y="213793"/>
                  <a:pt x="190404" y="219053"/>
                </a:cubicBezTo>
                <a:lnTo>
                  <a:pt x="190404" y="419058"/>
                </a:lnTo>
                <a:moveTo>
                  <a:pt x="18971" y="419058"/>
                </a:moveTo>
                <a:lnTo>
                  <a:pt x="18971" y="142860"/>
                </a:lnTo>
                <a:cubicBezTo>
                  <a:pt x="18971" y="137600"/>
                  <a:pt x="23235" y="133336"/>
                  <a:pt x="28495" y="133336"/>
                </a:cubicBezTo>
                <a:lnTo>
                  <a:pt x="66592" y="133336"/>
                </a:lnTo>
                <a:cubicBezTo>
                  <a:pt x="71852" y="133336"/>
                  <a:pt x="76116" y="137600"/>
                  <a:pt x="76116" y="142860"/>
                </a:cubicBezTo>
                <a:lnTo>
                  <a:pt x="76116" y="419058"/>
                </a:lnTo>
                <a:moveTo>
                  <a:pt x="390486" y="228577"/>
                </a:moveTo>
                <a:lnTo>
                  <a:pt x="47620" y="0"/>
                </a:lnTo>
                <a:moveTo>
                  <a:pt x="380961" y="152384"/>
                </a:moveTo>
                <a:lnTo>
                  <a:pt x="390486" y="228577"/>
                </a:lnTo>
                <a:lnTo>
                  <a:pt x="314293" y="238101"/>
                </a:lnTo>
              </a:path>
            </a:pathLst>
          </a:custGeom>
          <a:noFill/>
          <a:ln w="14287">
            <a:solidFill>
              <a:srgbClr val="484848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239" name="Rounded Rectangle 31">
            <a:extLst>
              <a:ext uri="{FF2B5EF4-FFF2-40B4-BE49-F238E27FC236}">
                <a16:creationId xmlns:a16="http://schemas.microsoft.com/office/drawing/2014/main" id="{FEDD93DB-DB02-1B20-C38A-B46E5F440E22}"/>
              </a:ext>
            </a:extLst>
          </xdr:cNvPr>
          <xdr:cNvSpPr/>
        </xdr:nvSpPr>
        <xdr:spPr>
          <a:xfrm>
            <a:off x="2778099" y="2540681"/>
            <a:ext cx="456387" cy="459743"/>
          </a:xfrm>
          <a:custGeom>
            <a:avLst/>
            <a:gdLst/>
            <a:ahLst/>
            <a:cxnLst/>
            <a:rect l="0" t="0" r="0" b="0"/>
            <a:pathLst>
              <a:path w="456387" h="459743">
                <a:moveTo>
                  <a:pt x="240763" y="215624"/>
                </a:moveTo>
                <a:cubicBezTo>
                  <a:pt x="211779" y="186623"/>
                  <a:pt x="166342" y="182147"/>
                  <a:pt x="132256" y="204933"/>
                </a:cubicBezTo>
                <a:cubicBezTo>
                  <a:pt x="98170" y="227720"/>
                  <a:pt x="84938" y="271418"/>
                  <a:pt x="100657" y="309286"/>
                </a:cubicBezTo>
                <a:cubicBezTo>
                  <a:pt x="116375" y="347154"/>
                  <a:pt x="156664" y="368636"/>
                  <a:pt x="196867" y="360586"/>
                </a:cubicBezTo>
                <a:cubicBezTo>
                  <a:pt x="237069" y="352536"/>
                  <a:pt x="265980" y="317198"/>
                  <a:pt x="265906" y="276197"/>
                </a:cubicBezTo>
                <a:cubicBezTo>
                  <a:pt x="265935" y="266395"/>
                  <a:pt x="264259" y="256662"/>
                  <a:pt x="260954" y="247434"/>
                </a:cubicBezTo>
                <a:moveTo>
                  <a:pt x="320003" y="194481"/>
                </a:moveTo>
                <a:cubicBezTo>
                  <a:pt x="363783" y="268044"/>
                  <a:pt x="342896" y="362963"/>
                  <a:pt x="272279" y="411353"/>
                </a:cubicBezTo>
                <a:cubicBezTo>
                  <a:pt x="201663" y="459743"/>
                  <a:pt x="105603" y="444961"/>
                  <a:pt x="52801" y="377580"/>
                </a:cubicBezTo>
                <a:cubicBezTo>
                  <a:pt x="0" y="310198"/>
                  <a:pt x="8615" y="213391"/>
                  <a:pt x="72486" y="156393"/>
                </a:cubicBezTo>
                <a:cubicBezTo>
                  <a:pt x="136357" y="99395"/>
                  <a:pt x="233517" y="101809"/>
                  <a:pt x="294478" y="161908"/>
                </a:cubicBezTo>
                <a:moveTo>
                  <a:pt x="18281" y="438106"/>
                </a:moveTo>
                <a:lnTo>
                  <a:pt x="65711" y="390676"/>
                </a:lnTo>
                <a:moveTo>
                  <a:pt x="294669" y="390676"/>
                </a:moveTo>
                <a:lnTo>
                  <a:pt x="342099" y="438106"/>
                </a:lnTo>
                <a:moveTo>
                  <a:pt x="321717" y="134670"/>
                </a:moveTo>
                <a:lnTo>
                  <a:pt x="314860" y="60572"/>
                </a:lnTo>
                <a:lnTo>
                  <a:pt x="375433" y="0"/>
                </a:lnTo>
                <a:lnTo>
                  <a:pt x="395814" y="60572"/>
                </a:lnTo>
                <a:lnTo>
                  <a:pt x="456387" y="80954"/>
                </a:lnTo>
                <a:lnTo>
                  <a:pt x="395814" y="141527"/>
                </a:lnTo>
                <a:close/>
                <a:moveTo>
                  <a:pt x="370671" y="85716"/>
                </a:moveTo>
                <a:lnTo>
                  <a:pt x="180190" y="276197"/>
                </a:lnTo>
              </a:path>
            </a:pathLst>
          </a:custGeom>
          <a:noFill/>
          <a:ln w="14287">
            <a:solidFill>
              <a:srgbClr val="484848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240" name="TextBox 32">
            <a:extLst>
              <a:ext uri="{FF2B5EF4-FFF2-40B4-BE49-F238E27FC236}">
                <a16:creationId xmlns:a16="http://schemas.microsoft.com/office/drawing/2014/main" id="{E8B7658A-A348-B9C8-EC23-FEC95719B070}"/>
              </a:ext>
            </a:extLst>
          </xdr:cNvPr>
          <xdr:cNvSpPr txBox="1"/>
        </xdr:nvSpPr>
        <xdr:spPr>
          <a:xfrm>
            <a:off x="1649041" y="4952415"/>
            <a:ext cx="1004504" cy="298744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r"/>
            <a:r>
              <a:rPr sz="1500" b="1">
                <a:solidFill>
                  <a:srgbClr val="E55753"/>
                </a:solidFill>
                <a:latin typeface="Roboto"/>
              </a:rPr>
              <a:t>Shortfall</a:t>
            </a:r>
          </a:p>
        </xdr:txBody>
      </xdr:sp>
      <xdr:sp macro="" textlink="">
        <xdr:nvSpPr>
          <xdr:cNvPr id="241" name="TextBox 33">
            <a:extLst>
              <a:ext uri="{FF2B5EF4-FFF2-40B4-BE49-F238E27FC236}">
                <a16:creationId xmlns:a16="http://schemas.microsoft.com/office/drawing/2014/main" id="{7A8B61B6-002B-1509-A96E-72FA405123E9}"/>
              </a:ext>
            </a:extLst>
          </xdr:cNvPr>
          <xdr:cNvSpPr txBox="1"/>
        </xdr:nvSpPr>
        <xdr:spPr>
          <a:xfrm>
            <a:off x="3604508" y="929486"/>
            <a:ext cx="4481499" cy="357545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r>
              <a:rPr lang="en-GB" sz="1800" b="1">
                <a:solidFill>
                  <a:srgbClr val="484848"/>
                </a:solidFill>
                <a:latin typeface="Roboto"/>
              </a:rPr>
              <a:t>Customer</a:t>
            </a:r>
            <a:r>
              <a:rPr sz="1800" b="1">
                <a:solidFill>
                  <a:srgbClr val="484848"/>
                </a:solidFill>
                <a:latin typeface="Roboto"/>
              </a:rPr>
              <a:t>Target</a:t>
            </a:r>
          </a:p>
        </xdr:txBody>
      </xdr:sp>
      <xdr:sp macro="" textlink="">
        <xdr:nvSpPr>
          <xdr:cNvPr id="242" name="Rounded Rectangle 34">
            <a:extLst>
              <a:ext uri="{FF2B5EF4-FFF2-40B4-BE49-F238E27FC236}">
                <a16:creationId xmlns:a16="http://schemas.microsoft.com/office/drawing/2014/main" id="{7C0FFD6E-D349-D5DB-5678-441574CAB5C0}"/>
              </a:ext>
            </a:extLst>
          </xdr:cNvPr>
          <xdr:cNvSpPr/>
        </xdr:nvSpPr>
        <xdr:spPr>
          <a:xfrm>
            <a:off x="2796380" y="3683644"/>
            <a:ext cx="438106" cy="438106"/>
          </a:xfrm>
          <a:custGeom>
            <a:avLst/>
            <a:gdLst/>
            <a:ahLst/>
            <a:cxnLst/>
            <a:rect l="0" t="0" r="0" b="0"/>
            <a:pathLst>
              <a:path w="438106" h="438106">
                <a:moveTo>
                  <a:pt x="0" y="219053"/>
                </a:moveTo>
                <a:cubicBezTo>
                  <a:pt x="0" y="340032"/>
                  <a:pt x="98073" y="438106"/>
                  <a:pt x="219053" y="438106"/>
                </a:cubicBezTo>
                <a:cubicBezTo>
                  <a:pt x="340032" y="438106"/>
                  <a:pt x="438106" y="340032"/>
                  <a:pt x="438106" y="219053"/>
                </a:cubicBezTo>
                <a:cubicBezTo>
                  <a:pt x="438106" y="98073"/>
                  <a:pt x="340032" y="0"/>
                  <a:pt x="219053" y="0"/>
                </a:cubicBezTo>
                <a:cubicBezTo>
                  <a:pt x="98073" y="0"/>
                  <a:pt x="0" y="98073"/>
                  <a:pt x="0" y="219053"/>
                </a:cubicBezTo>
                <a:close/>
                <a:moveTo>
                  <a:pt x="245987" y="245987"/>
                </a:moveTo>
                <a:cubicBezTo>
                  <a:pt x="231038" y="260424"/>
                  <a:pt x="207278" y="260218"/>
                  <a:pt x="192583" y="245523"/>
                </a:cubicBezTo>
                <a:cubicBezTo>
                  <a:pt x="177888" y="230828"/>
                  <a:pt x="177681" y="207067"/>
                  <a:pt x="192119" y="192119"/>
                </a:cubicBezTo>
                <a:cubicBezTo>
                  <a:pt x="206995" y="177242"/>
                  <a:pt x="347018" y="91164"/>
                  <a:pt x="347018" y="91164"/>
                </a:cubicBezTo>
                <a:cubicBezTo>
                  <a:pt x="347018" y="91164"/>
                  <a:pt x="260958" y="231110"/>
                  <a:pt x="245987" y="245987"/>
                </a:cubicBezTo>
                <a:close/>
                <a:moveTo>
                  <a:pt x="85716" y="219053"/>
                </a:moveTo>
                <a:lnTo>
                  <a:pt x="57144" y="219053"/>
                </a:lnTo>
                <a:moveTo>
                  <a:pt x="124765" y="124765"/>
                </a:moveTo>
                <a:lnTo>
                  <a:pt x="104574" y="104574"/>
                </a:lnTo>
                <a:moveTo>
                  <a:pt x="219053" y="85716"/>
                </a:moveTo>
                <a:lnTo>
                  <a:pt x="219053" y="57144"/>
                </a:lnTo>
                <a:moveTo>
                  <a:pt x="380961" y="219053"/>
                </a:moveTo>
                <a:lnTo>
                  <a:pt x="352389" y="219053"/>
                </a:lnTo>
                <a:moveTo>
                  <a:pt x="383495" y="363818"/>
                </a:moveTo>
                <a:cubicBezTo>
                  <a:pt x="335217" y="330502"/>
                  <a:pt x="277700" y="313180"/>
                  <a:pt x="219053" y="314293"/>
                </a:cubicBezTo>
                <a:cubicBezTo>
                  <a:pt x="160406" y="313180"/>
                  <a:pt x="102888" y="330502"/>
                  <a:pt x="54610" y="363818"/>
                </a:cubicBezTo>
              </a:path>
            </a:pathLst>
          </a:custGeom>
          <a:noFill/>
          <a:ln w="14287">
            <a:solidFill>
              <a:srgbClr val="484848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</xdr:grpSp>
    <xdr:clientData/>
  </xdr:twoCellAnchor>
  <xdr:twoCellAnchor>
    <xdr:from>
      <xdr:col>0</xdr:col>
      <xdr:colOff>0</xdr:colOff>
      <xdr:row>0</xdr:row>
      <xdr:rowOff>2117</xdr:rowOff>
    </xdr:from>
    <xdr:to>
      <xdr:col>27</xdr:col>
      <xdr:colOff>434975</xdr:colOff>
      <xdr:row>6</xdr:row>
      <xdr:rowOff>23812</xdr:rowOff>
    </xdr:to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EA301A27-64AF-7EEA-F13E-41DB8BE87080}"/>
            </a:ext>
          </a:extLst>
        </xdr:cNvPr>
        <xdr:cNvSpPr/>
      </xdr:nvSpPr>
      <xdr:spPr>
        <a:xfrm>
          <a:off x="0" y="2117"/>
          <a:ext cx="22937788" cy="1164695"/>
        </a:xfrm>
        <a:prstGeom prst="rect">
          <a:avLst/>
        </a:prstGeom>
        <a:gradFill flip="none" rotWithShape="1">
          <a:gsLst>
            <a:gs pos="0">
              <a:schemeClr val="accent4">
                <a:lumMod val="75000"/>
              </a:schemeClr>
            </a:gs>
            <a:gs pos="50000">
              <a:schemeClr val="accent4">
                <a:lumMod val="60000"/>
                <a:lumOff val="40000"/>
              </a:schemeClr>
            </a:gs>
            <a:gs pos="100000">
              <a:schemeClr val="accent4">
                <a:lumMod val="75000"/>
              </a:schemeClr>
            </a:gs>
          </a:gsLst>
          <a:lin ang="27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6000" b="1"/>
            <a:t>KPI</a:t>
          </a:r>
          <a:r>
            <a:rPr lang="en-US" sz="6000" b="1" baseline="0"/>
            <a:t> Dashboard</a:t>
          </a:r>
          <a:endParaRPr lang="en-US" sz="6000" b="1"/>
        </a:p>
      </xdr:txBody>
    </xdr:sp>
    <xdr:clientData/>
  </xdr:twoCellAnchor>
  <xdr:twoCellAnchor>
    <xdr:from>
      <xdr:col>17</xdr:col>
      <xdr:colOff>342898</xdr:colOff>
      <xdr:row>31</xdr:row>
      <xdr:rowOff>31751</xdr:rowOff>
    </xdr:from>
    <xdr:to>
      <xdr:col>25</xdr:col>
      <xdr:colOff>63500</xdr:colOff>
      <xdr:row>58</xdr:row>
      <xdr:rowOff>130176</xdr:rowOff>
    </xdr:to>
    <xdr:grpSp>
      <xdr:nvGrpSpPr>
        <xdr:cNvPr id="598" name="Group 597">
          <a:extLst>
            <a:ext uri="{FF2B5EF4-FFF2-40B4-BE49-F238E27FC236}">
              <a16:creationId xmlns:a16="http://schemas.microsoft.com/office/drawing/2014/main" id="{D7618BCB-EB05-1FF0-51A7-50414192EEEA}"/>
            </a:ext>
          </a:extLst>
        </xdr:cNvPr>
        <xdr:cNvGrpSpPr/>
      </xdr:nvGrpSpPr>
      <xdr:grpSpPr>
        <a:xfrm>
          <a:off x="14511336" y="5937251"/>
          <a:ext cx="6388102" cy="5241925"/>
          <a:chOff x="2201175" y="1121032"/>
          <a:chExt cx="4020532" cy="4941585"/>
        </a:xfrm>
      </xdr:grpSpPr>
      <xdr:sp macro="" textlink="">
        <xdr:nvSpPr>
          <xdr:cNvPr id="599" name="Rounded Rectangle 1">
            <a:extLst>
              <a:ext uri="{FF2B5EF4-FFF2-40B4-BE49-F238E27FC236}">
                <a16:creationId xmlns:a16="http://schemas.microsoft.com/office/drawing/2014/main" id="{EF642BDB-D004-3180-1367-66265C76D9A3}"/>
              </a:ext>
            </a:extLst>
          </xdr:cNvPr>
          <xdr:cNvSpPr/>
        </xdr:nvSpPr>
        <xdr:spPr>
          <a:xfrm>
            <a:off x="3063217" y="3799299"/>
            <a:ext cx="3017520" cy="1531620"/>
          </a:xfrm>
          <a:custGeom>
            <a:avLst/>
            <a:gdLst/>
            <a:ahLst/>
            <a:cxnLst/>
            <a:rect l="0" t="0" r="0" b="0"/>
            <a:pathLst>
              <a:path w="3017520" h="1531620">
                <a:moveTo>
                  <a:pt x="0" y="342900"/>
                </a:moveTo>
                <a:lnTo>
                  <a:pt x="274320" y="167640"/>
                </a:lnTo>
                <a:lnTo>
                  <a:pt x="548640" y="594360"/>
                </a:lnTo>
                <a:lnTo>
                  <a:pt x="822960" y="548640"/>
                </a:lnTo>
                <a:lnTo>
                  <a:pt x="1097280" y="0"/>
                </a:lnTo>
                <a:lnTo>
                  <a:pt x="1371600" y="845820"/>
                </a:lnTo>
                <a:lnTo>
                  <a:pt x="1645920" y="1066800"/>
                </a:lnTo>
                <a:lnTo>
                  <a:pt x="1920240" y="1531620"/>
                </a:lnTo>
                <a:lnTo>
                  <a:pt x="2194560" y="929640"/>
                </a:lnTo>
                <a:lnTo>
                  <a:pt x="2468880" y="563880"/>
                </a:lnTo>
                <a:lnTo>
                  <a:pt x="2743200" y="91440"/>
                </a:lnTo>
                <a:lnTo>
                  <a:pt x="3017520" y="160020"/>
                </a:lnTo>
              </a:path>
            </a:pathLst>
          </a:custGeom>
          <a:noFill/>
          <a:ln w="11430">
            <a:solidFill>
              <a:srgbClr val="4F92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00" name="Rounded Rectangle 2">
            <a:extLst>
              <a:ext uri="{FF2B5EF4-FFF2-40B4-BE49-F238E27FC236}">
                <a16:creationId xmlns:a16="http://schemas.microsoft.com/office/drawing/2014/main" id="{71AA7009-3DE1-0E8D-DAD5-B5F5887AEE5F}"/>
              </a:ext>
            </a:extLst>
          </xdr:cNvPr>
          <xdr:cNvSpPr/>
        </xdr:nvSpPr>
        <xdr:spPr>
          <a:xfrm>
            <a:off x="3033432" y="4112411"/>
            <a:ext cx="59573" cy="59573"/>
          </a:xfrm>
          <a:custGeom>
            <a:avLst/>
            <a:gdLst/>
            <a:ahLst/>
            <a:cxnLst/>
            <a:rect l="0" t="0" r="0" b="0"/>
            <a:pathLst>
              <a:path w="59573" h="59573">
                <a:moveTo>
                  <a:pt x="0" y="29786"/>
                </a:moveTo>
                <a:cubicBezTo>
                  <a:pt x="0" y="46238"/>
                  <a:pt x="13335" y="59573"/>
                  <a:pt x="29786" y="59573"/>
                </a:cubicBezTo>
                <a:cubicBezTo>
                  <a:pt x="46238" y="59573"/>
                  <a:pt x="59573" y="46238"/>
                  <a:pt x="59573" y="29786"/>
                </a:cubicBezTo>
                <a:cubicBezTo>
                  <a:pt x="59573" y="13335"/>
                  <a:pt x="46238" y="0"/>
                  <a:pt x="29786" y="0"/>
                </a:cubicBezTo>
                <a:cubicBezTo>
                  <a:pt x="13335" y="0"/>
                  <a:pt x="0" y="13335"/>
                  <a:pt x="0" y="29786"/>
                </a:cubicBezTo>
              </a:path>
            </a:pathLst>
          </a:custGeom>
          <a:solidFill>
            <a:srgbClr val="4E88E7"/>
          </a:solidFill>
          <a:ln>
            <a:noFill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01" name="Rounded Rectangle 3">
            <a:extLst>
              <a:ext uri="{FF2B5EF4-FFF2-40B4-BE49-F238E27FC236}">
                <a16:creationId xmlns:a16="http://schemas.microsoft.com/office/drawing/2014/main" id="{C124B5EC-9631-A8A9-D0B9-56F9959148F5}"/>
              </a:ext>
            </a:extLst>
          </xdr:cNvPr>
          <xdr:cNvSpPr/>
        </xdr:nvSpPr>
        <xdr:spPr>
          <a:xfrm>
            <a:off x="3033432" y="4112413"/>
            <a:ext cx="59570" cy="59570"/>
          </a:xfrm>
          <a:custGeom>
            <a:avLst/>
            <a:gdLst/>
            <a:ahLst/>
            <a:cxnLst/>
            <a:rect l="0" t="0" r="0" b="0"/>
            <a:pathLst>
              <a:path w="59570" h="59570">
                <a:moveTo>
                  <a:pt x="0" y="29785"/>
                </a:moveTo>
                <a:cubicBezTo>
                  <a:pt x="0" y="46235"/>
                  <a:pt x="13335" y="59570"/>
                  <a:pt x="29785" y="59570"/>
                </a:cubicBezTo>
                <a:cubicBezTo>
                  <a:pt x="46235" y="59570"/>
                  <a:pt x="59570" y="46235"/>
                  <a:pt x="59570" y="29785"/>
                </a:cubicBezTo>
                <a:cubicBezTo>
                  <a:pt x="59570" y="13335"/>
                  <a:pt x="46235" y="0"/>
                  <a:pt x="29785" y="0"/>
                </a:cubicBezTo>
                <a:cubicBezTo>
                  <a:pt x="13335" y="0"/>
                  <a:pt x="0" y="13335"/>
                  <a:pt x="0" y="29785"/>
                </a:cubicBezTo>
              </a:path>
            </a:pathLst>
          </a:custGeom>
          <a:noFill/>
          <a:ln w="11430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02" name="Rounded Rectangle 4">
            <a:extLst>
              <a:ext uri="{FF2B5EF4-FFF2-40B4-BE49-F238E27FC236}">
                <a16:creationId xmlns:a16="http://schemas.microsoft.com/office/drawing/2014/main" id="{DEADC54F-BB84-962F-1208-C877E82EADEF}"/>
              </a:ext>
            </a:extLst>
          </xdr:cNvPr>
          <xdr:cNvSpPr/>
        </xdr:nvSpPr>
        <xdr:spPr>
          <a:xfrm>
            <a:off x="3307752" y="3937151"/>
            <a:ext cx="59573" cy="59573"/>
          </a:xfrm>
          <a:custGeom>
            <a:avLst/>
            <a:gdLst/>
            <a:ahLst/>
            <a:cxnLst/>
            <a:rect l="0" t="0" r="0" b="0"/>
            <a:pathLst>
              <a:path w="59573" h="59573">
                <a:moveTo>
                  <a:pt x="0" y="29786"/>
                </a:moveTo>
                <a:cubicBezTo>
                  <a:pt x="0" y="46238"/>
                  <a:pt x="13335" y="59573"/>
                  <a:pt x="29786" y="59573"/>
                </a:cubicBezTo>
                <a:cubicBezTo>
                  <a:pt x="46238" y="59573"/>
                  <a:pt x="59573" y="46238"/>
                  <a:pt x="59573" y="29786"/>
                </a:cubicBezTo>
                <a:cubicBezTo>
                  <a:pt x="59573" y="13335"/>
                  <a:pt x="46238" y="0"/>
                  <a:pt x="29786" y="0"/>
                </a:cubicBezTo>
                <a:cubicBezTo>
                  <a:pt x="13335" y="0"/>
                  <a:pt x="0" y="13335"/>
                  <a:pt x="0" y="29786"/>
                </a:cubicBezTo>
              </a:path>
            </a:pathLst>
          </a:custGeom>
          <a:solidFill>
            <a:srgbClr val="4E88E7"/>
          </a:solidFill>
          <a:ln>
            <a:noFill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03" name="Rounded Rectangle 5">
            <a:extLst>
              <a:ext uri="{FF2B5EF4-FFF2-40B4-BE49-F238E27FC236}">
                <a16:creationId xmlns:a16="http://schemas.microsoft.com/office/drawing/2014/main" id="{DD8F9828-754F-47E9-41B1-E9B65E2E0E7F}"/>
              </a:ext>
            </a:extLst>
          </xdr:cNvPr>
          <xdr:cNvSpPr/>
        </xdr:nvSpPr>
        <xdr:spPr>
          <a:xfrm>
            <a:off x="3307752" y="3937153"/>
            <a:ext cx="59570" cy="59570"/>
          </a:xfrm>
          <a:custGeom>
            <a:avLst/>
            <a:gdLst/>
            <a:ahLst/>
            <a:cxnLst/>
            <a:rect l="0" t="0" r="0" b="0"/>
            <a:pathLst>
              <a:path w="59570" h="59570">
                <a:moveTo>
                  <a:pt x="0" y="29785"/>
                </a:moveTo>
                <a:cubicBezTo>
                  <a:pt x="0" y="46235"/>
                  <a:pt x="13335" y="59570"/>
                  <a:pt x="29785" y="59570"/>
                </a:cubicBezTo>
                <a:cubicBezTo>
                  <a:pt x="46235" y="59570"/>
                  <a:pt x="59570" y="46235"/>
                  <a:pt x="59570" y="29785"/>
                </a:cubicBezTo>
                <a:cubicBezTo>
                  <a:pt x="59570" y="13335"/>
                  <a:pt x="46235" y="0"/>
                  <a:pt x="29785" y="0"/>
                </a:cubicBezTo>
                <a:cubicBezTo>
                  <a:pt x="13335" y="0"/>
                  <a:pt x="0" y="13335"/>
                  <a:pt x="0" y="29785"/>
                </a:cubicBezTo>
              </a:path>
            </a:pathLst>
          </a:custGeom>
          <a:noFill/>
          <a:ln w="11430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04" name="Rounded Rectangle 6">
            <a:extLst>
              <a:ext uri="{FF2B5EF4-FFF2-40B4-BE49-F238E27FC236}">
                <a16:creationId xmlns:a16="http://schemas.microsoft.com/office/drawing/2014/main" id="{41359CAD-DE53-6A82-139B-0F8618974C95}"/>
              </a:ext>
            </a:extLst>
          </xdr:cNvPr>
          <xdr:cNvSpPr/>
        </xdr:nvSpPr>
        <xdr:spPr>
          <a:xfrm>
            <a:off x="3582072" y="4363871"/>
            <a:ext cx="59573" cy="59573"/>
          </a:xfrm>
          <a:custGeom>
            <a:avLst/>
            <a:gdLst/>
            <a:ahLst/>
            <a:cxnLst/>
            <a:rect l="0" t="0" r="0" b="0"/>
            <a:pathLst>
              <a:path w="59573" h="59573">
                <a:moveTo>
                  <a:pt x="0" y="29786"/>
                </a:moveTo>
                <a:cubicBezTo>
                  <a:pt x="0" y="46238"/>
                  <a:pt x="13335" y="59573"/>
                  <a:pt x="29786" y="59573"/>
                </a:cubicBezTo>
                <a:cubicBezTo>
                  <a:pt x="46238" y="59573"/>
                  <a:pt x="59573" y="46238"/>
                  <a:pt x="59573" y="29786"/>
                </a:cubicBezTo>
                <a:cubicBezTo>
                  <a:pt x="59573" y="13335"/>
                  <a:pt x="46238" y="0"/>
                  <a:pt x="29786" y="0"/>
                </a:cubicBezTo>
                <a:cubicBezTo>
                  <a:pt x="13335" y="0"/>
                  <a:pt x="0" y="13335"/>
                  <a:pt x="0" y="29786"/>
                </a:cubicBezTo>
              </a:path>
            </a:pathLst>
          </a:custGeom>
          <a:solidFill>
            <a:srgbClr val="4E88E7"/>
          </a:solidFill>
          <a:ln>
            <a:noFill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05" name="Rounded Rectangle 7">
            <a:extLst>
              <a:ext uri="{FF2B5EF4-FFF2-40B4-BE49-F238E27FC236}">
                <a16:creationId xmlns:a16="http://schemas.microsoft.com/office/drawing/2014/main" id="{CFA9DF65-A443-B43E-7652-DDA558905DE5}"/>
              </a:ext>
            </a:extLst>
          </xdr:cNvPr>
          <xdr:cNvSpPr/>
        </xdr:nvSpPr>
        <xdr:spPr>
          <a:xfrm>
            <a:off x="3582072" y="4363873"/>
            <a:ext cx="59570" cy="59570"/>
          </a:xfrm>
          <a:custGeom>
            <a:avLst/>
            <a:gdLst/>
            <a:ahLst/>
            <a:cxnLst/>
            <a:rect l="0" t="0" r="0" b="0"/>
            <a:pathLst>
              <a:path w="59570" h="59570">
                <a:moveTo>
                  <a:pt x="0" y="29785"/>
                </a:moveTo>
                <a:cubicBezTo>
                  <a:pt x="0" y="46235"/>
                  <a:pt x="13335" y="59570"/>
                  <a:pt x="29785" y="59570"/>
                </a:cubicBezTo>
                <a:cubicBezTo>
                  <a:pt x="46235" y="59570"/>
                  <a:pt x="59570" y="46235"/>
                  <a:pt x="59570" y="29785"/>
                </a:cubicBezTo>
                <a:cubicBezTo>
                  <a:pt x="59570" y="13335"/>
                  <a:pt x="46235" y="0"/>
                  <a:pt x="29785" y="0"/>
                </a:cubicBezTo>
                <a:cubicBezTo>
                  <a:pt x="13335" y="0"/>
                  <a:pt x="0" y="13335"/>
                  <a:pt x="0" y="29785"/>
                </a:cubicBezTo>
              </a:path>
            </a:pathLst>
          </a:custGeom>
          <a:noFill/>
          <a:ln w="11430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06" name="Rounded Rectangle 8">
            <a:extLst>
              <a:ext uri="{FF2B5EF4-FFF2-40B4-BE49-F238E27FC236}">
                <a16:creationId xmlns:a16="http://schemas.microsoft.com/office/drawing/2014/main" id="{86C78E68-116F-827A-6DA8-35A5BF31FE5E}"/>
              </a:ext>
            </a:extLst>
          </xdr:cNvPr>
          <xdr:cNvSpPr/>
        </xdr:nvSpPr>
        <xdr:spPr>
          <a:xfrm>
            <a:off x="3856392" y="4318151"/>
            <a:ext cx="59573" cy="59573"/>
          </a:xfrm>
          <a:custGeom>
            <a:avLst/>
            <a:gdLst/>
            <a:ahLst/>
            <a:cxnLst/>
            <a:rect l="0" t="0" r="0" b="0"/>
            <a:pathLst>
              <a:path w="59573" h="59573">
                <a:moveTo>
                  <a:pt x="0" y="29786"/>
                </a:moveTo>
                <a:cubicBezTo>
                  <a:pt x="0" y="46238"/>
                  <a:pt x="13335" y="59573"/>
                  <a:pt x="29786" y="59573"/>
                </a:cubicBezTo>
                <a:cubicBezTo>
                  <a:pt x="46238" y="59573"/>
                  <a:pt x="59573" y="46238"/>
                  <a:pt x="59573" y="29786"/>
                </a:cubicBezTo>
                <a:cubicBezTo>
                  <a:pt x="59573" y="13335"/>
                  <a:pt x="46238" y="0"/>
                  <a:pt x="29786" y="0"/>
                </a:cubicBezTo>
                <a:cubicBezTo>
                  <a:pt x="13335" y="0"/>
                  <a:pt x="0" y="13335"/>
                  <a:pt x="0" y="29786"/>
                </a:cubicBezTo>
              </a:path>
            </a:pathLst>
          </a:custGeom>
          <a:solidFill>
            <a:srgbClr val="4E88E7"/>
          </a:solidFill>
          <a:ln>
            <a:noFill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07" name="Rounded Rectangle 9">
            <a:extLst>
              <a:ext uri="{FF2B5EF4-FFF2-40B4-BE49-F238E27FC236}">
                <a16:creationId xmlns:a16="http://schemas.microsoft.com/office/drawing/2014/main" id="{3D32547B-98E0-98F0-0F71-B43863E03A82}"/>
              </a:ext>
            </a:extLst>
          </xdr:cNvPr>
          <xdr:cNvSpPr/>
        </xdr:nvSpPr>
        <xdr:spPr>
          <a:xfrm>
            <a:off x="3856392" y="4318153"/>
            <a:ext cx="59570" cy="59570"/>
          </a:xfrm>
          <a:custGeom>
            <a:avLst/>
            <a:gdLst/>
            <a:ahLst/>
            <a:cxnLst/>
            <a:rect l="0" t="0" r="0" b="0"/>
            <a:pathLst>
              <a:path w="59570" h="59570">
                <a:moveTo>
                  <a:pt x="0" y="29785"/>
                </a:moveTo>
                <a:cubicBezTo>
                  <a:pt x="0" y="46235"/>
                  <a:pt x="13335" y="59570"/>
                  <a:pt x="29785" y="59570"/>
                </a:cubicBezTo>
                <a:cubicBezTo>
                  <a:pt x="46235" y="59570"/>
                  <a:pt x="59570" y="46235"/>
                  <a:pt x="59570" y="29785"/>
                </a:cubicBezTo>
                <a:cubicBezTo>
                  <a:pt x="59570" y="13335"/>
                  <a:pt x="46235" y="0"/>
                  <a:pt x="29785" y="0"/>
                </a:cubicBezTo>
                <a:cubicBezTo>
                  <a:pt x="13335" y="0"/>
                  <a:pt x="0" y="13335"/>
                  <a:pt x="0" y="29785"/>
                </a:cubicBezTo>
              </a:path>
            </a:pathLst>
          </a:custGeom>
          <a:noFill/>
          <a:ln w="11430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08" name="Rounded Rectangle 10">
            <a:extLst>
              <a:ext uri="{FF2B5EF4-FFF2-40B4-BE49-F238E27FC236}">
                <a16:creationId xmlns:a16="http://schemas.microsoft.com/office/drawing/2014/main" id="{C3846D2F-BFA5-80B5-9C41-E657A345EA6A}"/>
              </a:ext>
            </a:extLst>
          </xdr:cNvPr>
          <xdr:cNvSpPr/>
        </xdr:nvSpPr>
        <xdr:spPr>
          <a:xfrm>
            <a:off x="4130712" y="3769511"/>
            <a:ext cx="59573" cy="59573"/>
          </a:xfrm>
          <a:custGeom>
            <a:avLst/>
            <a:gdLst/>
            <a:ahLst/>
            <a:cxnLst/>
            <a:rect l="0" t="0" r="0" b="0"/>
            <a:pathLst>
              <a:path w="59573" h="59573">
                <a:moveTo>
                  <a:pt x="0" y="29786"/>
                </a:moveTo>
                <a:cubicBezTo>
                  <a:pt x="0" y="46238"/>
                  <a:pt x="13335" y="59573"/>
                  <a:pt x="29786" y="59573"/>
                </a:cubicBezTo>
                <a:cubicBezTo>
                  <a:pt x="46238" y="59573"/>
                  <a:pt x="59573" y="46238"/>
                  <a:pt x="59573" y="29786"/>
                </a:cubicBezTo>
                <a:cubicBezTo>
                  <a:pt x="59573" y="13335"/>
                  <a:pt x="46238" y="0"/>
                  <a:pt x="29786" y="0"/>
                </a:cubicBezTo>
                <a:cubicBezTo>
                  <a:pt x="13335" y="0"/>
                  <a:pt x="0" y="13335"/>
                  <a:pt x="0" y="29786"/>
                </a:cubicBezTo>
              </a:path>
            </a:pathLst>
          </a:custGeom>
          <a:solidFill>
            <a:srgbClr val="4E88E7"/>
          </a:solidFill>
          <a:ln>
            <a:noFill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09" name="Rounded Rectangle 11">
            <a:extLst>
              <a:ext uri="{FF2B5EF4-FFF2-40B4-BE49-F238E27FC236}">
                <a16:creationId xmlns:a16="http://schemas.microsoft.com/office/drawing/2014/main" id="{8AB787E1-C6D3-A1DA-D5EB-00EACE6DB4FE}"/>
              </a:ext>
            </a:extLst>
          </xdr:cNvPr>
          <xdr:cNvSpPr/>
        </xdr:nvSpPr>
        <xdr:spPr>
          <a:xfrm>
            <a:off x="4130712" y="3769513"/>
            <a:ext cx="59570" cy="59570"/>
          </a:xfrm>
          <a:custGeom>
            <a:avLst/>
            <a:gdLst/>
            <a:ahLst/>
            <a:cxnLst/>
            <a:rect l="0" t="0" r="0" b="0"/>
            <a:pathLst>
              <a:path w="59570" h="59570">
                <a:moveTo>
                  <a:pt x="0" y="29785"/>
                </a:moveTo>
                <a:cubicBezTo>
                  <a:pt x="0" y="46235"/>
                  <a:pt x="13335" y="59570"/>
                  <a:pt x="29785" y="59570"/>
                </a:cubicBezTo>
                <a:cubicBezTo>
                  <a:pt x="46235" y="59570"/>
                  <a:pt x="59570" y="46235"/>
                  <a:pt x="59570" y="29785"/>
                </a:cubicBezTo>
                <a:cubicBezTo>
                  <a:pt x="59570" y="13335"/>
                  <a:pt x="46235" y="0"/>
                  <a:pt x="29785" y="0"/>
                </a:cubicBezTo>
                <a:cubicBezTo>
                  <a:pt x="13335" y="0"/>
                  <a:pt x="0" y="13335"/>
                  <a:pt x="0" y="29785"/>
                </a:cubicBezTo>
              </a:path>
            </a:pathLst>
          </a:custGeom>
          <a:noFill/>
          <a:ln w="11430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10" name="Rounded Rectangle 12">
            <a:extLst>
              <a:ext uri="{FF2B5EF4-FFF2-40B4-BE49-F238E27FC236}">
                <a16:creationId xmlns:a16="http://schemas.microsoft.com/office/drawing/2014/main" id="{F5F0D396-0EEE-A5DE-7D2C-180B3D5170C5}"/>
              </a:ext>
            </a:extLst>
          </xdr:cNvPr>
          <xdr:cNvSpPr/>
        </xdr:nvSpPr>
        <xdr:spPr>
          <a:xfrm>
            <a:off x="4405032" y="4615331"/>
            <a:ext cx="59573" cy="59573"/>
          </a:xfrm>
          <a:custGeom>
            <a:avLst/>
            <a:gdLst/>
            <a:ahLst/>
            <a:cxnLst/>
            <a:rect l="0" t="0" r="0" b="0"/>
            <a:pathLst>
              <a:path w="59573" h="59573">
                <a:moveTo>
                  <a:pt x="0" y="29786"/>
                </a:moveTo>
                <a:cubicBezTo>
                  <a:pt x="0" y="46238"/>
                  <a:pt x="13335" y="59573"/>
                  <a:pt x="29786" y="59573"/>
                </a:cubicBezTo>
                <a:cubicBezTo>
                  <a:pt x="46238" y="59573"/>
                  <a:pt x="59573" y="46238"/>
                  <a:pt x="59573" y="29786"/>
                </a:cubicBezTo>
                <a:cubicBezTo>
                  <a:pt x="59573" y="13335"/>
                  <a:pt x="46238" y="0"/>
                  <a:pt x="29786" y="0"/>
                </a:cubicBezTo>
                <a:cubicBezTo>
                  <a:pt x="13335" y="0"/>
                  <a:pt x="0" y="13335"/>
                  <a:pt x="0" y="29786"/>
                </a:cubicBezTo>
              </a:path>
            </a:pathLst>
          </a:custGeom>
          <a:solidFill>
            <a:srgbClr val="4E88E7"/>
          </a:solidFill>
          <a:ln>
            <a:noFill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11" name="Rounded Rectangle 13">
            <a:extLst>
              <a:ext uri="{FF2B5EF4-FFF2-40B4-BE49-F238E27FC236}">
                <a16:creationId xmlns:a16="http://schemas.microsoft.com/office/drawing/2014/main" id="{2A06F569-A24B-A161-042C-CE07F67215EA}"/>
              </a:ext>
            </a:extLst>
          </xdr:cNvPr>
          <xdr:cNvSpPr/>
        </xdr:nvSpPr>
        <xdr:spPr>
          <a:xfrm>
            <a:off x="4405032" y="4615333"/>
            <a:ext cx="59570" cy="59570"/>
          </a:xfrm>
          <a:custGeom>
            <a:avLst/>
            <a:gdLst/>
            <a:ahLst/>
            <a:cxnLst/>
            <a:rect l="0" t="0" r="0" b="0"/>
            <a:pathLst>
              <a:path w="59570" h="59570">
                <a:moveTo>
                  <a:pt x="0" y="29785"/>
                </a:moveTo>
                <a:cubicBezTo>
                  <a:pt x="0" y="46235"/>
                  <a:pt x="13335" y="59570"/>
                  <a:pt x="29785" y="59570"/>
                </a:cubicBezTo>
                <a:cubicBezTo>
                  <a:pt x="46235" y="59570"/>
                  <a:pt x="59570" y="46235"/>
                  <a:pt x="59570" y="29785"/>
                </a:cubicBezTo>
                <a:cubicBezTo>
                  <a:pt x="59570" y="13335"/>
                  <a:pt x="46235" y="0"/>
                  <a:pt x="29785" y="0"/>
                </a:cubicBezTo>
                <a:cubicBezTo>
                  <a:pt x="13335" y="0"/>
                  <a:pt x="0" y="13335"/>
                  <a:pt x="0" y="29785"/>
                </a:cubicBezTo>
              </a:path>
            </a:pathLst>
          </a:custGeom>
          <a:noFill/>
          <a:ln w="11430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12" name="Rounded Rectangle 14">
            <a:extLst>
              <a:ext uri="{FF2B5EF4-FFF2-40B4-BE49-F238E27FC236}">
                <a16:creationId xmlns:a16="http://schemas.microsoft.com/office/drawing/2014/main" id="{7832B0AC-ED5A-7CF7-DDC8-C4D1027408C1}"/>
              </a:ext>
            </a:extLst>
          </xdr:cNvPr>
          <xdr:cNvSpPr/>
        </xdr:nvSpPr>
        <xdr:spPr>
          <a:xfrm>
            <a:off x="4679352" y="4836311"/>
            <a:ext cx="59573" cy="59573"/>
          </a:xfrm>
          <a:custGeom>
            <a:avLst/>
            <a:gdLst/>
            <a:ahLst/>
            <a:cxnLst/>
            <a:rect l="0" t="0" r="0" b="0"/>
            <a:pathLst>
              <a:path w="59573" h="59573">
                <a:moveTo>
                  <a:pt x="0" y="29786"/>
                </a:moveTo>
                <a:cubicBezTo>
                  <a:pt x="0" y="46238"/>
                  <a:pt x="13335" y="59573"/>
                  <a:pt x="29786" y="59573"/>
                </a:cubicBezTo>
                <a:cubicBezTo>
                  <a:pt x="46238" y="59573"/>
                  <a:pt x="59573" y="46238"/>
                  <a:pt x="59573" y="29786"/>
                </a:cubicBezTo>
                <a:cubicBezTo>
                  <a:pt x="59573" y="13335"/>
                  <a:pt x="46238" y="0"/>
                  <a:pt x="29786" y="0"/>
                </a:cubicBezTo>
                <a:cubicBezTo>
                  <a:pt x="13335" y="0"/>
                  <a:pt x="0" y="13335"/>
                  <a:pt x="0" y="29786"/>
                </a:cubicBezTo>
              </a:path>
            </a:pathLst>
          </a:custGeom>
          <a:solidFill>
            <a:srgbClr val="4E88E7"/>
          </a:solidFill>
          <a:ln>
            <a:noFill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13" name="Rounded Rectangle 15">
            <a:extLst>
              <a:ext uri="{FF2B5EF4-FFF2-40B4-BE49-F238E27FC236}">
                <a16:creationId xmlns:a16="http://schemas.microsoft.com/office/drawing/2014/main" id="{A92AF489-40BA-28D6-D036-3B1A13690A63}"/>
              </a:ext>
            </a:extLst>
          </xdr:cNvPr>
          <xdr:cNvSpPr/>
        </xdr:nvSpPr>
        <xdr:spPr>
          <a:xfrm>
            <a:off x="4679352" y="4836313"/>
            <a:ext cx="59570" cy="59570"/>
          </a:xfrm>
          <a:custGeom>
            <a:avLst/>
            <a:gdLst/>
            <a:ahLst/>
            <a:cxnLst/>
            <a:rect l="0" t="0" r="0" b="0"/>
            <a:pathLst>
              <a:path w="59570" h="59570">
                <a:moveTo>
                  <a:pt x="0" y="29785"/>
                </a:moveTo>
                <a:cubicBezTo>
                  <a:pt x="0" y="46235"/>
                  <a:pt x="13335" y="59570"/>
                  <a:pt x="29785" y="59570"/>
                </a:cubicBezTo>
                <a:cubicBezTo>
                  <a:pt x="46235" y="59570"/>
                  <a:pt x="59570" y="46235"/>
                  <a:pt x="59570" y="29785"/>
                </a:cubicBezTo>
                <a:cubicBezTo>
                  <a:pt x="59570" y="13335"/>
                  <a:pt x="46235" y="0"/>
                  <a:pt x="29785" y="0"/>
                </a:cubicBezTo>
                <a:cubicBezTo>
                  <a:pt x="13335" y="0"/>
                  <a:pt x="0" y="13335"/>
                  <a:pt x="0" y="29785"/>
                </a:cubicBezTo>
              </a:path>
            </a:pathLst>
          </a:custGeom>
          <a:noFill/>
          <a:ln w="11430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14" name="Rounded Rectangle 16">
            <a:extLst>
              <a:ext uri="{FF2B5EF4-FFF2-40B4-BE49-F238E27FC236}">
                <a16:creationId xmlns:a16="http://schemas.microsoft.com/office/drawing/2014/main" id="{0BDEE22F-0B35-7303-29B0-EA36D6BBDB14}"/>
              </a:ext>
            </a:extLst>
          </xdr:cNvPr>
          <xdr:cNvSpPr/>
        </xdr:nvSpPr>
        <xdr:spPr>
          <a:xfrm>
            <a:off x="4953672" y="5301131"/>
            <a:ext cx="59573" cy="59573"/>
          </a:xfrm>
          <a:custGeom>
            <a:avLst/>
            <a:gdLst/>
            <a:ahLst/>
            <a:cxnLst/>
            <a:rect l="0" t="0" r="0" b="0"/>
            <a:pathLst>
              <a:path w="59573" h="59573">
                <a:moveTo>
                  <a:pt x="0" y="29786"/>
                </a:moveTo>
                <a:cubicBezTo>
                  <a:pt x="0" y="46238"/>
                  <a:pt x="13335" y="59573"/>
                  <a:pt x="29786" y="59573"/>
                </a:cubicBezTo>
                <a:cubicBezTo>
                  <a:pt x="46238" y="59573"/>
                  <a:pt x="59573" y="46238"/>
                  <a:pt x="59573" y="29786"/>
                </a:cubicBezTo>
                <a:cubicBezTo>
                  <a:pt x="59573" y="13335"/>
                  <a:pt x="46238" y="0"/>
                  <a:pt x="29786" y="0"/>
                </a:cubicBezTo>
                <a:cubicBezTo>
                  <a:pt x="13335" y="0"/>
                  <a:pt x="0" y="13335"/>
                  <a:pt x="0" y="29786"/>
                </a:cubicBezTo>
              </a:path>
            </a:pathLst>
          </a:custGeom>
          <a:solidFill>
            <a:srgbClr val="4E88E7"/>
          </a:solidFill>
          <a:ln>
            <a:noFill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15" name="Rounded Rectangle 17">
            <a:extLst>
              <a:ext uri="{FF2B5EF4-FFF2-40B4-BE49-F238E27FC236}">
                <a16:creationId xmlns:a16="http://schemas.microsoft.com/office/drawing/2014/main" id="{6E8B0D4D-E468-BF10-6AFC-3B798A31F061}"/>
              </a:ext>
            </a:extLst>
          </xdr:cNvPr>
          <xdr:cNvSpPr/>
        </xdr:nvSpPr>
        <xdr:spPr>
          <a:xfrm>
            <a:off x="4953672" y="5301133"/>
            <a:ext cx="59570" cy="59570"/>
          </a:xfrm>
          <a:custGeom>
            <a:avLst/>
            <a:gdLst/>
            <a:ahLst/>
            <a:cxnLst/>
            <a:rect l="0" t="0" r="0" b="0"/>
            <a:pathLst>
              <a:path w="59570" h="59570">
                <a:moveTo>
                  <a:pt x="0" y="29785"/>
                </a:moveTo>
                <a:cubicBezTo>
                  <a:pt x="0" y="46235"/>
                  <a:pt x="13335" y="59570"/>
                  <a:pt x="29785" y="59570"/>
                </a:cubicBezTo>
                <a:cubicBezTo>
                  <a:pt x="46235" y="59570"/>
                  <a:pt x="59570" y="46235"/>
                  <a:pt x="59570" y="29785"/>
                </a:cubicBezTo>
                <a:cubicBezTo>
                  <a:pt x="59570" y="13335"/>
                  <a:pt x="46235" y="0"/>
                  <a:pt x="29785" y="0"/>
                </a:cubicBezTo>
                <a:cubicBezTo>
                  <a:pt x="13335" y="0"/>
                  <a:pt x="0" y="13335"/>
                  <a:pt x="0" y="29785"/>
                </a:cubicBezTo>
              </a:path>
            </a:pathLst>
          </a:custGeom>
          <a:noFill/>
          <a:ln w="11430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16" name="Rounded Rectangle 18">
            <a:extLst>
              <a:ext uri="{FF2B5EF4-FFF2-40B4-BE49-F238E27FC236}">
                <a16:creationId xmlns:a16="http://schemas.microsoft.com/office/drawing/2014/main" id="{B99488F9-6EF3-8852-1818-2FE09A26446D}"/>
              </a:ext>
            </a:extLst>
          </xdr:cNvPr>
          <xdr:cNvSpPr/>
        </xdr:nvSpPr>
        <xdr:spPr>
          <a:xfrm>
            <a:off x="5227992" y="4699151"/>
            <a:ext cx="59573" cy="59573"/>
          </a:xfrm>
          <a:custGeom>
            <a:avLst/>
            <a:gdLst/>
            <a:ahLst/>
            <a:cxnLst/>
            <a:rect l="0" t="0" r="0" b="0"/>
            <a:pathLst>
              <a:path w="59573" h="59573">
                <a:moveTo>
                  <a:pt x="0" y="29786"/>
                </a:moveTo>
                <a:cubicBezTo>
                  <a:pt x="0" y="46238"/>
                  <a:pt x="13335" y="59573"/>
                  <a:pt x="29786" y="59573"/>
                </a:cubicBezTo>
                <a:cubicBezTo>
                  <a:pt x="46238" y="59573"/>
                  <a:pt x="59573" y="46238"/>
                  <a:pt x="59573" y="29786"/>
                </a:cubicBezTo>
                <a:cubicBezTo>
                  <a:pt x="59573" y="13335"/>
                  <a:pt x="46238" y="0"/>
                  <a:pt x="29786" y="0"/>
                </a:cubicBezTo>
                <a:cubicBezTo>
                  <a:pt x="13335" y="0"/>
                  <a:pt x="0" y="13335"/>
                  <a:pt x="0" y="29786"/>
                </a:cubicBezTo>
              </a:path>
            </a:pathLst>
          </a:custGeom>
          <a:solidFill>
            <a:srgbClr val="4E88E7"/>
          </a:solidFill>
          <a:ln>
            <a:noFill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17" name="Rounded Rectangle 19">
            <a:extLst>
              <a:ext uri="{FF2B5EF4-FFF2-40B4-BE49-F238E27FC236}">
                <a16:creationId xmlns:a16="http://schemas.microsoft.com/office/drawing/2014/main" id="{8F9E24A4-BF19-E46E-9860-F0B57BA2D5F6}"/>
              </a:ext>
            </a:extLst>
          </xdr:cNvPr>
          <xdr:cNvSpPr/>
        </xdr:nvSpPr>
        <xdr:spPr>
          <a:xfrm>
            <a:off x="5227992" y="4699153"/>
            <a:ext cx="59570" cy="59570"/>
          </a:xfrm>
          <a:custGeom>
            <a:avLst/>
            <a:gdLst/>
            <a:ahLst/>
            <a:cxnLst/>
            <a:rect l="0" t="0" r="0" b="0"/>
            <a:pathLst>
              <a:path w="59570" h="59570">
                <a:moveTo>
                  <a:pt x="0" y="29785"/>
                </a:moveTo>
                <a:cubicBezTo>
                  <a:pt x="0" y="46235"/>
                  <a:pt x="13335" y="59570"/>
                  <a:pt x="29785" y="59570"/>
                </a:cubicBezTo>
                <a:cubicBezTo>
                  <a:pt x="46235" y="59570"/>
                  <a:pt x="59570" y="46235"/>
                  <a:pt x="59570" y="29785"/>
                </a:cubicBezTo>
                <a:cubicBezTo>
                  <a:pt x="59570" y="13335"/>
                  <a:pt x="46235" y="0"/>
                  <a:pt x="29785" y="0"/>
                </a:cubicBezTo>
                <a:cubicBezTo>
                  <a:pt x="13335" y="0"/>
                  <a:pt x="0" y="13335"/>
                  <a:pt x="0" y="29785"/>
                </a:cubicBezTo>
              </a:path>
            </a:pathLst>
          </a:custGeom>
          <a:noFill/>
          <a:ln w="11430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18" name="Rounded Rectangle 20">
            <a:extLst>
              <a:ext uri="{FF2B5EF4-FFF2-40B4-BE49-F238E27FC236}">
                <a16:creationId xmlns:a16="http://schemas.microsoft.com/office/drawing/2014/main" id="{0DBD5F43-3B61-A76E-D806-1FF012A41738}"/>
              </a:ext>
            </a:extLst>
          </xdr:cNvPr>
          <xdr:cNvSpPr/>
        </xdr:nvSpPr>
        <xdr:spPr>
          <a:xfrm>
            <a:off x="5502312" y="4333391"/>
            <a:ext cx="59573" cy="59573"/>
          </a:xfrm>
          <a:custGeom>
            <a:avLst/>
            <a:gdLst/>
            <a:ahLst/>
            <a:cxnLst/>
            <a:rect l="0" t="0" r="0" b="0"/>
            <a:pathLst>
              <a:path w="59573" h="59573">
                <a:moveTo>
                  <a:pt x="0" y="29786"/>
                </a:moveTo>
                <a:cubicBezTo>
                  <a:pt x="0" y="46238"/>
                  <a:pt x="13335" y="59573"/>
                  <a:pt x="29786" y="59573"/>
                </a:cubicBezTo>
                <a:cubicBezTo>
                  <a:pt x="46238" y="59573"/>
                  <a:pt x="59573" y="46238"/>
                  <a:pt x="59573" y="29786"/>
                </a:cubicBezTo>
                <a:cubicBezTo>
                  <a:pt x="59573" y="13335"/>
                  <a:pt x="46238" y="0"/>
                  <a:pt x="29786" y="0"/>
                </a:cubicBezTo>
                <a:cubicBezTo>
                  <a:pt x="13335" y="0"/>
                  <a:pt x="0" y="13335"/>
                  <a:pt x="0" y="29786"/>
                </a:cubicBezTo>
              </a:path>
            </a:pathLst>
          </a:custGeom>
          <a:solidFill>
            <a:srgbClr val="4E88E7"/>
          </a:solidFill>
          <a:ln>
            <a:noFill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19" name="Rounded Rectangle 21">
            <a:extLst>
              <a:ext uri="{FF2B5EF4-FFF2-40B4-BE49-F238E27FC236}">
                <a16:creationId xmlns:a16="http://schemas.microsoft.com/office/drawing/2014/main" id="{D4EA56D6-2F62-9296-E107-D4A6C5A5DAE6}"/>
              </a:ext>
            </a:extLst>
          </xdr:cNvPr>
          <xdr:cNvSpPr/>
        </xdr:nvSpPr>
        <xdr:spPr>
          <a:xfrm>
            <a:off x="5502312" y="4333393"/>
            <a:ext cx="59570" cy="59570"/>
          </a:xfrm>
          <a:custGeom>
            <a:avLst/>
            <a:gdLst/>
            <a:ahLst/>
            <a:cxnLst/>
            <a:rect l="0" t="0" r="0" b="0"/>
            <a:pathLst>
              <a:path w="59570" h="59570">
                <a:moveTo>
                  <a:pt x="0" y="29785"/>
                </a:moveTo>
                <a:cubicBezTo>
                  <a:pt x="0" y="46235"/>
                  <a:pt x="13335" y="59570"/>
                  <a:pt x="29785" y="59570"/>
                </a:cubicBezTo>
                <a:cubicBezTo>
                  <a:pt x="46235" y="59570"/>
                  <a:pt x="59570" y="46235"/>
                  <a:pt x="59570" y="29785"/>
                </a:cubicBezTo>
                <a:cubicBezTo>
                  <a:pt x="59570" y="13335"/>
                  <a:pt x="46235" y="0"/>
                  <a:pt x="29785" y="0"/>
                </a:cubicBezTo>
                <a:cubicBezTo>
                  <a:pt x="13335" y="0"/>
                  <a:pt x="0" y="13335"/>
                  <a:pt x="0" y="29785"/>
                </a:cubicBezTo>
              </a:path>
            </a:pathLst>
          </a:custGeom>
          <a:noFill/>
          <a:ln w="11430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20" name="Rounded Rectangle 22">
            <a:extLst>
              <a:ext uri="{FF2B5EF4-FFF2-40B4-BE49-F238E27FC236}">
                <a16:creationId xmlns:a16="http://schemas.microsoft.com/office/drawing/2014/main" id="{65CD2F3C-464A-42A2-38C1-362F979A28A4}"/>
              </a:ext>
            </a:extLst>
          </xdr:cNvPr>
          <xdr:cNvSpPr/>
        </xdr:nvSpPr>
        <xdr:spPr>
          <a:xfrm>
            <a:off x="5776632" y="3860951"/>
            <a:ext cx="59573" cy="59573"/>
          </a:xfrm>
          <a:custGeom>
            <a:avLst/>
            <a:gdLst/>
            <a:ahLst/>
            <a:cxnLst/>
            <a:rect l="0" t="0" r="0" b="0"/>
            <a:pathLst>
              <a:path w="59573" h="59573">
                <a:moveTo>
                  <a:pt x="0" y="29786"/>
                </a:moveTo>
                <a:cubicBezTo>
                  <a:pt x="0" y="46238"/>
                  <a:pt x="13335" y="59573"/>
                  <a:pt x="29786" y="59573"/>
                </a:cubicBezTo>
                <a:cubicBezTo>
                  <a:pt x="46238" y="59573"/>
                  <a:pt x="59573" y="46238"/>
                  <a:pt x="59573" y="29786"/>
                </a:cubicBezTo>
                <a:cubicBezTo>
                  <a:pt x="59573" y="13335"/>
                  <a:pt x="46238" y="0"/>
                  <a:pt x="29786" y="0"/>
                </a:cubicBezTo>
                <a:cubicBezTo>
                  <a:pt x="13335" y="0"/>
                  <a:pt x="0" y="13335"/>
                  <a:pt x="0" y="29786"/>
                </a:cubicBezTo>
              </a:path>
            </a:pathLst>
          </a:custGeom>
          <a:solidFill>
            <a:srgbClr val="4E88E7"/>
          </a:solidFill>
          <a:ln>
            <a:noFill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21" name="Rounded Rectangle 23">
            <a:extLst>
              <a:ext uri="{FF2B5EF4-FFF2-40B4-BE49-F238E27FC236}">
                <a16:creationId xmlns:a16="http://schemas.microsoft.com/office/drawing/2014/main" id="{6BFB1ADE-F9EC-8B82-0327-3B00EDE2A8ED}"/>
              </a:ext>
            </a:extLst>
          </xdr:cNvPr>
          <xdr:cNvSpPr/>
        </xdr:nvSpPr>
        <xdr:spPr>
          <a:xfrm>
            <a:off x="5776632" y="3860953"/>
            <a:ext cx="59570" cy="59570"/>
          </a:xfrm>
          <a:custGeom>
            <a:avLst/>
            <a:gdLst/>
            <a:ahLst/>
            <a:cxnLst/>
            <a:rect l="0" t="0" r="0" b="0"/>
            <a:pathLst>
              <a:path w="59570" h="59570">
                <a:moveTo>
                  <a:pt x="0" y="29785"/>
                </a:moveTo>
                <a:cubicBezTo>
                  <a:pt x="0" y="46235"/>
                  <a:pt x="13335" y="59570"/>
                  <a:pt x="29785" y="59570"/>
                </a:cubicBezTo>
                <a:cubicBezTo>
                  <a:pt x="46235" y="59570"/>
                  <a:pt x="59570" y="46235"/>
                  <a:pt x="59570" y="29785"/>
                </a:cubicBezTo>
                <a:cubicBezTo>
                  <a:pt x="59570" y="13335"/>
                  <a:pt x="46235" y="0"/>
                  <a:pt x="29785" y="0"/>
                </a:cubicBezTo>
                <a:cubicBezTo>
                  <a:pt x="13335" y="0"/>
                  <a:pt x="0" y="13335"/>
                  <a:pt x="0" y="29785"/>
                </a:cubicBezTo>
              </a:path>
            </a:pathLst>
          </a:custGeom>
          <a:noFill/>
          <a:ln w="11430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22" name="Rounded Rectangle 24">
            <a:extLst>
              <a:ext uri="{FF2B5EF4-FFF2-40B4-BE49-F238E27FC236}">
                <a16:creationId xmlns:a16="http://schemas.microsoft.com/office/drawing/2014/main" id="{B4A6D176-CCB2-AA67-6028-F63A6DA4D30C}"/>
              </a:ext>
            </a:extLst>
          </xdr:cNvPr>
          <xdr:cNvSpPr/>
        </xdr:nvSpPr>
        <xdr:spPr>
          <a:xfrm>
            <a:off x="6050952" y="3929531"/>
            <a:ext cx="59573" cy="59573"/>
          </a:xfrm>
          <a:custGeom>
            <a:avLst/>
            <a:gdLst/>
            <a:ahLst/>
            <a:cxnLst/>
            <a:rect l="0" t="0" r="0" b="0"/>
            <a:pathLst>
              <a:path w="59573" h="59573">
                <a:moveTo>
                  <a:pt x="0" y="29786"/>
                </a:moveTo>
                <a:cubicBezTo>
                  <a:pt x="0" y="46238"/>
                  <a:pt x="13335" y="59573"/>
                  <a:pt x="29786" y="59573"/>
                </a:cubicBezTo>
                <a:cubicBezTo>
                  <a:pt x="46238" y="59573"/>
                  <a:pt x="59573" y="46238"/>
                  <a:pt x="59573" y="29786"/>
                </a:cubicBezTo>
                <a:cubicBezTo>
                  <a:pt x="59573" y="13335"/>
                  <a:pt x="46238" y="0"/>
                  <a:pt x="29786" y="0"/>
                </a:cubicBezTo>
                <a:cubicBezTo>
                  <a:pt x="13335" y="0"/>
                  <a:pt x="0" y="13335"/>
                  <a:pt x="0" y="29786"/>
                </a:cubicBezTo>
              </a:path>
            </a:pathLst>
          </a:custGeom>
          <a:solidFill>
            <a:srgbClr val="4E88E7"/>
          </a:solidFill>
          <a:ln>
            <a:noFill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23" name="Rounded Rectangle 25">
            <a:extLst>
              <a:ext uri="{FF2B5EF4-FFF2-40B4-BE49-F238E27FC236}">
                <a16:creationId xmlns:a16="http://schemas.microsoft.com/office/drawing/2014/main" id="{B342EF50-6AEA-AA52-56AA-A09E978F75E7}"/>
              </a:ext>
            </a:extLst>
          </xdr:cNvPr>
          <xdr:cNvSpPr/>
        </xdr:nvSpPr>
        <xdr:spPr>
          <a:xfrm>
            <a:off x="6050952" y="3929533"/>
            <a:ext cx="59570" cy="59570"/>
          </a:xfrm>
          <a:custGeom>
            <a:avLst/>
            <a:gdLst/>
            <a:ahLst/>
            <a:cxnLst/>
            <a:rect l="0" t="0" r="0" b="0"/>
            <a:pathLst>
              <a:path w="59570" h="59570">
                <a:moveTo>
                  <a:pt x="0" y="29785"/>
                </a:moveTo>
                <a:cubicBezTo>
                  <a:pt x="0" y="46235"/>
                  <a:pt x="13335" y="59570"/>
                  <a:pt x="29785" y="59570"/>
                </a:cubicBezTo>
                <a:cubicBezTo>
                  <a:pt x="46235" y="59570"/>
                  <a:pt x="59570" y="46235"/>
                  <a:pt x="59570" y="29785"/>
                </a:cubicBezTo>
                <a:cubicBezTo>
                  <a:pt x="59570" y="13335"/>
                  <a:pt x="46235" y="0"/>
                  <a:pt x="29785" y="0"/>
                </a:cubicBezTo>
                <a:cubicBezTo>
                  <a:pt x="13335" y="0"/>
                  <a:pt x="0" y="13335"/>
                  <a:pt x="0" y="29785"/>
                </a:cubicBezTo>
              </a:path>
            </a:pathLst>
          </a:custGeom>
          <a:noFill/>
          <a:ln w="11430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24" name="Rounded Rectangle 26">
            <a:extLst>
              <a:ext uri="{FF2B5EF4-FFF2-40B4-BE49-F238E27FC236}">
                <a16:creationId xmlns:a16="http://schemas.microsoft.com/office/drawing/2014/main" id="{FF127BB1-AB39-512F-A032-862118547B26}"/>
              </a:ext>
            </a:extLst>
          </xdr:cNvPr>
          <xdr:cNvSpPr/>
        </xdr:nvSpPr>
        <xdr:spPr>
          <a:xfrm>
            <a:off x="3063217" y="2321019"/>
            <a:ext cx="3017520" cy="1920240"/>
          </a:xfrm>
          <a:custGeom>
            <a:avLst/>
            <a:gdLst/>
            <a:ahLst/>
            <a:cxnLst/>
            <a:rect l="0" t="0" r="0" b="0"/>
            <a:pathLst>
              <a:path w="3017520" h="1920240">
                <a:moveTo>
                  <a:pt x="0" y="800100"/>
                </a:moveTo>
                <a:lnTo>
                  <a:pt x="274320" y="624840"/>
                </a:lnTo>
                <a:lnTo>
                  <a:pt x="548640" y="434340"/>
                </a:lnTo>
                <a:lnTo>
                  <a:pt x="822960" y="1478280"/>
                </a:lnTo>
                <a:lnTo>
                  <a:pt x="1097280" y="1638300"/>
                </a:lnTo>
                <a:lnTo>
                  <a:pt x="1371600" y="1737360"/>
                </a:lnTo>
                <a:lnTo>
                  <a:pt x="1645920" y="1851660"/>
                </a:lnTo>
                <a:lnTo>
                  <a:pt x="1920240" y="1920240"/>
                </a:lnTo>
                <a:lnTo>
                  <a:pt x="2194560" y="1158240"/>
                </a:lnTo>
                <a:lnTo>
                  <a:pt x="2468880" y="716280"/>
                </a:lnTo>
                <a:lnTo>
                  <a:pt x="2743200" y="266700"/>
                </a:lnTo>
                <a:lnTo>
                  <a:pt x="3017520" y="0"/>
                </a:lnTo>
              </a:path>
            </a:pathLst>
          </a:custGeom>
          <a:noFill/>
          <a:ln w="11430">
            <a:solidFill>
              <a:srgbClr val="E0CB15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25" name="Rounded Rectangle 27">
            <a:extLst>
              <a:ext uri="{FF2B5EF4-FFF2-40B4-BE49-F238E27FC236}">
                <a16:creationId xmlns:a16="http://schemas.microsoft.com/office/drawing/2014/main" id="{0380F479-76FD-9D48-E5B5-368B5A5D53A3}"/>
              </a:ext>
            </a:extLst>
          </xdr:cNvPr>
          <xdr:cNvSpPr/>
        </xdr:nvSpPr>
        <xdr:spPr>
          <a:xfrm>
            <a:off x="3033432" y="3091331"/>
            <a:ext cx="59573" cy="59573"/>
          </a:xfrm>
          <a:custGeom>
            <a:avLst/>
            <a:gdLst/>
            <a:ahLst/>
            <a:cxnLst/>
            <a:rect l="0" t="0" r="0" b="0"/>
            <a:pathLst>
              <a:path w="59573" h="59573">
                <a:moveTo>
                  <a:pt x="0" y="29786"/>
                </a:moveTo>
                <a:cubicBezTo>
                  <a:pt x="0" y="46238"/>
                  <a:pt x="13335" y="59573"/>
                  <a:pt x="29786" y="59573"/>
                </a:cubicBezTo>
                <a:cubicBezTo>
                  <a:pt x="46238" y="59573"/>
                  <a:pt x="59573" y="46238"/>
                  <a:pt x="59573" y="29786"/>
                </a:cubicBezTo>
                <a:cubicBezTo>
                  <a:pt x="59573" y="13335"/>
                  <a:pt x="46238" y="0"/>
                  <a:pt x="29786" y="0"/>
                </a:cubicBezTo>
                <a:cubicBezTo>
                  <a:pt x="13335" y="0"/>
                  <a:pt x="0" y="13335"/>
                  <a:pt x="0" y="29786"/>
                </a:cubicBezTo>
              </a:path>
            </a:pathLst>
          </a:custGeom>
          <a:solidFill>
            <a:srgbClr val="E0CB15"/>
          </a:solidFill>
          <a:ln>
            <a:noFill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26" name="Rounded Rectangle 28">
            <a:extLst>
              <a:ext uri="{FF2B5EF4-FFF2-40B4-BE49-F238E27FC236}">
                <a16:creationId xmlns:a16="http://schemas.microsoft.com/office/drawing/2014/main" id="{4A61114A-901F-F26B-0DD5-B6F206192E20}"/>
              </a:ext>
            </a:extLst>
          </xdr:cNvPr>
          <xdr:cNvSpPr/>
        </xdr:nvSpPr>
        <xdr:spPr>
          <a:xfrm>
            <a:off x="3033432" y="3091333"/>
            <a:ext cx="59570" cy="59570"/>
          </a:xfrm>
          <a:custGeom>
            <a:avLst/>
            <a:gdLst/>
            <a:ahLst/>
            <a:cxnLst/>
            <a:rect l="0" t="0" r="0" b="0"/>
            <a:pathLst>
              <a:path w="59570" h="59570">
                <a:moveTo>
                  <a:pt x="0" y="29785"/>
                </a:moveTo>
                <a:cubicBezTo>
                  <a:pt x="0" y="46235"/>
                  <a:pt x="13335" y="59570"/>
                  <a:pt x="29785" y="59570"/>
                </a:cubicBezTo>
                <a:cubicBezTo>
                  <a:pt x="46235" y="59570"/>
                  <a:pt x="59570" y="46235"/>
                  <a:pt x="59570" y="29785"/>
                </a:cubicBezTo>
                <a:cubicBezTo>
                  <a:pt x="59570" y="13335"/>
                  <a:pt x="46235" y="0"/>
                  <a:pt x="29785" y="0"/>
                </a:cubicBezTo>
                <a:cubicBezTo>
                  <a:pt x="13335" y="0"/>
                  <a:pt x="0" y="13335"/>
                  <a:pt x="0" y="29785"/>
                </a:cubicBezTo>
              </a:path>
            </a:pathLst>
          </a:custGeom>
          <a:noFill/>
          <a:ln w="11430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27" name="Rounded Rectangle 29">
            <a:extLst>
              <a:ext uri="{FF2B5EF4-FFF2-40B4-BE49-F238E27FC236}">
                <a16:creationId xmlns:a16="http://schemas.microsoft.com/office/drawing/2014/main" id="{B915C2C2-0948-C3A3-3E08-54AD769F448D}"/>
              </a:ext>
            </a:extLst>
          </xdr:cNvPr>
          <xdr:cNvSpPr/>
        </xdr:nvSpPr>
        <xdr:spPr>
          <a:xfrm>
            <a:off x="3307752" y="2916071"/>
            <a:ext cx="59573" cy="59573"/>
          </a:xfrm>
          <a:custGeom>
            <a:avLst/>
            <a:gdLst/>
            <a:ahLst/>
            <a:cxnLst/>
            <a:rect l="0" t="0" r="0" b="0"/>
            <a:pathLst>
              <a:path w="59573" h="59573">
                <a:moveTo>
                  <a:pt x="0" y="29786"/>
                </a:moveTo>
                <a:cubicBezTo>
                  <a:pt x="0" y="46238"/>
                  <a:pt x="13335" y="59573"/>
                  <a:pt x="29786" y="59573"/>
                </a:cubicBezTo>
                <a:cubicBezTo>
                  <a:pt x="46238" y="59573"/>
                  <a:pt x="59573" y="46238"/>
                  <a:pt x="59573" y="29786"/>
                </a:cubicBezTo>
                <a:cubicBezTo>
                  <a:pt x="59573" y="13335"/>
                  <a:pt x="46238" y="0"/>
                  <a:pt x="29786" y="0"/>
                </a:cubicBezTo>
                <a:cubicBezTo>
                  <a:pt x="13335" y="0"/>
                  <a:pt x="0" y="13335"/>
                  <a:pt x="0" y="29786"/>
                </a:cubicBezTo>
              </a:path>
            </a:pathLst>
          </a:custGeom>
          <a:solidFill>
            <a:srgbClr val="E0CB15"/>
          </a:solidFill>
          <a:ln>
            <a:noFill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28" name="Rounded Rectangle 30">
            <a:extLst>
              <a:ext uri="{FF2B5EF4-FFF2-40B4-BE49-F238E27FC236}">
                <a16:creationId xmlns:a16="http://schemas.microsoft.com/office/drawing/2014/main" id="{8C48FC12-553F-6249-0B15-EFC015034D0A}"/>
              </a:ext>
            </a:extLst>
          </xdr:cNvPr>
          <xdr:cNvSpPr/>
        </xdr:nvSpPr>
        <xdr:spPr>
          <a:xfrm>
            <a:off x="3307752" y="2916073"/>
            <a:ext cx="59570" cy="59570"/>
          </a:xfrm>
          <a:custGeom>
            <a:avLst/>
            <a:gdLst/>
            <a:ahLst/>
            <a:cxnLst/>
            <a:rect l="0" t="0" r="0" b="0"/>
            <a:pathLst>
              <a:path w="59570" h="59570">
                <a:moveTo>
                  <a:pt x="0" y="29785"/>
                </a:moveTo>
                <a:cubicBezTo>
                  <a:pt x="0" y="46235"/>
                  <a:pt x="13335" y="59570"/>
                  <a:pt x="29785" y="59570"/>
                </a:cubicBezTo>
                <a:cubicBezTo>
                  <a:pt x="46235" y="59570"/>
                  <a:pt x="59570" y="46235"/>
                  <a:pt x="59570" y="29785"/>
                </a:cubicBezTo>
                <a:cubicBezTo>
                  <a:pt x="59570" y="13335"/>
                  <a:pt x="46235" y="0"/>
                  <a:pt x="29785" y="0"/>
                </a:cubicBezTo>
                <a:cubicBezTo>
                  <a:pt x="13335" y="0"/>
                  <a:pt x="0" y="13335"/>
                  <a:pt x="0" y="29785"/>
                </a:cubicBezTo>
              </a:path>
            </a:pathLst>
          </a:custGeom>
          <a:noFill/>
          <a:ln w="11430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29" name="Rounded Rectangle 31">
            <a:extLst>
              <a:ext uri="{FF2B5EF4-FFF2-40B4-BE49-F238E27FC236}">
                <a16:creationId xmlns:a16="http://schemas.microsoft.com/office/drawing/2014/main" id="{917E31E0-7F62-081B-0A62-54CE938A42F0}"/>
              </a:ext>
            </a:extLst>
          </xdr:cNvPr>
          <xdr:cNvSpPr/>
        </xdr:nvSpPr>
        <xdr:spPr>
          <a:xfrm>
            <a:off x="3582072" y="2725571"/>
            <a:ext cx="59573" cy="59573"/>
          </a:xfrm>
          <a:custGeom>
            <a:avLst/>
            <a:gdLst/>
            <a:ahLst/>
            <a:cxnLst/>
            <a:rect l="0" t="0" r="0" b="0"/>
            <a:pathLst>
              <a:path w="59573" h="59573">
                <a:moveTo>
                  <a:pt x="0" y="29786"/>
                </a:moveTo>
                <a:cubicBezTo>
                  <a:pt x="0" y="46238"/>
                  <a:pt x="13335" y="59573"/>
                  <a:pt x="29786" y="59573"/>
                </a:cubicBezTo>
                <a:cubicBezTo>
                  <a:pt x="46238" y="59573"/>
                  <a:pt x="59573" y="46238"/>
                  <a:pt x="59573" y="29786"/>
                </a:cubicBezTo>
                <a:cubicBezTo>
                  <a:pt x="59573" y="13335"/>
                  <a:pt x="46238" y="0"/>
                  <a:pt x="29786" y="0"/>
                </a:cubicBezTo>
                <a:cubicBezTo>
                  <a:pt x="13335" y="0"/>
                  <a:pt x="0" y="13335"/>
                  <a:pt x="0" y="29786"/>
                </a:cubicBezTo>
              </a:path>
            </a:pathLst>
          </a:custGeom>
          <a:solidFill>
            <a:srgbClr val="E0CB15"/>
          </a:solidFill>
          <a:ln>
            <a:noFill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30" name="Rounded Rectangle 32">
            <a:extLst>
              <a:ext uri="{FF2B5EF4-FFF2-40B4-BE49-F238E27FC236}">
                <a16:creationId xmlns:a16="http://schemas.microsoft.com/office/drawing/2014/main" id="{9E9BAC54-C98C-650F-1596-E6B7ADDF5660}"/>
              </a:ext>
            </a:extLst>
          </xdr:cNvPr>
          <xdr:cNvSpPr/>
        </xdr:nvSpPr>
        <xdr:spPr>
          <a:xfrm>
            <a:off x="3582072" y="2725573"/>
            <a:ext cx="59570" cy="59570"/>
          </a:xfrm>
          <a:custGeom>
            <a:avLst/>
            <a:gdLst/>
            <a:ahLst/>
            <a:cxnLst/>
            <a:rect l="0" t="0" r="0" b="0"/>
            <a:pathLst>
              <a:path w="59570" h="59570">
                <a:moveTo>
                  <a:pt x="0" y="29785"/>
                </a:moveTo>
                <a:cubicBezTo>
                  <a:pt x="0" y="46235"/>
                  <a:pt x="13335" y="59570"/>
                  <a:pt x="29785" y="59570"/>
                </a:cubicBezTo>
                <a:cubicBezTo>
                  <a:pt x="46235" y="59570"/>
                  <a:pt x="59570" y="46235"/>
                  <a:pt x="59570" y="29785"/>
                </a:cubicBezTo>
                <a:cubicBezTo>
                  <a:pt x="59570" y="13335"/>
                  <a:pt x="46235" y="0"/>
                  <a:pt x="29785" y="0"/>
                </a:cubicBezTo>
                <a:cubicBezTo>
                  <a:pt x="13335" y="0"/>
                  <a:pt x="0" y="13335"/>
                  <a:pt x="0" y="29785"/>
                </a:cubicBezTo>
              </a:path>
            </a:pathLst>
          </a:custGeom>
          <a:noFill/>
          <a:ln w="11430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31" name="Rounded Rectangle 33">
            <a:extLst>
              <a:ext uri="{FF2B5EF4-FFF2-40B4-BE49-F238E27FC236}">
                <a16:creationId xmlns:a16="http://schemas.microsoft.com/office/drawing/2014/main" id="{23FF5E0F-F770-52AB-E82B-D8B7EA5F439C}"/>
              </a:ext>
            </a:extLst>
          </xdr:cNvPr>
          <xdr:cNvSpPr/>
        </xdr:nvSpPr>
        <xdr:spPr>
          <a:xfrm>
            <a:off x="3856392" y="3769511"/>
            <a:ext cx="59573" cy="59573"/>
          </a:xfrm>
          <a:custGeom>
            <a:avLst/>
            <a:gdLst/>
            <a:ahLst/>
            <a:cxnLst/>
            <a:rect l="0" t="0" r="0" b="0"/>
            <a:pathLst>
              <a:path w="59573" h="59573">
                <a:moveTo>
                  <a:pt x="0" y="29786"/>
                </a:moveTo>
                <a:cubicBezTo>
                  <a:pt x="0" y="46238"/>
                  <a:pt x="13335" y="59573"/>
                  <a:pt x="29786" y="59573"/>
                </a:cubicBezTo>
                <a:cubicBezTo>
                  <a:pt x="46238" y="59573"/>
                  <a:pt x="59573" y="46238"/>
                  <a:pt x="59573" y="29786"/>
                </a:cubicBezTo>
                <a:cubicBezTo>
                  <a:pt x="59573" y="13335"/>
                  <a:pt x="46238" y="0"/>
                  <a:pt x="29786" y="0"/>
                </a:cubicBezTo>
                <a:cubicBezTo>
                  <a:pt x="13335" y="0"/>
                  <a:pt x="0" y="13335"/>
                  <a:pt x="0" y="29786"/>
                </a:cubicBezTo>
              </a:path>
            </a:pathLst>
          </a:custGeom>
          <a:solidFill>
            <a:srgbClr val="E0CB15"/>
          </a:solidFill>
          <a:ln>
            <a:noFill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32" name="Rounded Rectangle 34">
            <a:extLst>
              <a:ext uri="{FF2B5EF4-FFF2-40B4-BE49-F238E27FC236}">
                <a16:creationId xmlns:a16="http://schemas.microsoft.com/office/drawing/2014/main" id="{5CE99572-0CBE-7DCB-E5D5-1A1702B53188}"/>
              </a:ext>
            </a:extLst>
          </xdr:cNvPr>
          <xdr:cNvSpPr/>
        </xdr:nvSpPr>
        <xdr:spPr>
          <a:xfrm>
            <a:off x="3856392" y="3769513"/>
            <a:ext cx="59570" cy="59570"/>
          </a:xfrm>
          <a:custGeom>
            <a:avLst/>
            <a:gdLst/>
            <a:ahLst/>
            <a:cxnLst/>
            <a:rect l="0" t="0" r="0" b="0"/>
            <a:pathLst>
              <a:path w="59570" h="59570">
                <a:moveTo>
                  <a:pt x="0" y="29785"/>
                </a:moveTo>
                <a:cubicBezTo>
                  <a:pt x="0" y="46235"/>
                  <a:pt x="13335" y="59570"/>
                  <a:pt x="29785" y="59570"/>
                </a:cubicBezTo>
                <a:cubicBezTo>
                  <a:pt x="46235" y="59570"/>
                  <a:pt x="59570" y="46235"/>
                  <a:pt x="59570" y="29785"/>
                </a:cubicBezTo>
                <a:cubicBezTo>
                  <a:pt x="59570" y="13335"/>
                  <a:pt x="46235" y="0"/>
                  <a:pt x="29785" y="0"/>
                </a:cubicBezTo>
                <a:cubicBezTo>
                  <a:pt x="13335" y="0"/>
                  <a:pt x="0" y="13335"/>
                  <a:pt x="0" y="29785"/>
                </a:cubicBezTo>
              </a:path>
            </a:pathLst>
          </a:custGeom>
          <a:noFill/>
          <a:ln w="11430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33" name="Rounded Rectangle 35">
            <a:extLst>
              <a:ext uri="{FF2B5EF4-FFF2-40B4-BE49-F238E27FC236}">
                <a16:creationId xmlns:a16="http://schemas.microsoft.com/office/drawing/2014/main" id="{D6EF1BB9-EF05-7319-B75D-901CBEA23E5B}"/>
              </a:ext>
            </a:extLst>
          </xdr:cNvPr>
          <xdr:cNvSpPr/>
        </xdr:nvSpPr>
        <xdr:spPr>
          <a:xfrm>
            <a:off x="4130712" y="3929531"/>
            <a:ext cx="59573" cy="59573"/>
          </a:xfrm>
          <a:custGeom>
            <a:avLst/>
            <a:gdLst/>
            <a:ahLst/>
            <a:cxnLst/>
            <a:rect l="0" t="0" r="0" b="0"/>
            <a:pathLst>
              <a:path w="59573" h="59573">
                <a:moveTo>
                  <a:pt x="0" y="29786"/>
                </a:moveTo>
                <a:cubicBezTo>
                  <a:pt x="0" y="46238"/>
                  <a:pt x="13335" y="59573"/>
                  <a:pt x="29786" y="59573"/>
                </a:cubicBezTo>
                <a:cubicBezTo>
                  <a:pt x="46238" y="59573"/>
                  <a:pt x="59573" y="46238"/>
                  <a:pt x="59573" y="29786"/>
                </a:cubicBezTo>
                <a:cubicBezTo>
                  <a:pt x="59573" y="13335"/>
                  <a:pt x="46238" y="0"/>
                  <a:pt x="29786" y="0"/>
                </a:cubicBezTo>
                <a:cubicBezTo>
                  <a:pt x="13335" y="0"/>
                  <a:pt x="0" y="13335"/>
                  <a:pt x="0" y="29786"/>
                </a:cubicBezTo>
              </a:path>
            </a:pathLst>
          </a:custGeom>
          <a:solidFill>
            <a:srgbClr val="E0CB15"/>
          </a:solidFill>
          <a:ln>
            <a:noFill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34" name="Rounded Rectangle 36">
            <a:extLst>
              <a:ext uri="{FF2B5EF4-FFF2-40B4-BE49-F238E27FC236}">
                <a16:creationId xmlns:a16="http://schemas.microsoft.com/office/drawing/2014/main" id="{1E1AFA49-F0F3-2B63-EE2C-210BD319149B}"/>
              </a:ext>
            </a:extLst>
          </xdr:cNvPr>
          <xdr:cNvSpPr/>
        </xdr:nvSpPr>
        <xdr:spPr>
          <a:xfrm>
            <a:off x="4130712" y="3929533"/>
            <a:ext cx="59570" cy="59570"/>
          </a:xfrm>
          <a:custGeom>
            <a:avLst/>
            <a:gdLst/>
            <a:ahLst/>
            <a:cxnLst/>
            <a:rect l="0" t="0" r="0" b="0"/>
            <a:pathLst>
              <a:path w="59570" h="59570">
                <a:moveTo>
                  <a:pt x="0" y="29785"/>
                </a:moveTo>
                <a:cubicBezTo>
                  <a:pt x="0" y="46235"/>
                  <a:pt x="13335" y="59570"/>
                  <a:pt x="29785" y="59570"/>
                </a:cubicBezTo>
                <a:cubicBezTo>
                  <a:pt x="46235" y="59570"/>
                  <a:pt x="59570" y="46235"/>
                  <a:pt x="59570" y="29785"/>
                </a:cubicBezTo>
                <a:cubicBezTo>
                  <a:pt x="59570" y="13335"/>
                  <a:pt x="46235" y="0"/>
                  <a:pt x="29785" y="0"/>
                </a:cubicBezTo>
                <a:cubicBezTo>
                  <a:pt x="13335" y="0"/>
                  <a:pt x="0" y="13335"/>
                  <a:pt x="0" y="29785"/>
                </a:cubicBezTo>
              </a:path>
            </a:pathLst>
          </a:custGeom>
          <a:noFill/>
          <a:ln w="11430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35" name="Rounded Rectangle 37">
            <a:extLst>
              <a:ext uri="{FF2B5EF4-FFF2-40B4-BE49-F238E27FC236}">
                <a16:creationId xmlns:a16="http://schemas.microsoft.com/office/drawing/2014/main" id="{2DC51E79-8ED4-9043-745D-E7AAA7E21332}"/>
              </a:ext>
            </a:extLst>
          </xdr:cNvPr>
          <xdr:cNvSpPr/>
        </xdr:nvSpPr>
        <xdr:spPr>
          <a:xfrm>
            <a:off x="4405032" y="4028591"/>
            <a:ext cx="59573" cy="59573"/>
          </a:xfrm>
          <a:custGeom>
            <a:avLst/>
            <a:gdLst/>
            <a:ahLst/>
            <a:cxnLst/>
            <a:rect l="0" t="0" r="0" b="0"/>
            <a:pathLst>
              <a:path w="59573" h="59573">
                <a:moveTo>
                  <a:pt x="0" y="29786"/>
                </a:moveTo>
                <a:cubicBezTo>
                  <a:pt x="0" y="46238"/>
                  <a:pt x="13335" y="59573"/>
                  <a:pt x="29786" y="59573"/>
                </a:cubicBezTo>
                <a:cubicBezTo>
                  <a:pt x="46238" y="59573"/>
                  <a:pt x="59573" y="46238"/>
                  <a:pt x="59573" y="29786"/>
                </a:cubicBezTo>
                <a:cubicBezTo>
                  <a:pt x="59573" y="13335"/>
                  <a:pt x="46238" y="0"/>
                  <a:pt x="29786" y="0"/>
                </a:cubicBezTo>
                <a:cubicBezTo>
                  <a:pt x="13335" y="0"/>
                  <a:pt x="0" y="13335"/>
                  <a:pt x="0" y="29786"/>
                </a:cubicBezTo>
              </a:path>
            </a:pathLst>
          </a:custGeom>
          <a:solidFill>
            <a:srgbClr val="E0CB15"/>
          </a:solidFill>
          <a:ln>
            <a:noFill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36" name="Rounded Rectangle 38">
            <a:extLst>
              <a:ext uri="{FF2B5EF4-FFF2-40B4-BE49-F238E27FC236}">
                <a16:creationId xmlns:a16="http://schemas.microsoft.com/office/drawing/2014/main" id="{972E4D4A-56E2-8003-CD26-CF445FE1BC9C}"/>
              </a:ext>
            </a:extLst>
          </xdr:cNvPr>
          <xdr:cNvSpPr/>
        </xdr:nvSpPr>
        <xdr:spPr>
          <a:xfrm>
            <a:off x="4405032" y="4028593"/>
            <a:ext cx="59570" cy="59570"/>
          </a:xfrm>
          <a:custGeom>
            <a:avLst/>
            <a:gdLst/>
            <a:ahLst/>
            <a:cxnLst/>
            <a:rect l="0" t="0" r="0" b="0"/>
            <a:pathLst>
              <a:path w="59570" h="59570">
                <a:moveTo>
                  <a:pt x="0" y="29785"/>
                </a:moveTo>
                <a:cubicBezTo>
                  <a:pt x="0" y="46235"/>
                  <a:pt x="13335" y="59570"/>
                  <a:pt x="29785" y="59570"/>
                </a:cubicBezTo>
                <a:cubicBezTo>
                  <a:pt x="46235" y="59570"/>
                  <a:pt x="59570" y="46235"/>
                  <a:pt x="59570" y="29785"/>
                </a:cubicBezTo>
                <a:cubicBezTo>
                  <a:pt x="59570" y="13335"/>
                  <a:pt x="46235" y="0"/>
                  <a:pt x="29785" y="0"/>
                </a:cubicBezTo>
                <a:cubicBezTo>
                  <a:pt x="13335" y="0"/>
                  <a:pt x="0" y="13335"/>
                  <a:pt x="0" y="29785"/>
                </a:cubicBezTo>
              </a:path>
            </a:pathLst>
          </a:custGeom>
          <a:noFill/>
          <a:ln w="11430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37" name="Rounded Rectangle 39">
            <a:extLst>
              <a:ext uri="{FF2B5EF4-FFF2-40B4-BE49-F238E27FC236}">
                <a16:creationId xmlns:a16="http://schemas.microsoft.com/office/drawing/2014/main" id="{8D13ACE7-48F8-632E-2640-F08273B50248}"/>
              </a:ext>
            </a:extLst>
          </xdr:cNvPr>
          <xdr:cNvSpPr/>
        </xdr:nvSpPr>
        <xdr:spPr>
          <a:xfrm>
            <a:off x="4679352" y="4142891"/>
            <a:ext cx="59573" cy="59573"/>
          </a:xfrm>
          <a:custGeom>
            <a:avLst/>
            <a:gdLst/>
            <a:ahLst/>
            <a:cxnLst/>
            <a:rect l="0" t="0" r="0" b="0"/>
            <a:pathLst>
              <a:path w="59573" h="59573">
                <a:moveTo>
                  <a:pt x="0" y="29786"/>
                </a:moveTo>
                <a:cubicBezTo>
                  <a:pt x="0" y="46238"/>
                  <a:pt x="13335" y="59573"/>
                  <a:pt x="29786" y="59573"/>
                </a:cubicBezTo>
                <a:cubicBezTo>
                  <a:pt x="46238" y="59573"/>
                  <a:pt x="59573" y="46238"/>
                  <a:pt x="59573" y="29786"/>
                </a:cubicBezTo>
                <a:cubicBezTo>
                  <a:pt x="59573" y="13335"/>
                  <a:pt x="46238" y="0"/>
                  <a:pt x="29786" y="0"/>
                </a:cubicBezTo>
                <a:cubicBezTo>
                  <a:pt x="13335" y="0"/>
                  <a:pt x="0" y="13335"/>
                  <a:pt x="0" y="29786"/>
                </a:cubicBezTo>
              </a:path>
            </a:pathLst>
          </a:custGeom>
          <a:solidFill>
            <a:srgbClr val="E0CB15"/>
          </a:solidFill>
          <a:ln>
            <a:noFill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38" name="Rounded Rectangle 40">
            <a:extLst>
              <a:ext uri="{FF2B5EF4-FFF2-40B4-BE49-F238E27FC236}">
                <a16:creationId xmlns:a16="http://schemas.microsoft.com/office/drawing/2014/main" id="{B05271BC-BB8E-58C9-32BE-1975482AB96F}"/>
              </a:ext>
            </a:extLst>
          </xdr:cNvPr>
          <xdr:cNvSpPr/>
        </xdr:nvSpPr>
        <xdr:spPr>
          <a:xfrm>
            <a:off x="4679352" y="4142893"/>
            <a:ext cx="59570" cy="59570"/>
          </a:xfrm>
          <a:custGeom>
            <a:avLst/>
            <a:gdLst/>
            <a:ahLst/>
            <a:cxnLst/>
            <a:rect l="0" t="0" r="0" b="0"/>
            <a:pathLst>
              <a:path w="59570" h="59570">
                <a:moveTo>
                  <a:pt x="0" y="29785"/>
                </a:moveTo>
                <a:cubicBezTo>
                  <a:pt x="0" y="46235"/>
                  <a:pt x="13335" y="59570"/>
                  <a:pt x="29785" y="59570"/>
                </a:cubicBezTo>
                <a:cubicBezTo>
                  <a:pt x="46235" y="59570"/>
                  <a:pt x="59570" y="46235"/>
                  <a:pt x="59570" y="29785"/>
                </a:cubicBezTo>
                <a:cubicBezTo>
                  <a:pt x="59570" y="13335"/>
                  <a:pt x="46235" y="0"/>
                  <a:pt x="29785" y="0"/>
                </a:cubicBezTo>
                <a:cubicBezTo>
                  <a:pt x="13335" y="0"/>
                  <a:pt x="0" y="13335"/>
                  <a:pt x="0" y="29785"/>
                </a:cubicBezTo>
              </a:path>
            </a:pathLst>
          </a:custGeom>
          <a:noFill/>
          <a:ln w="11430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39" name="Rounded Rectangle 41">
            <a:extLst>
              <a:ext uri="{FF2B5EF4-FFF2-40B4-BE49-F238E27FC236}">
                <a16:creationId xmlns:a16="http://schemas.microsoft.com/office/drawing/2014/main" id="{F7E25F00-3D74-7C2E-6662-639057A685FC}"/>
              </a:ext>
            </a:extLst>
          </xdr:cNvPr>
          <xdr:cNvSpPr/>
        </xdr:nvSpPr>
        <xdr:spPr>
          <a:xfrm>
            <a:off x="4953672" y="4211471"/>
            <a:ext cx="59573" cy="59573"/>
          </a:xfrm>
          <a:custGeom>
            <a:avLst/>
            <a:gdLst/>
            <a:ahLst/>
            <a:cxnLst/>
            <a:rect l="0" t="0" r="0" b="0"/>
            <a:pathLst>
              <a:path w="59573" h="59573">
                <a:moveTo>
                  <a:pt x="0" y="29786"/>
                </a:moveTo>
                <a:cubicBezTo>
                  <a:pt x="0" y="46238"/>
                  <a:pt x="13335" y="59573"/>
                  <a:pt x="29786" y="59573"/>
                </a:cubicBezTo>
                <a:cubicBezTo>
                  <a:pt x="46238" y="59573"/>
                  <a:pt x="59573" y="46238"/>
                  <a:pt x="59573" y="29786"/>
                </a:cubicBezTo>
                <a:cubicBezTo>
                  <a:pt x="59573" y="13335"/>
                  <a:pt x="46238" y="0"/>
                  <a:pt x="29786" y="0"/>
                </a:cubicBezTo>
                <a:cubicBezTo>
                  <a:pt x="13335" y="0"/>
                  <a:pt x="0" y="13335"/>
                  <a:pt x="0" y="29786"/>
                </a:cubicBezTo>
              </a:path>
            </a:pathLst>
          </a:custGeom>
          <a:solidFill>
            <a:srgbClr val="E0CB15"/>
          </a:solidFill>
          <a:ln>
            <a:noFill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40" name="Rounded Rectangle 42">
            <a:extLst>
              <a:ext uri="{FF2B5EF4-FFF2-40B4-BE49-F238E27FC236}">
                <a16:creationId xmlns:a16="http://schemas.microsoft.com/office/drawing/2014/main" id="{11E292B8-1267-B662-D428-FE70B4C5D38B}"/>
              </a:ext>
            </a:extLst>
          </xdr:cNvPr>
          <xdr:cNvSpPr/>
        </xdr:nvSpPr>
        <xdr:spPr>
          <a:xfrm>
            <a:off x="4953672" y="4211473"/>
            <a:ext cx="59570" cy="59570"/>
          </a:xfrm>
          <a:custGeom>
            <a:avLst/>
            <a:gdLst/>
            <a:ahLst/>
            <a:cxnLst/>
            <a:rect l="0" t="0" r="0" b="0"/>
            <a:pathLst>
              <a:path w="59570" h="59570">
                <a:moveTo>
                  <a:pt x="0" y="29785"/>
                </a:moveTo>
                <a:cubicBezTo>
                  <a:pt x="0" y="46235"/>
                  <a:pt x="13335" y="59570"/>
                  <a:pt x="29785" y="59570"/>
                </a:cubicBezTo>
                <a:cubicBezTo>
                  <a:pt x="46235" y="59570"/>
                  <a:pt x="59570" y="46235"/>
                  <a:pt x="59570" y="29785"/>
                </a:cubicBezTo>
                <a:cubicBezTo>
                  <a:pt x="59570" y="13335"/>
                  <a:pt x="46235" y="0"/>
                  <a:pt x="29785" y="0"/>
                </a:cubicBezTo>
                <a:cubicBezTo>
                  <a:pt x="13335" y="0"/>
                  <a:pt x="0" y="13335"/>
                  <a:pt x="0" y="29785"/>
                </a:cubicBezTo>
              </a:path>
            </a:pathLst>
          </a:custGeom>
          <a:noFill/>
          <a:ln w="11430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41" name="Rounded Rectangle 43">
            <a:extLst>
              <a:ext uri="{FF2B5EF4-FFF2-40B4-BE49-F238E27FC236}">
                <a16:creationId xmlns:a16="http://schemas.microsoft.com/office/drawing/2014/main" id="{B7BE8AFD-64EA-6146-8981-E3CAFAD7EB09}"/>
              </a:ext>
            </a:extLst>
          </xdr:cNvPr>
          <xdr:cNvSpPr/>
        </xdr:nvSpPr>
        <xdr:spPr>
          <a:xfrm>
            <a:off x="5227992" y="3449471"/>
            <a:ext cx="59573" cy="59573"/>
          </a:xfrm>
          <a:custGeom>
            <a:avLst/>
            <a:gdLst/>
            <a:ahLst/>
            <a:cxnLst/>
            <a:rect l="0" t="0" r="0" b="0"/>
            <a:pathLst>
              <a:path w="59573" h="59573">
                <a:moveTo>
                  <a:pt x="0" y="29786"/>
                </a:moveTo>
                <a:cubicBezTo>
                  <a:pt x="0" y="46238"/>
                  <a:pt x="13335" y="59573"/>
                  <a:pt x="29786" y="59573"/>
                </a:cubicBezTo>
                <a:cubicBezTo>
                  <a:pt x="46238" y="59573"/>
                  <a:pt x="59573" y="46238"/>
                  <a:pt x="59573" y="29786"/>
                </a:cubicBezTo>
                <a:cubicBezTo>
                  <a:pt x="59573" y="13335"/>
                  <a:pt x="46238" y="0"/>
                  <a:pt x="29786" y="0"/>
                </a:cubicBezTo>
                <a:cubicBezTo>
                  <a:pt x="13335" y="0"/>
                  <a:pt x="0" y="13335"/>
                  <a:pt x="0" y="29786"/>
                </a:cubicBezTo>
              </a:path>
            </a:pathLst>
          </a:custGeom>
          <a:solidFill>
            <a:srgbClr val="E0CB15"/>
          </a:solidFill>
          <a:ln>
            <a:noFill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42" name="Rounded Rectangle 44">
            <a:extLst>
              <a:ext uri="{FF2B5EF4-FFF2-40B4-BE49-F238E27FC236}">
                <a16:creationId xmlns:a16="http://schemas.microsoft.com/office/drawing/2014/main" id="{DD13B05D-E7B5-7674-CB6C-80A4E8110A04}"/>
              </a:ext>
            </a:extLst>
          </xdr:cNvPr>
          <xdr:cNvSpPr/>
        </xdr:nvSpPr>
        <xdr:spPr>
          <a:xfrm>
            <a:off x="5227992" y="3449473"/>
            <a:ext cx="59570" cy="59570"/>
          </a:xfrm>
          <a:custGeom>
            <a:avLst/>
            <a:gdLst/>
            <a:ahLst/>
            <a:cxnLst/>
            <a:rect l="0" t="0" r="0" b="0"/>
            <a:pathLst>
              <a:path w="59570" h="59570">
                <a:moveTo>
                  <a:pt x="0" y="29785"/>
                </a:moveTo>
                <a:cubicBezTo>
                  <a:pt x="0" y="46235"/>
                  <a:pt x="13335" y="59570"/>
                  <a:pt x="29785" y="59570"/>
                </a:cubicBezTo>
                <a:cubicBezTo>
                  <a:pt x="46235" y="59570"/>
                  <a:pt x="59570" y="46235"/>
                  <a:pt x="59570" y="29785"/>
                </a:cubicBezTo>
                <a:cubicBezTo>
                  <a:pt x="59570" y="13335"/>
                  <a:pt x="46235" y="0"/>
                  <a:pt x="29785" y="0"/>
                </a:cubicBezTo>
                <a:cubicBezTo>
                  <a:pt x="13335" y="0"/>
                  <a:pt x="0" y="13335"/>
                  <a:pt x="0" y="29785"/>
                </a:cubicBezTo>
              </a:path>
            </a:pathLst>
          </a:custGeom>
          <a:noFill/>
          <a:ln w="11430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43" name="Rounded Rectangle 45">
            <a:extLst>
              <a:ext uri="{FF2B5EF4-FFF2-40B4-BE49-F238E27FC236}">
                <a16:creationId xmlns:a16="http://schemas.microsoft.com/office/drawing/2014/main" id="{112DE799-16ED-279E-EBFC-5CDEC5436922}"/>
              </a:ext>
            </a:extLst>
          </xdr:cNvPr>
          <xdr:cNvSpPr/>
        </xdr:nvSpPr>
        <xdr:spPr>
          <a:xfrm>
            <a:off x="5502312" y="3007511"/>
            <a:ext cx="59573" cy="59573"/>
          </a:xfrm>
          <a:custGeom>
            <a:avLst/>
            <a:gdLst/>
            <a:ahLst/>
            <a:cxnLst/>
            <a:rect l="0" t="0" r="0" b="0"/>
            <a:pathLst>
              <a:path w="59573" h="59573">
                <a:moveTo>
                  <a:pt x="0" y="29786"/>
                </a:moveTo>
                <a:cubicBezTo>
                  <a:pt x="0" y="46238"/>
                  <a:pt x="13335" y="59573"/>
                  <a:pt x="29786" y="59573"/>
                </a:cubicBezTo>
                <a:cubicBezTo>
                  <a:pt x="46238" y="59573"/>
                  <a:pt x="59573" y="46238"/>
                  <a:pt x="59573" y="29786"/>
                </a:cubicBezTo>
                <a:cubicBezTo>
                  <a:pt x="59573" y="13335"/>
                  <a:pt x="46238" y="0"/>
                  <a:pt x="29786" y="0"/>
                </a:cubicBezTo>
                <a:cubicBezTo>
                  <a:pt x="13335" y="0"/>
                  <a:pt x="0" y="13335"/>
                  <a:pt x="0" y="29786"/>
                </a:cubicBezTo>
              </a:path>
            </a:pathLst>
          </a:custGeom>
          <a:solidFill>
            <a:srgbClr val="E0CB15"/>
          </a:solidFill>
          <a:ln>
            <a:noFill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44" name="Rounded Rectangle 46">
            <a:extLst>
              <a:ext uri="{FF2B5EF4-FFF2-40B4-BE49-F238E27FC236}">
                <a16:creationId xmlns:a16="http://schemas.microsoft.com/office/drawing/2014/main" id="{D4DF4B0F-9F57-1BE9-223F-C77C81A9A44A}"/>
              </a:ext>
            </a:extLst>
          </xdr:cNvPr>
          <xdr:cNvSpPr/>
        </xdr:nvSpPr>
        <xdr:spPr>
          <a:xfrm>
            <a:off x="5502312" y="3007513"/>
            <a:ext cx="59570" cy="59570"/>
          </a:xfrm>
          <a:custGeom>
            <a:avLst/>
            <a:gdLst/>
            <a:ahLst/>
            <a:cxnLst/>
            <a:rect l="0" t="0" r="0" b="0"/>
            <a:pathLst>
              <a:path w="59570" h="59570">
                <a:moveTo>
                  <a:pt x="0" y="29785"/>
                </a:moveTo>
                <a:cubicBezTo>
                  <a:pt x="0" y="46235"/>
                  <a:pt x="13335" y="59570"/>
                  <a:pt x="29785" y="59570"/>
                </a:cubicBezTo>
                <a:cubicBezTo>
                  <a:pt x="46235" y="59570"/>
                  <a:pt x="59570" y="46235"/>
                  <a:pt x="59570" y="29785"/>
                </a:cubicBezTo>
                <a:cubicBezTo>
                  <a:pt x="59570" y="13335"/>
                  <a:pt x="46235" y="0"/>
                  <a:pt x="29785" y="0"/>
                </a:cubicBezTo>
                <a:cubicBezTo>
                  <a:pt x="13335" y="0"/>
                  <a:pt x="0" y="13335"/>
                  <a:pt x="0" y="29785"/>
                </a:cubicBezTo>
              </a:path>
            </a:pathLst>
          </a:custGeom>
          <a:noFill/>
          <a:ln w="11430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45" name="Rounded Rectangle 47">
            <a:extLst>
              <a:ext uri="{FF2B5EF4-FFF2-40B4-BE49-F238E27FC236}">
                <a16:creationId xmlns:a16="http://schemas.microsoft.com/office/drawing/2014/main" id="{930A86AB-123E-3645-7E17-899155BA0899}"/>
              </a:ext>
            </a:extLst>
          </xdr:cNvPr>
          <xdr:cNvSpPr/>
        </xdr:nvSpPr>
        <xdr:spPr>
          <a:xfrm>
            <a:off x="5776632" y="2557931"/>
            <a:ext cx="59573" cy="59573"/>
          </a:xfrm>
          <a:custGeom>
            <a:avLst/>
            <a:gdLst/>
            <a:ahLst/>
            <a:cxnLst/>
            <a:rect l="0" t="0" r="0" b="0"/>
            <a:pathLst>
              <a:path w="59573" h="59573">
                <a:moveTo>
                  <a:pt x="0" y="29786"/>
                </a:moveTo>
                <a:cubicBezTo>
                  <a:pt x="0" y="46238"/>
                  <a:pt x="13335" y="59573"/>
                  <a:pt x="29786" y="59573"/>
                </a:cubicBezTo>
                <a:cubicBezTo>
                  <a:pt x="46238" y="59573"/>
                  <a:pt x="59573" y="46238"/>
                  <a:pt x="59573" y="29786"/>
                </a:cubicBezTo>
                <a:cubicBezTo>
                  <a:pt x="59573" y="13335"/>
                  <a:pt x="46238" y="0"/>
                  <a:pt x="29786" y="0"/>
                </a:cubicBezTo>
                <a:cubicBezTo>
                  <a:pt x="13335" y="0"/>
                  <a:pt x="0" y="13335"/>
                  <a:pt x="0" y="29786"/>
                </a:cubicBezTo>
              </a:path>
            </a:pathLst>
          </a:custGeom>
          <a:solidFill>
            <a:srgbClr val="E0CB15"/>
          </a:solidFill>
          <a:ln>
            <a:noFill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46" name="Rounded Rectangle 48">
            <a:extLst>
              <a:ext uri="{FF2B5EF4-FFF2-40B4-BE49-F238E27FC236}">
                <a16:creationId xmlns:a16="http://schemas.microsoft.com/office/drawing/2014/main" id="{F03A2BBA-9561-ABE3-4952-1DAABEBFF4E6}"/>
              </a:ext>
            </a:extLst>
          </xdr:cNvPr>
          <xdr:cNvSpPr/>
        </xdr:nvSpPr>
        <xdr:spPr>
          <a:xfrm>
            <a:off x="5776632" y="2557933"/>
            <a:ext cx="59570" cy="59570"/>
          </a:xfrm>
          <a:custGeom>
            <a:avLst/>
            <a:gdLst/>
            <a:ahLst/>
            <a:cxnLst/>
            <a:rect l="0" t="0" r="0" b="0"/>
            <a:pathLst>
              <a:path w="59570" h="59570">
                <a:moveTo>
                  <a:pt x="0" y="29785"/>
                </a:moveTo>
                <a:cubicBezTo>
                  <a:pt x="0" y="46235"/>
                  <a:pt x="13335" y="59570"/>
                  <a:pt x="29785" y="59570"/>
                </a:cubicBezTo>
                <a:cubicBezTo>
                  <a:pt x="46235" y="59570"/>
                  <a:pt x="59570" y="46235"/>
                  <a:pt x="59570" y="29785"/>
                </a:cubicBezTo>
                <a:cubicBezTo>
                  <a:pt x="59570" y="13335"/>
                  <a:pt x="46235" y="0"/>
                  <a:pt x="29785" y="0"/>
                </a:cubicBezTo>
                <a:cubicBezTo>
                  <a:pt x="13335" y="0"/>
                  <a:pt x="0" y="13335"/>
                  <a:pt x="0" y="29785"/>
                </a:cubicBezTo>
              </a:path>
            </a:pathLst>
          </a:custGeom>
          <a:noFill/>
          <a:ln w="11430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47" name="Rounded Rectangle 49">
            <a:extLst>
              <a:ext uri="{FF2B5EF4-FFF2-40B4-BE49-F238E27FC236}">
                <a16:creationId xmlns:a16="http://schemas.microsoft.com/office/drawing/2014/main" id="{6B92E95C-59CA-04F1-DBBB-769A538ED326}"/>
              </a:ext>
            </a:extLst>
          </xdr:cNvPr>
          <xdr:cNvSpPr/>
        </xdr:nvSpPr>
        <xdr:spPr>
          <a:xfrm>
            <a:off x="6050952" y="2291231"/>
            <a:ext cx="59573" cy="59573"/>
          </a:xfrm>
          <a:custGeom>
            <a:avLst/>
            <a:gdLst/>
            <a:ahLst/>
            <a:cxnLst/>
            <a:rect l="0" t="0" r="0" b="0"/>
            <a:pathLst>
              <a:path w="59573" h="59573">
                <a:moveTo>
                  <a:pt x="0" y="29786"/>
                </a:moveTo>
                <a:cubicBezTo>
                  <a:pt x="0" y="46238"/>
                  <a:pt x="13335" y="59573"/>
                  <a:pt x="29786" y="59573"/>
                </a:cubicBezTo>
                <a:cubicBezTo>
                  <a:pt x="46238" y="59573"/>
                  <a:pt x="59573" y="46238"/>
                  <a:pt x="59573" y="29786"/>
                </a:cubicBezTo>
                <a:cubicBezTo>
                  <a:pt x="59573" y="13335"/>
                  <a:pt x="46238" y="0"/>
                  <a:pt x="29786" y="0"/>
                </a:cubicBezTo>
                <a:cubicBezTo>
                  <a:pt x="13335" y="0"/>
                  <a:pt x="0" y="13335"/>
                  <a:pt x="0" y="29786"/>
                </a:cubicBezTo>
              </a:path>
            </a:pathLst>
          </a:custGeom>
          <a:solidFill>
            <a:srgbClr val="E0CB15"/>
          </a:solidFill>
          <a:ln>
            <a:noFill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48" name="Rounded Rectangle 50">
            <a:extLst>
              <a:ext uri="{FF2B5EF4-FFF2-40B4-BE49-F238E27FC236}">
                <a16:creationId xmlns:a16="http://schemas.microsoft.com/office/drawing/2014/main" id="{11CDB8FA-A799-93F5-2D31-55968B66134B}"/>
              </a:ext>
            </a:extLst>
          </xdr:cNvPr>
          <xdr:cNvSpPr/>
        </xdr:nvSpPr>
        <xdr:spPr>
          <a:xfrm>
            <a:off x="6050952" y="2291233"/>
            <a:ext cx="59570" cy="59570"/>
          </a:xfrm>
          <a:custGeom>
            <a:avLst/>
            <a:gdLst/>
            <a:ahLst/>
            <a:cxnLst/>
            <a:rect l="0" t="0" r="0" b="0"/>
            <a:pathLst>
              <a:path w="59570" h="59570">
                <a:moveTo>
                  <a:pt x="0" y="29785"/>
                </a:moveTo>
                <a:cubicBezTo>
                  <a:pt x="0" y="46235"/>
                  <a:pt x="13335" y="59570"/>
                  <a:pt x="29785" y="59570"/>
                </a:cubicBezTo>
                <a:cubicBezTo>
                  <a:pt x="46235" y="59570"/>
                  <a:pt x="59570" y="46235"/>
                  <a:pt x="59570" y="29785"/>
                </a:cubicBezTo>
                <a:cubicBezTo>
                  <a:pt x="59570" y="13335"/>
                  <a:pt x="46235" y="0"/>
                  <a:pt x="29785" y="0"/>
                </a:cubicBezTo>
                <a:cubicBezTo>
                  <a:pt x="13335" y="0"/>
                  <a:pt x="0" y="13335"/>
                  <a:pt x="0" y="29785"/>
                </a:cubicBezTo>
              </a:path>
            </a:pathLst>
          </a:custGeom>
          <a:noFill/>
          <a:ln w="11430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49" name="Rounded Rectangle 51">
            <a:extLst>
              <a:ext uri="{FF2B5EF4-FFF2-40B4-BE49-F238E27FC236}">
                <a16:creationId xmlns:a16="http://schemas.microsoft.com/office/drawing/2014/main" id="{D0C784F7-4B72-C1A3-64E6-3B3CDA3F5E67}"/>
              </a:ext>
            </a:extLst>
          </xdr:cNvPr>
          <xdr:cNvSpPr/>
        </xdr:nvSpPr>
        <xdr:spPr>
          <a:xfrm>
            <a:off x="4004764" y="1444882"/>
            <a:ext cx="121599" cy="121599"/>
          </a:xfrm>
          <a:custGeom>
            <a:avLst/>
            <a:gdLst/>
            <a:ahLst/>
            <a:cxnLst/>
            <a:rect l="0" t="0" r="0" b="0"/>
            <a:pathLst>
              <a:path w="121599" h="121599">
                <a:moveTo>
                  <a:pt x="0" y="60799"/>
                </a:moveTo>
                <a:cubicBezTo>
                  <a:pt x="0" y="94373"/>
                  <a:pt x="27218" y="121599"/>
                  <a:pt x="60799" y="121599"/>
                </a:cubicBezTo>
                <a:cubicBezTo>
                  <a:pt x="94373" y="121599"/>
                  <a:pt x="121599" y="94373"/>
                  <a:pt x="121599" y="60799"/>
                </a:cubicBezTo>
                <a:cubicBezTo>
                  <a:pt x="121599" y="27218"/>
                  <a:pt x="94373" y="0"/>
                  <a:pt x="60799" y="0"/>
                </a:cubicBezTo>
                <a:cubicBezTo>
                  <a:pt x="27218" y="0"/>
                  <a:pt x="0" y="27218"/>
                  <a:pt x="0" y="60799"/>
                </a:cubicBezTo>
              </a:path>
            </a:pathLst>
          </a:custGeom>
          <a:solidFill>
            <a:srgbClr val="4E88E7"/>
          </a:solidFill>
          <a:ln>
            <a:noFill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50" name="Rounded Rectangle 52">
            <a:extLst>
              <a:ext uri="{FF2B5EF4-FFF2-40B4-BE49-F238E27FC236}">
                <a16:creationId xmlns:a16="http://schemas.microsoft.com/office/drawing/2014/main" id="{8BBDBF3F-DFF9-6FD5-AD7D-6854DDF4C69F}"/>
              </a:ext>
            </a:extLst>
          </xdr:cNvPr>
          <xdr:cNvSpPr/>
        </xdr:nvSpPr>
        <xdr:spPr>
          <a:xfrm>
            <a:off x="4004764" y="1444882"/>
            <a:ext cx="121597" cy="121597"/>
          </a:xfrm>
          <a:custGeom>
            <a:avLst/>
            <a:gdLst/>
            <a:ahLst/>
            <a:cxnLst/>
            <a:rect l="0" t="0" r="0" b="0"/>
            <a:pathLst>
              <a:path w="121597" h="121597">
                <a:moveTo>
                  <a:pt x="0" y="60798"/>
                </a:moveTo>
                <a:cubicBezTo>
                  <a:pt x="0" y="94377"/>
                  <a:pt x="27220" y="121597"/>
                  <a:pt x="60798" y="121597"/>
                </a:cubicBezTo>
                <a:cubicBezTo>
                  <a:pt x="94377" y="121597"/>
                  <a:pt x="121597" y="94377"/>
                  <a:pt x="121597" y="60798"/>
                </a:cubicBezTo>
                <a:cubicBezTo>
                  <a:pt x="121597" y="27220"/>
                  <a:pt x="94377" y="0"/>
                  <a:pt x="60798" y="0"/>
                </a:cubicBezTo>
                <a:cubicBezTo>
                  <a:pt x="27220" y="0"/>
                  <a:pt x="0" y="27220"/>
                  <a:pt x="0" y="60798"/>
                </a:cubicBezTo>
              </a:path>
            </a:pathLst>
          </a:custGeom>
          <a:noFill/>
          <a:ln w="11430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51" name="Rounded Rectangle 53">
            <a:extLst>
              <a:ext uri="{FF2B5EF4-FFF2-40B4-BE49-F238E27FC236}">
                <a16:creationId xmlns:a16="http://schemas.microsoft.com/office/drawing/2014/main" id="{3BF21FA8-0CB8-3BA4-4BDC-69B75737FAFA}"/>
              </a:ext>
            </a:extLst>
          </xdr:cNvPr>
          <xdr:cNvSpPr/>
        </xdr:nvSpPr>
        <xdr:spPr>
          <a:xfrm>
            <a:off x="4663418" y="1444882"/>
            <a:ext cx="121599" cy="121599"/>
          </a:xfrm>
          <a:custGeom>
            <a:avLst/>
            <a:gdLst/>
            <a:ahLst/>
            <a:cxnLst/>
            <a:rect l="0" t="0" r="0" b="0"/>
            <a:pathLst>
              <a:path w="121599" h="121599">
                <a:moveTo>
                  <a:pt x="0" y="60799"/>
                </a:moveTo>
                <a:cubicBezTo>
                  <a:pt x="0" y="94373"/>
                  <a:pt x="27218" y="121599"/>
                  <a:pt x="60799" y="121599"/>
                </a:cubicBezTo>
                <a:cubicBezTo>
                  <a:pt x="94373" y="121599"/>
                  <a:pt x="121599" y="94373"/>
                  <a:pt x="121599" y="60799"/>
                </a:cubicBezTo>
                <a:cubicBezTo>
                  <a:pt x="121599" y="27218"/>
                  <a:pt x="94373" y="0"/>
                  <a:pt x="60799" y="0"/>
                </a:cubicBezTo>
                <a:cubicBezTo>
                  <a:pt x="27218" y="0"/>
                  <a:pt x="0" y="27218"/>
                  <a:pt x="0" y="60799"/>
                </a:cubicBezTo>
              </a:path>
            </a:pathLst>
          </a:custGeom>
          <a:solidFill>
            <a:srgbClr val="E0CB15"/>
          </a:solidFill>
          <a:ln>
            <a:noFill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52" name="Rounded Rectangle 54">
            <a:extLst>
              <a:ext uri="{FF2B5EF4-FFF2-40B4-BE49-F238E27FC236}">
                <a16:creationId xmlns:a16="http://schemas.microsoft.com/office/drawing/2014/main" id="{BDCD6636-6EA3-CA7E-A6E2-01D03D58F12C}"/>
              </a:ext>
            </a:extLst>
          </xdr:cNvPr>
          <xdr:cNvSpPr/>
        </xdr:nvSpPr>
        <xdr:spPr>
          <a:xfrm>
            <a:off x="4663417" y="1444882"/>
            <a:ext cx="121597" cy="121597"/>
          </a:xfrm>
          <a:custGeom>
            <a:avLst/>
            <a:gdLst/>
            <a:ahLst/>
            <a:cxnLst/>
            <a:rect l="0" t="0" r="0" b="0"/>
            <a:pathLst>
              <a:path w="121597" h="121597">
                <a:moveTo>
                  <a:pt x="0" y="60798"/>
                </a:moveTo>
                <a:cubicBezTo>
                  <a:pt x="0" y="94377"/>
                  <a:pt x="27220" y="121597"/>
                  <a:pt x="60798" y="121597"/>
                </a:cubicBezTo>
                <a:cubicBezTo>
                  <a:pt x="94377" y="121597"/>
                  <a:pt x="121597" y="94377"/>
                  <a:pt x="121597" y="60798"/>
                </a:cubicBezTo>
                <a:cubicBezTo>
                  <a:pt x="121597" y="27220"/>
                  <a:pt x="94377" y="0"/>
                  <a:pt x="60798" y="0"/>
                </a:cubicBezTo>
                <a:cubicBezTo>
                  <a:pt x="27220" y="0"/>
                  <a:pt x="0" y="27220"/>
                  <a:pt x="0" y="60798"/>
                </a:cubicBezTo>
              </a:path>
            </a:pathLst>
          </a:custGeom>
          <a:noFill/>
          <a:ln w="11430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53" name="Rounded Rectangle 55">
            <a:extLst>
              <a:ext uri="{FF2B5EF4-FFF2-40B4-BE49-F238E27FC236}">
                <a16:creationId xmlns:a16="http://schemas.microsoft.com/office/drawing/2014/main" id="{C7C4E44A-5A6F-5A31-43F0-B87F5E4A230F}"/>
              </a:ext>
            </a:extLst>
          </xdr:cNvPr>
          <xdr:cNvSpPr/>
        </xdr:nvSpPr>
        <xdr:spPr>
          <a:xfrm>
            <a:off x="2929867" y="5433789"/>
            <a:ext cx="3291840" cy="7620"/>
          </a:xfrm>
          <a:custGeom>
            <a:avLst/>
            <a:gdLst/>
            <a:ahLst/>
            <a:cxnLst/>
            <a:rect l="0" t="0" r="0" b="0"/>
            <a:pathLst>
              <a:path w="3291840" h="7620">
                <a:moveTo>
                  <a:pt x="0" y="0"/>
                </a:moveTo>
                <a:lnTo>
                  <a:pt x="3291840" y="0"/>
                </a:lnTo>
              </a:path>
            </a:pathLst>
          </a:custGeom>
          <a:noFill/>
          <a:ln w="11430">
            <a:solidFill>
              <a:srgbClr val="484848">
                <a:alpha val="15000"/>
              </a:srgbClr>
            </a:solidFill>
            <a:prstDash val="dash"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54" name="Rounded Rectangle 56">
            <a:extLst>
              <a:ext uri="{FF2B5EF4-FFF2-40B4-BE49-F238E27FC236}">
                <a16:creationId xmlns:a16="http://schemas.microsoft.com/office/drawing/2014/main" id="{6BA1E789-8596-658E-9EF1-A902179853D4}"/>
              </a:ext>
            </a:extLst>
          </xdr:cNvPr>
          <xdr:cNvSpPr/>
        </xdr:nvSpPr>
        <xdr:spPr>
          <a:xfrm>
            <a:off x="2929867" y="5052789"/>
            <a:ext cx="3291840" cy="7620"/>
          </a:xfrm>
          <a:custGeom>
            <a:avLst/>
            <a:gdLst/>
            <a:ahLst/>
            <a:cxnLst/>
            <a:rect l="0" t="0" r="0" b="0"/>
            <a:pathLst>
              <a:path w="3291840" h="7620">
                <a:moveTo>
                  <a:pt x="0" y="0"/>
                </a:moveTo>
                <a:lnTo>
                  <a:pt x="3291840" y="0"/>
                </a:lnTo>
              </a:path>
            </a:pathLst>
          </a:custGeom>
          <a:noFill/>
          <a:ln w="11430">
            <a:solidFill>
              <a:srgbClr val="484848">
                <a:alpha val="15000"/>
              </a:srgbClr>
            </a:solidFill>
            <a:prstDash val="dash"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55" name="Rounded Rectangle 57">
            <a:extLst>
              <a:ext uri="{FF2B5EF4-FFF2-40B4-BE49-F238E27FC236}">
                <a16:creationId xmlns:a16="http://schemas.microsoft.com/office/drawing/2014/main" id="{57AE8B98-590B-0F5E-919A-5B8556636FA3}"/>
              </a:ext>
            </a:extLst>
          </xdr:cNvPr>
          <xdr:cNvSpPr/>
        </xdr:nvSpPr>
        <xdr:spPr>
          <a:xfrm>
            <a:off x="2929867" y="4671789"/>
            <a:ext cx="3291840" cy="7620"/>
          </a:xfrm>
          <a:custGeom>
            <a:avLst/>
            <a:gdLst/>
            <a:ahLst/>
            <a:cxnLst/>
            <a:rect l="0" t="0" r="0" b="0"/>
            <a:pathLst>
              <a:path w="3291840" h="7620">
                <a:moveTo>
                  <a:pt x="0" y="0"/>
                </a:moveTo>
                <a:lnTo>
                  <a:pt x="3291840" y="0"/>
                </a:lnTo>
              </a:path>
            </a:pathLst>
          </a:custGeom>
          <a:noFill/>
          <a:ln w="11430">
            <a:solidFill>
              <a:srgbClr val="484848">
                <a:alpha val="15000"/>
              </a:srgbClr>
            </a:solidFill>
            <a:prstDash val="dash"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56" name="Rounded Rectangle 58">
            <a:extLst>
              <a:ext uri="{FF2B5EF4-FFF2-40B4-BE49-F238E27FC236}">
                <a16:creationId xmlns:a16="http://schemas.microsoft.com/office/drawing/2014/main" id="{3EABC40C-F72E-A8A9-D90F-EAFB0CA8604A}"/>
              </a:ext>
            </a:extLst>
          </xdr:cNvPr>
          <xdr:cNvSpPr/>
        </xdr:nvSpPr>
        <xdr:spPr>
          <a:xfrm>
            <a:off x="2929867" y="4290789"/>
            <a:ext cx="3291840" cy="7620"/>
          </a:xfrm>
          <a:custGeom>
            <a:avLst/>
            <a:gdLst/>
            <a:ahLst/>
            <a:cxnLst/>
            <a:rect l="0" t="0" r="0" b="0"/>
            <a:pathLst>
              <a:path w="3291840" h="7620">
                <a:moveTo>
                  <a:pt x="0" y="0"/>
                </a:moveTo>
                <a:lnTo>
                  <a:pt x="3291840" y="0"/>
                </a:lnTo>
              </a:path>
            </a:pathLst>
          </a:custGeom>
          <a:noFill/>
          <a:ln w="11430">
            <a:solidFill>
              <a:srgbClr val="484848">
                <a:alpha val="15000"/>
              </a:srgbClr>
            </a:solidFill>
            <a:prstDash val="dash"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57" name="Rounded Rectangle 59">
            <a:extLst>
              <a:ext uri="{FF2B5EF4-FFF2-40B4-BE49-F238E27FC236}">
                <a16:creationId xmlns:a16="http://schemas.microsoft.com/office/drawing/2014/main" id="{50B963A4-D44F-5650-1737-E788D56DDBDD}"/>
              </a:ext>
            </a:extLst>
          </xdr:cNvPr>
          <xdr:cNvSpPr/>
        </xdr:nvSpPr>
        <xdr:spPr>
          <a:xfrm>
            <a:off x="2929867" y="3909789"/>
            <a:ext cx="3291840" cy="7620"/>
          </a:xfrm>
          <a:custGeom>
            <a:avLst/>
            <a:gdLst/>
            <a:ahLst/>
            <a:cxnLst/>
            <a:rect l="0" t="0" r="0" b="0"/>
            <a:pathLst>
              <a:path w="3291840" h="7620">
                <a:moveTo>
                  <a:pt x="0" y="0"/>
                </a:moveTo>
                <a:lnTo>
                  <a:pt x="3291840" y="0"/>
                </a:lnTo>
              </a:path>
            </a:pathLst>
          </a:custGeom>
          <a:noFill/>
          <a:ln w="11430">
            <a:solidFill>
              <a:srgbClr val="484848">
                <a:alpha val="15000"/>
              </a:srgbClr>
            </a:solidFill>
            <a:prstDash val="dash"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58" name="Rounded Rectangle 60">
            <a:extLst>
              <a:ext uri="{FF2B5EF4-FFF2-40B4-BE49-F238E27FC236}">
                <a16:creationId xmlns:a16="http://schemas.microsoft.com/office/drawing/2014/main" id="{F0D6E117-AB7E-A74C-8218-89C7D81916F9}"/>
              </a:ext>
            </a:extLst>
          </xdr:cNvPr>
          <xdr:cNvSpPr/>
        </xdr:nvSpPr>
        <xdr:spPr>
          <a:xfrm>
            <a:off x="2929867" y="3528789"/>
            <a:ext cx="3291840" cy="7620"/>
          </a:xfrm>
          <a:custGeom>
            <a:avLst/>
            <a:gdLst/>
            <a:ahLst/>
            <a:cxnLst/>
            <a:rect l="0" t="0" r="0" b="0"/>
            <a:pathLst>
              <a:path w="3291840" h="7620">
                <a:moveTo>
                  <a:pt x="0" y="0"/>
                </a:moveTo>
                <a:lnTo>
                  <a:pt x="3291840" y="0"/>
                </a:lnTo>
              </a:path>
            </a:pathLst>
          </a:custGeom>
          <a:noFill/>
          <a:ln w="11430">
            <a:solidFill>
              <a:srgbClr val="484848">
                <a:alpha val="15000"/>
              </a:srgbClr>
            </a:solidFill>
            <a:prstDash val="dash"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59" name="Rounded Rectangle 61">
            <a:extLst>
              <a:ext uri="{FF2B5EF4-FFF2-40B4-BE49-F238E27FC236}">
                <a16:creationId xmlns:a16="http://schemas.microsoft.com/office/drawing/2014/main" id="{BD467E62-9262-F151-B81E-F4009EFB10CB}"/>
              </a:ext>
            </a:extLst>
          </xdr:cNvPr>
          <xdr:cNvSpPr/>
        </xdr:nvSpPr>
        <xdr:spPr>
          <a:xfrm>
            <a:off x="2929867" y="3147789"/>
            <a:ext cx="3291840" cy="7620"/>
          </a:xfrm>
          <a:custGeom>
            <a:avLst/>
            <a:gdLst/>
            <a:ahLst/>
            <a:cxnLst/>
            <a:rect l="0" t="0" r="0" b="0"/>
            <a:pathLst>
              <a:path w="3291840" h="7620">
                <a:moveTo>
                  <a:pt x="0" y="0"/>
                </a:moveTo>
                <a:lnTo>
                  <a:pt x="3291840" y="0"/>
                </a:lnTo>
              </a:path>
            </a:pathLst>
          </a:custGeom>
          <a:noFill/>
          <a:ln w="11430">
            <a:solidFill>
              <a:srgbClr val="484848">
                <a:alpha val="15000"/>
              </a:srgbClr>
            </a:solidFill>
            <a:prstDash val="dash"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60" name="Rounded Rectangle 62">
            <a:extLst>
              <a:ext uri="{FF2B5EF4-FFF2-40B4-BE49-F238E27FC236}">
                <a16:creationId xmlns:a16="http://schemas.microsoft.com/office/drawing/2014/main" id="{29951B47-8652-3704-CDDA-0F97446481B0}"/>
              </a:ext>
            </a:extLst>
          </xdr:cNvPr>
          <xdr:cNvSpPr/>
        </xdr:nvSpPr>
        <xdr:spPr>
          <a:xfrm>
            <a:off x="2929867" y="2766789"/>
            <a:ext cx="3291840" cy="7620"/>
          </a:xfrm>
          <a:custGeom>
            <a:avLst/>
            <a:gdLst/>
            <a:ahLst/>
            <a:cxnLst/>
            <a:rect l="0" t="0" r="0" b="0"/>
            <a:pathLst>
              <a:path w="3291840" h="7620">
                <a:moveTo>
                  <a:pt x="0" y="0"/>
                </a:moveTo>
                <a:lnTo>
                  <a:pt x="3291840" y="0"/>
                </a:lnTo>
              </a:path>
            </a:pathLst>
          </a:custGeom>
          <a:noFill/>
          <a:ln w="11430">
            <a:solidFill>
              <a:srgbClr val="484848">
                <a:alpha val="15000"/>
              </a:srgbClr>
            </a:solidFill>
            <a:prstDash val="dash"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61" name="Rounded Rectangle 63">
            <a:extLst>
              <a:ext uri="{FF2B5EF4-FFF2-40B4-BE49-F238E27FC236}">
                <a16:creationId xmlns:a16="http://schemas.microsoft.com/office/drawing/2014/main" id="{83F70C41-F8D0-C12E-4E10-967C59193E31}"/>
              </a:ext>
            </a:extLst>
          </xdr:cNvPr>
          <xdr:cNvSpPr/>
        </xdr:nvSpPr>
        <xdr:spPr>
          <a:xfrm>
            <a:off x="2929867" y="2385789"/>
            <a:ext cx="3291840" cy="7620"/>
          </a:xfrm>
          <a:custGeom>
            <a:avLst/>
            <a:gdLst/>
            <a:ahLst/>
            <a:cxnLst/>
            <a:rect l="0" t="0" r="0" b="0"/>
            <a:pathLst>
              <a:path w="3291840" h="7620">
                <a:moveTo>
                  <a:pt x="0" y="0"/>
                </a:moveTo>
                <a:lnTo>
                  <a:pt x="3291840" y="0"/>
                </a:lnTo>
              </a:path>
            </a:pathLst>
          </a:custGeom>
          <a:noFill/>
          <a:ln w="11430">
            <a:solidFill>
              <a:srgbClr val="484848">
                <a:alpha val="15000"/>
              </a:srgbClr>
            </a:solidFill>
            <a:prstDash val="dash"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62" name="Rounded Rectangle 64">
            <a:extLst>
              <a:ext uri="{FF2B5EF4-FFF2-40B4-BE49-F238E27FC236}">
                <a16:creationId xmlns:a16="http://schemas.microsoft.com/office/drawing/2014/main" id="{E7C1E248-AD01-E36E-3B23-55F05A14D149}"/>
              </a:ext>
            </a:extLst>
          </xdr:cNvPr>
          <xdr:cNvSpPr/>
        </xdr:nvSpPr>
        <xdr:spPr>
          <a:xfrm>
            <a:off x="2929867" y="2004789"/>
            <a:ext cx="3291840" cy="7620"/>
          </a:xfrm>
          <a:custGeom>
            <a:avLst/>
            <a:gdLst/>
            <a:ahLst/>
            <a:cxnLst/>
            <a:rect l="0" t="0" r="0" b="0"/>
            <a:pathLst>
              <a:path w="3291840" h="7620">
                <a:moveTo>
                  <a:pt x="0" y="0"/>
                </a:moveTo>
                <a:lnTo>
                  <a:pt x="3291840" y="0"/>
                </a:lnTo>
              </a:path>
            </a:pathLst>
          </a:custGeom>
          <a:noFill/>
          <a:ln w="11430">
            <a:solidFill>
              <a:srgbClr val="484848">
                <a:alpha val="15000"/>
              </a:srgbClr>
            </a:solidFill>
            <a:prstDash val="dash"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63" name="Rounded Rectangle 65">
            <a:extLst>
              <a:ext uri="{FF2B5EF4-FFF2-40B4-BE49-F238E27FC236}">
                <a16:creationId xmlns:a16="http://schemas.microsoft.com/office/drawing/2014/main" id="{94CA7BB8-3270-1F70-AFEB-C2F1A03B2BBC}"/>
              </a:ext>
            </a:extLst>
          </xdr:cNvPr>
          <xdr:cNvSpPr/>
        </xdr:nvSpPr>
        <xdr:spPr>
          <a:xfrm>
            <a:off x="2891767" y="5433789"/>
            <a:ext cx="38100" cy="7620"/>
          </a:xfrm>
          <a:custGeom>
            <a:avLst/>
            <a:gdLst/>
            <a:ahLst/>
            <a:cxnLst/>
            <a:rect l="0" t="0" r="0" b="0"/>
            <a:pathLst>
              <a:path w="38100" h="7620">
                <a:moveTo>
                  <a:pt x="38100" y="0"/>
                </a:moveTo>
                <a:lnTo>
                  <a:pt x="0" y="0"/>
                </a:lnTo>
              </a:path>
            </a:pathLst>
          </a:custGeom>
          <a:noFill/>
          <a:ln w="11430">
            <a:solidFill>
              <a:srgbClr val="484848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64" name="Rounded Rectangle 66">
            <a:extLst>
              <a:ext uri="{FF2B5EF4-FFF2-40B4-BE49-F238E27FC236}">
                <a16:creationId xmlns:a16="http://schemas.microsoft.com/office/drawing/2014/main" id="{5A9DFE72-8CD7-81C6-1733-07BDDBB656E1}"/>
              </a:ext>
            </a:extLst>
          </xdr:cNvPr>
          <xdr:cNvSpPr/>
        </xdr:nvSpPr>
        <xdr:spPr>
          <a:xfrm>
            <a:off x="2891767" y="5052789"/>
            <a:ext cx="38100" cy="7620"/>
          </a:xfrm>
          <a:custGeom>
            <a:avLst/>
            <a:gdLst/>
            <a:ahLst/>
            <a:cxnLst/>
            <a:rect l="0" t="0" r="0" b="0"/>
            <a:pathLst>
              <a:path w="38100" h="7620">
                <a:moveTo>
                  <a:pt x="38100" y="0"/>
                </a:moveTo>
                <a:lnTo>
                  <a:pt x="0" y="0"/>
                </a:lnTo>
              </a:path>
            </a:pathLst>
          </a:custGeom>
          <a:noFill/>
          <a:ln w="11430">
            <a:solidFill>
              <a:srgbClr val="484848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65" name="Rounded Rectangle 67">
            <a:extLst>
              <a:ext uri="{FF2B5EF4-FFF2-40B4-BE49-F238E27FC236}">
                <a16:creationId xmlns:a16="http://schemas.microsoft.com/office/drawing/2014/main" id="{0A247DD7-89C4-659C-C4E9-203928648E2C}"/>
              </a:ext>
            </a:extLst>
          </xdr:cNvPr>
          <xdr:cNvSpPr/>
        </xdr:nvSpPr>
        <xdr:spPr>
          <a:xfrm>
            <a:off x="2891767" y="4671789"/>
            <a:ext cx="38100" cy="7620"/>
          </a:xfrm>
          <a:custGeom>
            <a:avLst/>
            <a:gdLst/>
            <a:ahLst/>
            <a:cxnLst/>
            <a:rect l="0" t="0" r="0" b="0"/>
            <a:pathLst>
              <a:path w="38100" h="7620">
                <a:moveTo>
                  <a:pt x="38100" y="0"/>
                </a:moveTo>
                <a:lnTo>
                  <a:pt x="0" y="0"/>
                </a:lnTo>
              </a:path>
            </a:pathLst>
          </a:custGeom>
          <a:noFill/>
          <a:ln w="11430">
            <a:solidFill>
              <a:srgbClr val="484848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66" name="Rounded Rectangle 68">
            <a:extLst>
              <a:ext uri="{FF2B5EF4-FFF2-40B4-BE49-F238E27FC236}">
                <a16:creationId xmlns:a16="http://schemas.microsoft.com/office/drawing/2014/main" id="{9BD3A87B-8F48-6A1A-2315-7A316D06D4A2}"/>
              </a:ext>
            </a:extLst>
          </xdr:cNvPr>
          <xdr:cNvSpPr/>
        </xdr:nvSpPr>
        <xdr:spPr>
          <a:xfrm>
            <a:off x="2891767" y="4290789"/>
            <a:ext cx="38100" cy="7620"/>
          </a:xfrm>
          <a:custGeom>
            <a:avLst/>
            <a:gdLst/>
            <a:ahLst/>
            <a:cxnLst/>
            <a:rect l="0" t="0" r="0" b="0"/>
            <a:pathLst>
              <a:path w="38100" h="7620">
                <a:moveTo>
                  <a:pt x="38100" y="0"/>
                </a:moveTo>
                <a:lnTo>
                  <a:pt x="0" y="0"/>
                </a:lnTo>
              </a:path>
            </a:pathLst>
          </a:custGeom>
          <a:noFill/>
          <a:ln w="11430">
            <a:solidFill>
              <a:srgbClr val="484848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67" name="Rounded Rectangle 69">
            <a:extLst>
              <a:ext uri="{FF2B5EF4-FFF2-40B4-BE49-F238E27FC236}">
                <a16:creationId xmlns:a16="http://schemas.microsoft.com/office/drawing/2014/main" id="{E9D917C4-C311-BB5B-5611-4CB1110C7DE7}"/>
              </a:ext>
            </a:extLst>
          </xdr:cNvPr>
          <xdr:cNvSpPr/>
        </xdr:nvSpPr>
        <xdr:spPr>
          <a:xfrm>
            <a:off x="2891767" y="3909789"/>
            <a:ext cx="38100" cy="7620"/>
          </a:xfrm>
          <a:custGeom>
            <a:avLst/>
            <a:gdLst/>
            <a:ahLst/>
            <a:cxnLst/>
            <a:rect l="0" t="0" r="0" b="0"/>
            <a:pathLst>
              <a:path w="38100" h="7620">
                <a:moveTo>
                  <a:pt x="38100" y="0"/>
                </a:moveTo>
                <a:lnTo>
                  <a:pt x="0" y="0"/>
                </a:lnTo>
              </a:path>
            </a:pathLst>
          </a:custGeom>
          <a:noFill/>
          <a:ln w="11430">
            <a:solidFill>
              <a:srgbClr val="484848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68" name="Rounded Rectangle 70">
            <a:extLst>
              <a:ext uri="{FF2B5EF4-FFF2-40B4-BE49-F238E27FC236}">
                <a16:creationId xmlns:a16="http://schemas.microsoft.com/office/drawing/2014/main" id="{EDE09408-72D3-1672-66FF-8065C148517F}"/>
              </a:ext>
            </a:extLst>
          </xdr:cNvPr>
          <xdr:cNvSpPr/>
        </xdr:nvSpPr>
        <xdr:spPr>
          <a:xfrm>
            <a:off x="2891767" y="3528789"/>
            <a:ext cx="38100" cy="7620"/>
          </a:xfrm>
          <a:custGeom>
            <a:avLst/>
            <a:gdLst/>
            <a:ahLst/>
            <a:cxnLst/>
            <a:rect l="0" t="0" r="0" b="0"/>
            <a:pathLst>
              <a:path w="38100" h="7620">
                <a:moveTo>
                  <a:pt x="38100" y="0"/>
                </a:moveTo>
                <a:lnTo>
                  <a:pt x="0" y="0"/>
                </a:lnTo>
              </a:path>
            </a:pathLst>
          </a:custGeom>
          <a:noFill/>
          <a:ln w="11430">
            <a:solidFill>
              <a:srgbClr val="484848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69" name="Rounded Rectangle 71">
            <a:extLst>
              <a:ext uri="{FF2B5EF4-FFF2-40B4-BE49-F238E27FC236}">
                <a16:creationId xmlns:a16="http://schemas.microsoft.com/office/drawing/2014/main" id="{527827A5-29A0-D83F-E105-850F10108965}"/>
              </a:ext>
            </a:extLst>
          </xdr:cNvPr>
          <xdr:cNvSpPr/>
        </xdr:nvSpPr>
        <xdr:spPr>
          <a:xfrm>
            <a:off x="2891767" y="3147789"/>
            <a:ext cx="38100" cy="7620"/>
          </a:xfrm>
          <a:custGeom>
            <a:avLst/>
            <a:gdLst/>
            <a:ahLst/>
            <a:cxnLst/>
            <a:rect l="0" t="0" r="0" b="0"/>
            <a:pathLst>
              <a:path w="38100" h="7620">
                <a:moveTo>
                  <a:pt x="38100" y="0"/>
                </a:moveTo>
                <a:lnTo>
                  <a:pt x="0" y="0"/>
                </a:lnTo>
              </a:path>
            </a:pathLst>
          </a:custGeom>
          <a:noFill/>
          <a:ln w="11430">
            <a:solidFill>
              <a:srgbClr val="484848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70" name="Rounded Rectangle 72">
            <a:extLst>
              <a:ext uri="{FF2B5EF4-FFF2-40B4-BE49-F238E27FC236}">
                <a16:creationId xmlns:a16="http://schemas.microsoft.com/office/drawing/2014/main" id="{52DD24B8-D890-D24F-AE8B-094569C46E34}"/>
              </a:ext>
            </a:extLst>
          </xdr:cNvPr>
          <xdr:cNvSpPr/>
        </xdr:nvSpPr>
        <xdr:spPr>
          <a:xfrm>
            <a:off x="2891767" y="2766789"/>
            <a:ext cx="38100" cy="7620"/>
          </a:xfrm>
          <a:custGeom>
            <a:avLst/>
            <a:gdLst/>
            <a:ahLst/>
            <a:cxnLst/>
            <a:rect l="0" t="0" r="0" b="0"/>
            <a:pathLst>
              <a:path w="38100" h="7620">
                <a:moveTo>
                  <a:pt x="38100" y="0"/>
                </a:moveTo>
                <a:lnTo>
                  <a:pt x="0" y="0"/>
                </a:lnTo>
              </a:path>
            </a:pathLst>
          </a:custGeom>
          <a:noFill/>
          <a:ln w="11430">
            <a:solidFill>
              <a:srgbClr val="484848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71" name="Rounded Rectangle 73">
            <a:extLst>
              <a:ext uri="{FF2B5EF4-FFF2-40B4-BE49-F238E27FC236}">
                <a16:creationId xmlns:a16="http://schemas.microsoft.com/office/drawing/2014/main" id="{4715E8C1-3EB6-76A2-4EC5-725409ECC231}"/>
              </a:ext>
            </a:extLst>
          </xdr:cNvPr>
          <xdr:cNvSpPr/>
        </xdr:nvSpPr>
        <xdr:spPr>
          <a:xfrm>
            <a:off x="2891767" y="2385789"/>
            <a:ext cx="38100" cy="7620"/>
          </a:xfrm>
          <a:custGeom>
            <a:avLst/>
            <a:gdLst/>
            <a:ahLst/>
            <a:cxnLst/>
            <a:rect l="0" t="0" r="0" b="0"/>
            <a:pathLst>
              <a:path w="38100" h="7620">
                <a:moveTo>
                  <a:pt x="38100" y="0"/>
                </a:moveTo>
                <a:lnTo>
                  <a:pt x="0" y="0"/>
                </a:lnTo>
              </a:path>
            </a:pathLst>
          </a:custGeom>
          <a:noFill/>
          <a:ln w="11430">
            <a:solidFill>
              <a:srgbClr val="484848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72" name="Rounded Rectangle 74">
            <a:extLst>
              <a:ext uri="{FF2B5EF4-FFF2-40B4-BE49-F238E27FC236}">
                <a16:creationId xmlns:a16="http://schemas.microsoft.com/office/drawing/2014/main" id="{2A09AEFD-73CE-87EC-506B-D2B71877BCEC}"/>
              </a:ext>
            </a:extLst>
          </xdr:cNvPr>
          <xdr:cNvSpPr/>
        </xdr:nvSpPr>
        <xdr:spPr>
          <a:xfrm>
            <a:off x="2891767" y="2004789"/>
            <a:ext cx="38100" cy="7620"/>
          </a:xfrm>
          <a:custGeom>
            <a:avLst/>
            <a:gdLst/>
            <a:ahLst/>
            <a:cxnLst/>
            <a:rect l="0" t="0" r="0" b="0"/>
            <a:pathLst>
              <a:path w="38100" h="7620">
                <a:moveTo>
                  <a:pt x="38100" y="0"/>
                </a:moveTo>
                <a:lnTo>
                  <a:pt x="0" y="0"/>
                </a:lnTo>
              </a:path>
            </a:pathLst>
          </a:custGeom>
          <a:noFill/>
          <a:ln w="11430">
            <a:solidFill>
              <a:srgbClr val="484848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73" name="Rounded Rectangle 75">
            <a:extLst>
              <a:ext uri="{FF2B5EF4-FFF2-40B4-BE49-F238E27FC236}">
                <a16:creationId xmlns:a16="http://schemas.microsoft.com/office/drawing/2014/main" id="{7EC92531-7866-391A-8E9C-A1B0D6B4758D}"/>
              </a:ext>
            </a:extLst>
          </xdr:cNvPr>
          <xdr:cNvSpPr/>
        </xdr:nvSpPr>
        <xdr:spPr>
          <a:xfrm>
            <a:off x="2929867" y="2004789"/>
            <a:ext cx="7620" cy="3429000"/>
          </a:xfrm>
          <a:custGeom>
            <a:avLst/>
            <a:gdLst/>
            <a:ahLst/>
            <a:cxnLst/>
            <a:rect l="0" t="0" r="0" b="0"/>
            <a:pathLst>
              <a:path w="7620" h="3429000">
                <a:moveTo>
                  <a:pt x="0" y="3429000"/>
                </a:moveTo>
                <a:lnTo>
                  <a:pt x="0" y="0"/>
                </a:lnTo>
              </a:path>
            </a:pathLst>
          </a:custGeom>
          <a:noFill/>
          <a:ln w="11430">
            <a:solidFill>
              <a:srgbClr val="484848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74" name="Rounded Rectangle 76">
            <a:extLst>
              <a:ext uri="{FF2B5EF4-FFF2-40B4-BE49-F238E27FC236}">
                <a16:creationId xmlns:a16="http://schemas.microsoft.com/office/drawing/2014/main" id="{F7FC1A31-5498-F2A8-DAF5-3351DECDE28A}"/>
              </a:ext>
            </a:extLst>
          </xdr:cNvPr>
          <xdr:cNvSpPr/>
        </xdr:nvSpPr>
        <xdr:spPr>
          <a:xfrm>
            <a:off x="3067027" y="5433789"/>
            <a:ext cx="7620" cy="38100"/>
          </a:xfrm>
          <a:custGeom>
            <a:avLst/>
            <a:gdLst/>
            <a:ahLst/>
            <a:cxnLst/>
            <a:rect l="0" t="0" r="0" b="0"/>
            <a:pathLst>
              <a:path w="7620" h="38100">
                <a:moveTo>
                  <a:pt x="0" y="0"/>
                </a:moveTo>
                <a:lnTo>
                  <a:pt x="0" y="38100"/>
                </a:lnTo>
              </a:path>
            </a:pathLst>
          </a:custGeom>
          <a:noFill/>
          <a:ln w="11430">
            <a:solidFill>
              <a:srgbClr val="484848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75" name="Rounded Rectangle 77">
            <a:extLst>
              <a:ext uri="{FF2B5EF4-FFF2-40B4-BE49-F238E27FC236}">
                <a16:creationId xmlns:a16="http://schemas.microsoft.com/office/drawing/2014/main" id="{286502FD-3F06-5757-D0C8-12C2166AA38B}"/>
              </a:ext>
            </a:extLst>
          </xdr:cNvPr>
          <xdr:cNvSpPr/>
        </xdr:nvSpPr>
        <xdr:spPr>
          <a:xfrm>
            <a:off x="3341347" y="5433789"/>
            <a:ext cx="7620" cy="38100"/>
          </a:xfrm>
          <a:custGeom>
            <a:avLst/>
            <a:gdLst/>
            <a:ahLst/>
            <a:cxnLst/>
            <a:rect l="0" t="0" r="0" b="0"/>
            <a:pathLst>
              <a:path w="7620" h="38100">
                <a:moveTo>
                  <a:pt x="0" y="0"/>
                </a:moveTo>
                <a:lnTo>
                  <a:pt x="0" y="38100"/>
                </a:lnTo>
              </a:path>
            </a:pathLst>
          </a:custGeom>
          <a:noFill/>
          <a:ln w="11430">
            <a:solidFill>
              <a:srgbClr val="484848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76" name="Rounded Rectangle 78">
            <a:extLst>
              <a:ext uri="{FF2B5EF4-FFF2-40B4-BE49-F238E27FC236}">
                <a16:creationId xmlns:a16="http://schemas.microsoft.com/office/drawing/2014/main" id="{C29AAE85-FC53-5225-8DD2-9B9DD0FACF57}"/>
              </a:ext>
            </a:extLst>
          </xdr:cNvPr>
          <xdr:cNvSpPr/>
        </xdr:nvSpPr>
        <xdr:spPr>
          <a:xfrm>
            <a:off x="3615667" y="5433789"/>
            <a:ext cx="7620" cy="38100"/>
          </a:xfrm>
          <a:custGeom>
            <a:avLst/>
            <a:gdLst/>
            <a:ahLst/>
            <a:cxnLst/>
            <a:rect l="0" t="0" r="0" b="0"/>
            <a:pathLst>
              <a:path w="7620" h="38100">
                <a:moveTo>
                  <a:pt x="0" y="0"/>
                </a:moveTo>
                <a:lnTo>
                  <a:pt x="0" y="38100"/>
                </a:lnTo>
              </a:path>
            </a:pathLst>
          </a:custGeom>
          <a:noFill/>
          <a:ln w="11430">
            <a:solidFill>
              <a:srgbClr val="484848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77" name="Rounded Rectangle 79">
            <a:extLst>
              <a:ext uri="{FF2B5EF4-FFF2-40B4-BE49-F238E27FC236}">
                <a16:creationId xmlns:a16="http://schemas.microsoft.com/office/drawing/2014/main" id="{18B9CAA1-52C0-1F96-B8E9-C114542977B4}"/>
              </a:ext>
            </a:extLst>
          </xdr:cNvPr>
          <xdr:cNvSpPr/>
        </xdr:nvSpPr>
        <xdr:spPr>
          <a:xfrm>
            <a:off x="3889987" y="5433789"/>
            <a:ext cx="7620" cy="38100"/>
          </a:xfrm>
          <a:custGeom>
            <a:avLst/>
            <a:gdLst/>
            <a:ahLst/>
            <a:cxnLst/>
            <a:rect l="0" t="0" r="0" b="0"/>
            <a:pathLst>
              <a:path w="7620" h="38100">
                <a:moveTo>
                  <a:pt x="0" y="0"/>
                </a:moveTo>
                <a:lnTo>
                  <a:pt x="0" y="38100"/>
                </a:lnTo>
              </a:path>
            </a:pathLst>
          </a:custGeom>
          <a:noFill/>
          <a:ln w="11430">
            <a:solidFill>
              <a:srgbClr val="484848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78" name="Rounded Rectangle 80">
            <a:extLst>
              <a:ext uri="{FF2B5EF4-FFF2-40B4-BE49-F238E27FC236}">
                <a16:creationId xmlns:a16="http://schemas.microsoft.com/office/drawing/2014/main" id="{75504654-D420-ED75-AC51-51FEBD3259B2}"/>
              </a:ext>
            </a:extLst>
          </xdr:cNvPr>
          <xdr:cNvSpPr/>
        </xdr:nvSpPr>
        <xdr:spPr>
          <a:xfrm>
            <a:off x="4164307" y="5433789"/>
            <a:ext cx="7620" cy="38100"/>
          </a:xfrm>
          <a:custGeom>
            <a:avLst/>
            <a:gdLst/>
            <a:ahLst/>
            <a:cxnLst/>
            <a:rect l="0" t="0" r="0" b="0"/>
            <a:pathLst>
              <a:path w="7620" h="38100">
                <a:moveTo>
                  <a:pt x="0" y="0"/>
                </a:moveTo>
                <a:lnTo>
                  <a:pt x="0" y="38100"/>
                </a:lnTo>
              </a:path>
            </a:pathLst>
          </a:custGeom>
          <a:noFill/>
          <a:ln w="11430">
            <a:solidFill>
              <a:srgbClr val="484848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79" name="Rounded Rectangle 81">
            <a:extLst>
              <a:ext uri="{FF2B5EF4-FFF2-40B4-BE49-F238E27FC236}">
                <a16:creationId xmlns:a16="http://schemas.microsoft.com/office/drawing/2014/main" id="{498C4AFE-7782-FFA1-D8C1-38172FF7E6A9}"/>
              </a:ext>
            </a:extLst>
          </xdr:cNvPr>
          <xdr:cNvSpPr/>
        </xdr:nvSpPr>
        <xdr:spPr>
          <a:xfrm>
            <a:off x="4438627" y="5433789"/>
            <a:ext cx="7620" cy="38100"/>
          </a:xfrm>
          <a:custGeom>
            <a:avLst/>
            <a:gdLst/>
            <a:ahLst/>
            <a:cxnLst/>
            <a:rect l="0" t="0" r="0" b="0"/>
            <a:pathLst>
              <a:path w="7620" h="38100">
                <a:moveTo>
                  <a:pt x="0" y="0"/>
                </a:moveTo>
                <a:lnTo>
                  <a:pt x="0" y="38100"/>
                </a:lnTo>
              </a:path>
            </a:pathLst>
          </a:custGeom>
          <a:noFill/>
          <a:ln w="11430">
            <a:solidFill>
              <a:srgbClr val="484848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80" name="Rounded Rectangle 82">
            <a:extLst>
              <a:ext uri="{FF2B5EF4-FFF2-40B4-BE49-F238E27FC236}">
                <a16:creationId xmlns:a16="http://schemas.microsoft.com/office/drawing/2014/main" id="{E561FE9E-2830-BB6F-2639-3F644F9195FF}"/>
              </a:ext>
            </a:extLst>
          </xdr:cNvPr>
          <xdr:cNvSpPr/>
        </xdr:nvSpPr>
        <xdr:spPr>
          <a:xfrm>
            <a:off x="4712947" y="5433789"/>
            <a:ext cx="7620" cy="38100"/>
          </a:xfrm>
          <a:custGeom>
            <a:avLst/>
            <a:gdLst/>
            <a:ahLst/>
            <a:cxnLst/>
            <a:rect l="0" t="0" r="0" b="0"/>
            <a:pathLst>
              <a:path w="7620" h="38100">
                <a:moveTo>
                  <a:pt x="0" y="0"/>
                </a:moveTo>
                <a:lnTo>
                  <a:pt x="0" y="38100"/>
                </a:lnTo>
              </a:path>
            </a:pathLst>
          </a:custGeom>
          <a:noFill/>
          <a:ln w="11430">
            <a:solidFill>
              <a:srgbClr val="484848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81" name="Rounded Rectangle 83">
            <a:extLst>
              <a:ext uri="{FF2B5EF4-FFF2-40B4-BE49-F238E27FC236}">
                <a16:creationId xmlns:a16="http://schemas.microsoft.com/office/drawing/2014/main" id="{E9ACDEA5-FD35-3AC0-3D62-38051BF3A400}"/>
              </a:ext>
            </a:extLst>
          </xdr:cNvPr>
          <xdr:cNvSpPr/>
        </xdr:nvSpPr>
        <xdr:spPr>
          <a:xfrm>
            <a:off x="4987267" y="5433789"/>
            <a:ext cx="7620" cy="38100"/>
          </a:xfrm>
          <a:custGeom>
            <a:avLst/>
            <a:gdLst/>
            <a:ahLst/>
            <a:cxnLst/>
            <a:rect l="0" t="0" r="0" b="0"/>
            <a:pathLst>
              <a:path w="7620" h="38100">
                <a:moveTo>
                  <a:pt x="0" y="0"/>
                </a:moveTo>
                <a:lnTo>
                  <a:pt x="0" y="38100"/>
                </a:lnTo>
              </a:path>
            </a:pathLst>
          </a:custGeom>
          <a:noFill/>
          <a:ln w="11430">
            <a:solidFill>
              <a:srgbClr val="484848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82" name="Rounded Rectangle 84">
            <a:extLst>
              <a:ext uri="{FF2B5EF4-FFF2-40B4-BE49-F238E27FC236}">
                <a16:creationId xmlns:a16="http://schemas.microsoft.com/office/drawing/2014/main" id="{F2B6AF09-8DF8-25FD-8E23-98FB030256CE}"/>
              </a:ext>
            </a:extLst>
          </xdr:cNvPr>
          <xdr:cNvSpPr/>
        </xdr:nvSpPr>
        <xdr:spPr>
          <a:xfrm>
            <a:off x="5261587" y="5433789"/>
            <a:ext cx="7620" cy="38100"/>
          </a:xfrm>
          <a:custGeom>
            <a:avLst/>
            <a:gdLst/>
            <a:ahLst/>
            <a:cxnLst/>
            <a:rect l="0" t="0" r="0" b="0"/>
            <a:pathLst>
              <a:path w="7620" h="38100">
                <a:moveTo>
                  <a:pt x="0" y="0"/>
                </a:moveTo>
                <a:lnTo>
                  <a:pt x="0" y="38100"/>
                </a:lnTo>
              </a:path>
            </a:pathLst>
          </a:custGeom>
          <a:noFill/>
          <a:ln w="11430">
            <a:solidFill>
              <a:srgbClr val="484848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83" name="Rounded Rectangle 85">
            <a:extLst>
              <a:ext uri="{FF2B5EF4-FFF2-40B4-BE49-F238E27FC236}">
                <a16:creationId xmlns:a16="http://schemas.microsoft.com/office/drawing/2014/main" id="{D2095A33-4B51-B44B-8DEF-31FC0D65F6E7}"/>
              </a:ext>
            </a:extLst>
          </xdr:cNvPr>
          <xdr:cNvSpPr/>
        </xdr:nvSpPr>
        <xdr:spPr>
          <a:xfrm>
            <a:off x="5535907" y="5433789"/>
            <a:ext cx="7620" cy="38100"/>
          </a:xfrm>
          <a:custGeom>
            <a:avLst/>
            <a:gdLst/>
            <a:ahLst/>
            <a:cxnLst/>
            <a:rect l="0" t="0" r="0" b="0"/>
            <a:pathLst>
              <a:path w="7620" h="38100">
                <a:moveTo>
                  <a:pt x="0" y="0"/>
                </a:moveTo>
                <a:lnTo>
                  <a:pt x="0" y="38100"/>
                </a:lnTo>
              </a:path>
            </a:pathLst>
          </a:custGeom>
          <a:noFill/>
          <a:ln w="11430">
            <a:solidFill>
              <a:srgbClr val="484848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84" name="Rounded Rectangle 86">
            <a:extLst>
              <a:ext uri="{FF2B5EF4-FFF2-40B4-BE49-F238E27FC236}">
                <a16:creationId xmlns:a16="http://schemas.microsoft.com/office/drawing/2014/main" id="{70B112AE-10A7-EF9A-FA8C-D01830F49F17}"/>
              </a:ext>
            </a:extLst>
          </xdr:cNvPr>
          <xdr:cNvSpPr/>
        </xdr:nvSpPr>
        <xdr:spPr>
          <a:xfrm>
            <a:off x="5810227" y="5433789"/>
            <a:ext cx="7620" cy="38100"/>
          </a:xfrm>
          <a:custGeom>
            <a:avLst/>
            <a:gdLst/>
            <a:ahLst/>
            <a:cxnLst/>
            <a:rect l="0" t="0" r="0" b="0"/>
            <a:pathLst>
              <a:path w="7620" h="38100">
                <a:moveTo>
                  <a:pt x="0" y="0"/>
                </a:moveTo>
                <a:lnTo>
                  <a:pt x="0" y="38100"/>
                </a:lnTo>
              </a:path>
            </a:pathLst>
          </a:custGeom>
          <a:noFill/>
          <a:ln w="11430">
            <a:solidFill>
              <a:srgbClr val="484848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85" name="Rounded Rectangle 87">
            <a:extLst>
              <a:ext uri="{FF2B5EF4-FFF2-40B4-BE49-F238E27FC236}">
                <a16:creationId xmlns:a16="http://schemas.microsoft.com/office/drawing/2014/main" id="{A1204437-EC17-B902-16DA-2813C13690AE}"/>
              </a:ext>
            </a:extLst>
          </xdr:cNvPr>
          <xdr:cNvSpPr/>
        </xdr:nvSpPr>
        <xdr:spPr>
          <a:xfrm>
            <a:off x="6084547" y="5433789"/>
            <a:ext cx="7620" cy="38100"/>
          </a:xfrm>
          <a:custGeom>
            <a:avLst/>
            <a:gdLst/>
            <a:ahLst/>
            <a:cxnLst/>
            <a:rect l="0" t="0" r="0" b="0"/>
            <a:pathLst>
              <a:path w="7620" h="38100">
                <a:moveTo>
                  <a:pt x="0" y="0"/>
                </a:moveTo>
                <a:lnTo>
                  <a:pt x="0" y="38100"/>
                </a:lnTo>
              </a:path>
            </a:pathLst>
          </a:custGeom>
          <a:noFill/>
          <a:ln w="11430">
            <a:solidFill>
              <a:srgbClr val="484848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86" name="Rounded Rectangle 88">
            <a:extLst>
              <a:ext uri="{FF2B5EF4-FFF2-40B4-BE49-F238E27FC236}">
                <a16:creationId xmlns:a16="http://schemas.microsoft.com/office/drawing/2014/main" id="{1CA38E0A-A7F7-A8AE-0E97-3056B945F406}"/>
              </a:ext>
            </a:extLst>
          </xdr:cNvPr>
          <xdr:cNvSpPr/>
        </xdr:nvSpPr>
        <xdr:spPr>
          <a:xfrm>
            <a:off x="2929867" y="5433789"/>
            <a:ext cx="3291840" cy="7620"/>
          </a:xfrm>
          <a:custGeom>
            <a:avLst/>
            <a:gdLst/>
            <a:ahLst/>
            <a:cxnLst/>
            <a:rect l="0" t="0" r="0" b="0"/>
            <a:pathLst>
              <a:path w="3291840" h="7620">
                <a:moveTo>
                  <a:pt x="0" y="0"/>
                </a:moveTo>
                <a:lnTo>
                  <a:pt x="3291840" y="0"/>
                </a:lnTo>
              </a:path>
            </a:pathLst>
          </a:custGeom>
          <a:noFill/>
          <a:ln w="11430">
            <a:solidFill>
              <a:srgbClr val="484848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687" name="TextBox 89">
            <a:extLst>
              <a:ext uri="{FF2B5EF4-FFF2-40B4-BE49-F238E27FC236}">
                <a16:creationId xmlns:a16="http://schemas.microsoft.com/office/drawing/2014/main" id="{3E47AA4B-E11B-4984-6AFF-76A9BB3290B9}"/>
              </a:ext>
            </a:extLst>
          </xdr:cNvPr>
          <xdr:cNvSpPr txBox="1"/>
        </xdr:nvSpPr>
        <xdr:spPr>
          <a:xfrm>
            <a:off x="2453165" y="5005545"/>
            <a:ext cx="240451" cy="169277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r"/>
            <a:r>
              <a:rPr sz="1100" b="1">
                <a:solidFill>
                  <a:srgbClr val="484848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190</a:t>
            </a:r>
          </a:p>
        </xdr:txBody>
      </xdr:sp>
      <xdr:sp macro="" textlink="">
        <xdr:nvSpPr>
          <xdr:cNvPr id="688" name="TextBox 90">
            <a:extLst>
              <a:ext uri="{FF2B5EF4-FFF2-40B4-BE49-F238E27FC236}">
                <a16:creationId xmlns:a16="http://schemas.microsoft.com/office/drawing/2014/main" id="{1D1CAD7D-6970-65B1-8C81-389737A8D091}"/>
              </a:ext>
            </a:extLst>
          </xdr:cNvPr>
          <xdr:cNvSpPr txBox="1"/>
        </xdr:nvSpPr>
        <xdr:spPr>
          <a:xfrm>
            <a:off x="2453165" y="5386545"/>
            <a:ext cx="240451" cy="169277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r"/>
            <a:r>
              <a:rPr sz="1100" b="1">
                <a:solidFill>
                  <a:srgbClr val="484848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185</a:t>
            </a:r>
          </a:p>
        </xdr:txBody>
      </xdr:sp>
      <xdr:sp macro="" textlink="">
        <xdr:nvSpPr>
          <xdr:cNvPr id="689" name="TextBox 91">
            <a:extLst>
              <a:ext uri="{FF2B5EF4-FFF2-40B4-BE49-F238E27FC236}">
                <a16:creationId xmlns:a16="http://schemas.microsoft.com/office/drawing/2014/main" id="{FBC067BD-F776-D795-1B03-F1953551AD5D}"/>
              </a:ext>
            </a:extLst>
          </xdr:cNvPr>
          <xdr:cNvSpPr txBox="1"/>
        </xdr:nvSpPr>
        <xdr:spPr>
          <a:xfrm>
            <a:off x="2453165" y="2338545"/>
            <a:ext cx="240451" cy="169277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r"/>
            <a:r>
              <a:rPr sz="1100" b="1">
                <a:solidFill>
                  <a:srgbClr val="484848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225</a:t>
            </a:r>
          </a:p>
        </xdr:txBody>
      </xdr:sp>
      <xdr:sp macro="" textlink="">
        <xdr:nvSpPr>
          <xdr:cNvPr id="690" name="TextBox 92">
            <a:extLst>
              <a:ext uri="{FF2B5EF4-FFF2-40B4-BE49-F238E27FC236}">
                <a16:creationId xmlns:a16="http://schemas.microsoft.com/office/drawing/2014/main" id="{21224AD2-0448-5D1D-89F0-5B69DBCF0B35}"/>
              </a:ext>
            </a:extLst>
          </xdr:cNvPr>
          <xdr:cNvSpPr txBox="1"/>
        </xdr:nvSpPr>
        <xdr:spPr>
          <a:xfrm>
            <a:off x="3659657" y="1121032"/>
            <a:ext cx="2132916" cy="262142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 rtl="0">
              <a:defRPr lang="en-US" sz="1800" b="1" i="0" u="none" strike="noStrike" kern="1200" spc="0" baseline="0">
                <a:solidFill>
                  <a:srgbClr val="484848"/>
                </a:solidFill>
                <a:latin typeface="Roboto"/>
                <a:ea typeface="+mn-ea"/>
                <a:cs typeface="+mn-cs"/>
              </a:defRPr>
            </a:pPr>
            <a:r>
              <a:rPr sz="1800" b="1" i="0" u="none" strike="noStrike" kern="1200" spc="0" baseline="0">
                <a:solidFill>
                  <a:srgbClr val="484848"/>
                </a:solidFill>
                <a:latin typeface="Roboto"/>
                <a:ea typeface="+mn-ea"/>
                <a:cs typeface="+mn-cs"/>
              </a:rPr>
              <a:t>2021 vs 2022 Sales</a:t>
            </a:r>
          </a:p>
        </xdr:txBody>
      </xdr:sp>
      <xdr:sp macro="" textlink="">
        <xdr:nvSpPr>
          <xdr:cNvPr id="691" name="TextBox 93">
            <a:extLst>
              <a:ext uri="{FF2B5EF4-FFF2-40B4-BE49-F238E27FC236}">
                <a16:creationId xmlns:a16="http://schemas.microsoft.com/office/drawing/2014/main" id="{7287B0AD-FC15-A170-D9D1-1901AE91505A}"/>
              </a:ext>
            </a:extLst>
          </xdr:cNvPr>
          <xdr:cNvSpPr txBox="1"/>
        </xdr:nvSpPr>
        <xdr:spPr>
          <a:xfrm>
            <a:off x="2453165" y="1957545"/>
            <a:ext cx="240451" cy="169277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r"/>
            <a:r>
              <a:rPr sz="1100" b="1">
                <a:solidFill>
                  <a:srgbClr val="484848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230</a:t>
            </a:r>
          </a:p>
        </xdr:txBody>
      </xdr:sp>
      <xdr:sp macro="" textlink="">
        <xdr:nvSpPr>
          <xdr:cNvPr id="692" name="TextBox 94">
            <a:extLst>
              <a:ext uri="{FF2B5EF4-FFF2-40B4-BE49-F238E27FC236}">
                <a16:creationId xmlns:a16="http://schemas.microsoft.com/office/drawing/2014/main" id="{1ACE5E20-2D1B-F099-349A-78787E6F3255}"/>
              </a:ext>
            </a:extLst>
          </xdr:cNvPr>
          <xdr:cNvSpPr txBox="1"/>
        </xdr:nvSpPr>
        <xdr:spPr>
          <a:xfrm>
            <a:off x="4861537" y="1448529"/>
            <a:ext cx="320601" cy="169277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l"/>
            <a:r>
              <a:rPr sz="1100" b="1">
                <a:solidFill>
                  <a:srgbClr val="484848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2022</a:t>
            </a:r>
          </a:p>
        </xdr:txBody>
      </xdr:sp>
      <xdr:sp macro="" textlink="">
        <xdr:nvSpPr>
          <xdr:cNvPr id="693" name="TextBox 95">
            <a:extLst>
              <a:ext uri="{FF2B5EF4-FFF2-40B4-BE49-F238E27FC236}">
                <a16:creationId xmlns:a16="http://schemas.microsoft.com/office/drawing/2014/main" id="{556F306C-3915-04D9-04F9-BD7E943299C5}"/>
              </a:ext>
            </a:extLst>
          </xdr:cNvPr>
          <xdr:cNvSpPr txBox="1"/>
        </xdr:nvSpPr>
        <xdr:spPr>
          <a:xfrm>
            <a:off x="4202884" y="1448529"/>
            <a:ext cx="320601" cy="169277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l"/>
            <a:r>
              <a:rPr sz="1100" b="1">
                <a:solidFill>
                  <a:srgbClr val="484848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2021</a:t>
            </a:r>
          </a:p>
        </xdr:txBody>
      </xdr:sp>
      <xdr:sp macro="" textlink="">
        <xdr:nvSpPr>
          <xdr:cNvPr id="694" name="TextBox 96">
            <a:extLst>
              <a:ext uri="{FF2B5EF4-FFF2-40B4-BE49-F238E27FC236}">
                <a16:creationId xmlns:a16="http://schemas.microsoft.com/office/drawing/2014/main" id="{3C7A5F07-250D-0BFC-C1A0-05CABF8C4445}"/>
              </a:ext>
            </a:extLst>
          </xdr:cNvPr>
          <xdr:cNvSpPr txBox="1"/>
        </xdr:nvSpPr>
        <xdr:spPr>
          <a:xfrm>
            <a:off x="4373041" y="5893340"/>
            <a:ext cx="405560" cy="169277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r>
              <a:rPr sz="1100" b="0">
                <a:solidFill>
                  <a:srgbClr val="484848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Month</a:t>
            </a:r>
          </a:p>
        </xdr:txBody>
      </xdr:sp>
      <xdr:sp macro="" textlink="">
        <xdr:nvSpPr>
          <xdr:cNvPr id="695" name="TextBox 97">
            <a:extLst>
              <a:ext uri="{FF2B5EF4-FFF2-40B4-BE49-F238E27FC236}">
                <a16:creationId xmlns:a16="http://schemas.microsoft.com/office/drawing/2014/main" id="{106AC973-8E83-7765-DAC2-781A3F856191}"/>
              </a:ext>
            </a:extLst>
          </xdr:cNvPr>
          <xdr:cNvSpPr txBox="1"/>
        </xdr:nvSpPr>
        <xdr:spPr>
          <a:xfrm>
            <a:off x="2453165" y="4624545"/>
            <a:ext cx="240451" cy="169277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r"/>
            <a:r>
              <a:rPr sz="1100" b="1">
                <a:solidFill>
                  <a:srgbClr val="484848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195</a:t>
            </a:r>
          </a:p>
        </xdr:txBody>
      </xdr:sp>
      <xdr:sp macro="" textlink="">
        <xdr:nvSpPr>
          <xdr:cNvPr id="696" name="TextBox 98">
            <a:extLst>
              <a:ext uri="{FF2B5EF4-FFF2-40B4-BE49-F238E27FC236}">
                <a16:creationId xmlns:a16="http://schemas.microsoft.com/office/drawing/2014/main" id="{7CAF139D-CFBE-E26F-89C5-4226298AA2BD}"/>
              </a:ext>
            </a:extLst>
          </xdr:cNvPr>
          <xdr:cNvSpPr txBox="1"/>
        </xdr:nvSpPr>
        <xdr:spPr>
          <a:xfrm>
            <a:off x="2453165" y="4243545"/>
            <a:ext cx="240451" cy="169277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r"/>
            <a:r>
              <a:rPr sz="1100" b="1">
                <a:solidFill>
                  <a:srgbClr val="484848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200</a:t>
            </a:r>
          </a:p>
        </xdr:txBody>
      </xdr:sp>
      <xdr:sp macro="" textlink="">
        <xdr:nvSpPr>
          <xdr:cNvPr id="697" name="TextBox 99">
            <a:extLst>
              <a:ext uri="{FF2B5EF4-FFF2-40B4-BE49-F238E27FC236}">
                <a16:creationId xmlns:a16="http://schemas.microsoft.com/office/drawing/2014/main" id="{C1C6CDD9-793B-963B-C20C-C441381600F9}"/>
              </a:ext>
            </a:extLst>
          </xdr:cNvPr>
          <xdr:cNvSpPr txBox="1"/>
        </xdr:nvSpPr>
        <xdr:spPr>
          <a:xfrm>
            <a:off x="2453165" y="3862545"/>
            <a:ext cx="240451" cy="169277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r"/>
            <a:r>
              <a:rPr sz="1100" b="1">
                <a:solidFill>
                  <a:srgbClr val="484848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205</a:t>
            </a:r>
          </a:p>
        </xdr:txBody>
      </xdr:sp>
      <xdr:sp macro="" textlink="">
        <xdr:nvSpPr>
          <xdr:cNvPr id="698" name="TextBox 100">
            <a:extLst>
              <a:ext uri="{FF2B5EF4-FFF2-40B4-BE49-F238E27FC236}">
                <a16:creationId xmlns:a16="http://schemas.microsoft.com/office/drawing/2014/main" id="{824AD7A4-1F67-5217-69DF-D55793376F1E}"/>
              </a:ext>
            </a:extLst>
          </xdr:cNvPr>
          <xdr:cNvSpPr txBox="1"/>
        </xdr:nvSpPr>
        <xdr:spPr>
          <a:xfrm rot="16200000">
            <a:off x="1611751" y="3634651"/>
            <a:ext cx="1348126" cy="169277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r>
              <a:rPr sz="1100" b="0">
                <a:solidFill>
                  <a:srgbClr val="484848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Figures (in Millions $)</a:t>
            </a:r>
          </a:p>
        </xdr:txBody>
      </xdr:sp>
      <xdr:sp macro="" textlink="">
        <xdr:nvSpPr>
          <xdr:cNvPr id="699" name="TextBox 101">
            <a:extLst>
              <a:ext uri="{FF2B5EF4-FFF2-40B4-BE49-F238E27FC236}">
                <a16:creationId xmlns:a16="http://schemas.microsoft.com/office/drawing/2014/main" id="{D635D7D0-A251-A422-12D5-9F8A2AFC91E4}"/>
              </a:ext>
            </a:extLst>
          </xdr:cNvPr>
          <xdr:cNvSpPr txBox="1"/>
        </xdr:nvSpPr>
        <xdr:spPr>
          <a:xfrm>
            <a:off x="2453165" y="3481545"/>
            <a:ext cx="240451" cy="169277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r"/>
            <a:r>
              <a:rPr sz="1100" b="1">
                <a:solidFill>
                  <a:srgbClr val="484848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210</a:t>
            </a:r>
          </a:p>
        </xdr:txBody>
      </xdr:sp>
      <xdr:sp macro="" textlink="">
        <xdr:nvSpPr>
          <xdr:cNvPr id="700" name="TextBox 103">
            <a:extLst>
              <a:ext uri="{FF2B5EF4-FFF2-40B4-BE49-F238E27FC236}">
                <a16:creationId xmlns:a16="http://schemas.microsoft.com/office/drawing/2014/main" id="{8589783F-B175-C2D0-0A1F-7482048762C1}"/>
              </a:ext>
            </a:extLst>
          </xdr:cNvPr>
          <xdr:cNvSpPr txBox="1"/>
        </xdr:nvSpPr>
        <xdr:spPr>
          <a:xfrm rot="2700000">
            <a:off x="2993535" y="5505894"/>
            <a:ext cx="232436" cy="169277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l"/>
            <a:r>
              <a:rPr sz="1100" b="1">
                <a:solidFill>
                  <a:srgbClr val="484848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Jan</a:t>
            </a:r>
          </a:p>
        </xdr:txBody>
      </xdr:sp>
      <xdr:sp macro="" textlink="">
        <xdr:nvSpPr>
          <xdr:cNvPr id="701" name="TextBox 104">
            <a:extLst>
              <a:ext uri="{FF2B5EF4-FFF2-40B4-BE49-F238E27FC236}">
                <a16:creationId xmlns:a16="http://schemas.microsoft.com/office/drawing/2014/main" id="{0577F80B-D3DB-7895-88A2-7461A058C9E9}"/>
              </a:ext>
            </a:extLst>
          </xdr:cNvPr>
          <xdr:cNvSpPr txBox="1"/>
        </xdr:nvSpPr>
        <xdr:spPr>
          <a:xfrm rot="2700000">
            <a:off x="3266633" y="5505117"/>
            <a:ext cx="234038" cy="169277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l"/>
            <a:r>
              <a:rPr sz="1100" b="1">
                <a:solidFill>
                  <a:srgbClr val="484848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Feb</a:t>
            </a:r>
          </a:p>
        </xdr:txBody>
      </xdr:sp>
      <xdr:sp macro="" textlink="">
        <xdr:nvSpPr>
          <xdr:cNvPr id="702" name="TextBox 105">
            <a:extLst>
              <a:ext uri="{FF2B5EF4-FFF2-40B4-BE49-F238E27FC236}">
                <a16:creationId xmlns:a16="http://schemas.microsoft.com/office/drawing/2014/main" id="{17832004-AB06-2CFF-2BE0-7716FB18C590}"/>
              </a:ext>
            </a:extLst>
          </xdr:cNvPr>
          <xdr:cNvSpPr txBox="1"/>
        </xdr:nvSpPr>
        <xdr:spPr>
          <a:xfrm rot="2700000">
            <a:off x="3537316" y="5509495"/>
            <a:ext cx="250068" cy="169277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l"/>
            <a:r>
              <a:rPr sz="1100" b="1">
                <a:solidFill>
                  <a:srgbClr val="484848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Mar</a:t>
            </a:r>
          </a:p>
        </xdr:txBody>
      </xdr:sp>
      <xdr:sp macro="" textlink="">
        <xdr:nvSpPr>
          <xdr:cNvPr id="703" name="TextBox 106">
            <a:extLst>
              <a:ext uri="{FF2B5EF4-FFF2-40B4-BE49-F238E27FC236}">
                <a16:creationId xmlns:a16="http://schemas.microsoft.com/office/drawing/2014/main" id="{70383C67-276D-34F1-2497-57C3C2157B44}"/>
              </a:ext>
            </a:extLst>
          </xdr:cNvPr>
          <xdr:cNvSpPr txBox="1"/>
        </xdr:nvSpPr>
        <xdr:spPr>
          <a:xfrm rot="2700000">
            <a:off x="3817470" y="5503843"/>
            <a:ext cx="226024" cy="169277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l"/>
            <a:r>
              <a:rPr sz="1100" b="1">
                <a:solidFill>
                  <a:srgbClr val="484848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Apr</a:t>
            </a:r>
          </a:p>
        </xdr:txBody>
      </xdr:sp>
      <xdr:sp macro="" textlink="">
        <xdr:nvSpPr>
          <xdr:cNvPr id="704" name="TextBox 107">
            <a:extLst>
              <a:ext uri="{FF2B5EF4-FFF2-40B4-BE49-F238E27FC236}">
                <a16:creationId xmlns:a16="http://schemas.microsoft.com/office/drawing/2014/main" id="{35CDF2A0-BD92-33E8-821A-51130EDDCEA5}"/>
              </a:ext>
            </a:extLst>
          </xdr:cNvPr>
          <xdr:cNvSpPr txBox="1"/>
        </xdr:nvSpPr>
        <xdr:spPr>
          <a:xfrm rot="2700000">
            <a:off x="4080549" y="5513170"/>
            <a:ext cx="269304" cy="169277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l"/>
            <a:r>
              <a:rPr sz="1100" b="1">
                <a:solidFill>
                  <a:srgbClr val="484848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May</a:t>
            </a:r>
          </a:p>
        </xdr:txBody>
      </xdr:sp>
      <xdr:sp macro="" textlink="">
        <xdr:nvSpPr>
          <xdr:cNvPr id="705" name="TextBox 108">
            <a:extLst>
              <a:ext uri="{FF2B5EF4-FFF2-40B4-BE49-F238E27FC236}">
                <a16:creationId xmlns:a16="http://schemas.microsoft.com/office/drawing/2014/main" id="{49F9DAF7-8695-4CC0-6D9A-443A3123CFCB}"/>
              </a:ext>
            </a:extLst>
          </xdr:cNvPr>
          <xdr:cNvSpPr txBox="1"/>
        </xdr:nvSpPr>
        <xdr:spPr>
          <a:xfrm rot="2700000">
            <a:off x="4364331" y="5506694"/>
            <a:ext cx="235642" cy="169277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l"/>
            <a:r>
              <a:rPr sz="1100" b="1">
                <a:solidFill>
                  <a:srgbClr val="484848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Jun</a:t>
            </a:r>
          </a:p>
        </xdr:txBody>
      </xdr:sp>
      <xdr:sp macro="" textlink="">
        <xdr:nvSpPr>
          <xdr:cNvPr id="706" name="TextBox 109">
            <a:extLst>
              <a:ext uri="{FF2B5EF4-FFF2-40B4-BE49-F238E27FC236}">
                <a16:creationId xmlns:a16="http://schemas.microsoft.com/office/drawing/2014/main" id="{0F0C8A40-5F86-FBF4-04F9-5F4562CE4C33}"/>
              </a:ext>
            </a:extLst>
          </xdr:cNvPr>
          <xdr:cNvSpPr txBox="1"/>
        </xdr:nvSpPr>
        <xdr:spPr>
          <a:xfrm rot="2700000">
            <a:off x="4649935" y="5498218"/>
            <a:ext cx="193964" cy="169277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l"/>
            <a:r>
              <a:rPr sz="1100" b="1">
                <a:solidFill>
                  <a:srgbClr val="484848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Jul</a:t>
            </a:r>
          </a:p>
        </xdr:txBody>
      </xdr:sp>
      <xdr:sp macro="" textlink="">
        <xdr:nvSpPr>
          <xdr:cNvPr id="707" name="TextBox 110">
            <a:extLst>
              <a:ext uri="{FF2B5EF4-FFF2-40B4-BE49-F238E27FC236}">
                <a16:creationId xmlns:a16="http://schemas.microsoft.com/office/drawing/2014/main" id="{63C371E4-E889-3085-7B4C-6EB85D6B52BE}"/>
              </a:ext>
            </a:extLst>
          </xdr:cNvPr>
          <xdr:cNvSpPr txBox="1"/>
        </xdr:nvSpPr>
        <xdr:spPr>
          <a:xfrm rot="2700000">
            <a:off x="4907986" y="5509982"/>
            <a:ext cx="253274" cy="169277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l"/>
            <a:r>
              <a:rPr sz="1100" b="1">
                <a:solidFill>
                  <a:srgbClr val="484848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Aug</a:t>
            </a:r>
          </a:p>
        </xdr:txBody>
      </xdr:sp>
      <xdr:sp macro="" textlink="">
        <xdr:nvSpPr>
          <xdr:cNvPr id="708" name="TextBox 111">
            <a:extLst>
              <a:ext uri="{FF2B5EF4-FFF2-40B4-BE49-F238E27FC236}">
                <a16:creationId xmlns:a16="http://schemas.microsoft.com/office/drawing/2014/main" id="{A4A00651-CA29-1ED8-645E-BCBDFF4FEFF2}"/>
              </a:ext>
            </a:extLst>
          </xdr:cNvPr>
          <xdr:cNvSpPr txBox="1"/>
        </xdr:nvSpPr>
        <xdr:spPr>
          <a:xfrm rot="2700000">
            <a:off x="5184548" y="5507415"/>
            <a:ext cx="243656" cy="169277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l"/>
            <a:r>
              <a:rPr sz="1100" b="1">
                <a:solidFill>
                  <a:srgbClr val="484848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Sep</a:t>
            </a:r>
          </a:p>
        </xdr:txBody>
      </xdr:sp>
      <xdr:sp macro="" textlink="">
        <xdr:nvSpPr>
          <xdr:cNvPr id="709" name="TextBox 112">
            <a:extLst>
              <a:ext uri="{FF2B5EF4-FFF2-40B4-BE49-F238E27FC236}">
                <a16:creationId xmlns:a16="http://schemas.microsoft.com/office/drawing/2014/main" id="{D19D5084-207C-6F34-D51D-3FE10FB97112}"/>
              </a:ext>
            </a:extLst>
          </xdr:cNvPr>
          <xdr:cNvSpPr txBox="1"/>
        </xdr:nvSpPr>
        <xdr:spPr>
          <a:xfrm rot="2700000">
            <a:off x="5465418" y="5502672"/>
            <a:ext cx="219612" cy="169277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l"/>
            <a:r>
              <a:rPr sz="1100" b="1">
                <a:solidFill>
                  <a:srgbClr val="484848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Oct</a:t>
            </a:r>
          </a:p>
        </xdr:txBody>
      </xdr:sp>
      <xdr:sp macro="" textlink="">
        <xdr:nvSpPr>
          <xdr:cNvPr id="710" name="TextBox 113">
            <a:extLst>
              <a:ext uri="{FF2B5EF4-FFF2-40B4-BE49-F238E27FC236}">
                <a16:creationId xmlns:a16="http://schemas.microsoft.com/office/drawing/2014/main" id="{0AD48A9C-532E-ACCA-3A0B-600DF8FFD378}"/>
              </a:ext>
            </a:extLst>
          </xdr:cNvPr>
          <xdr:cNvSpPr txBox="1"/>
        </xdr:nvSpPr>
        <xdr:spPr>
          <a:xfrm rot="2700000">
            <a:off x="5730821" y="5509064"/>
            <a:ext cx="251672" cy="169277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l"/>
            <a:r>
              <a:rPr sz="1100" b="1">
                <a:solidFill>
                  <a:srgbClr val="484848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Nov</a:t>
            </a:r>
          </a:p>
        </xdr:txBody>
      </xdr:sp>
      <xdr:sp macro="" textlink="">
        <xdr:nvSpPr>
          <xdr:cNvPr id="711" name="TextBox 114">
            <a:extLst>
              <a:ext uri="{FF2B5EF4-FFF2-40B4-BE49-F238E27FC236}">
                <a16:creationId xmlns:a16="http://schemas.microsoft.com/office/drawing/2014/main" id="{67DF21EE-B3B2-CD38-4658-B6A24AD19FF3}"/>
              </a:ext>
            </a:extLst>
          </xdr:cNvPr>
          <xdr:cNvSpPr txBox="1"/>
        </xdr:nvSpPr>
        <xdr:spPr>
          <a:xfrm rot="2700000">
            <a:off x="6008056" y="5507170"/>
            <a:ext cx="242054" cy="169277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l"/>
            <a:r>
              <a:rPr sz="1100" b="1">
                <a:solidFill>
                  <a:srgbClr val="484848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Dec</a:t>
            </a:r>
          </a:p>
        </xdr:txBody>
      </xdr:sp>
      <xdr:sp macro="" textlink="">
        <xdr:nvSpPr>
          <xdr:cNvPr id="712" name="TextBox 115">
            <a:extLst>
              <a:ext uri="{FF2B5EF4-FFF2-40B4-BE49-F238E27FC236}">
                <a16:creationId xmlns:a16="http://schemas.microsoft.com/office/drawing/2014/main" id="{644CD7E3-FC91-9987-156E-1E8AF50F88AC}"/>
              </a:ext>
            </a:extLst>
          </xdr:cNvPr>
          <xdr:cNvSpPr txBox="1"/>
        </xdr:nvSpPr>
        <xdr:spPr>
          <a:xfrm>
            <a:off x="2453165" y="2719545"/>
            <a:ext cx="240451" cy="169277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r"/>
            <a:r>
              <a:rPr sz="1100" b="1">
                <a:solidFill>
                  <a:srgbClr val="484848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220</a:t>
            </a:r>
          </a:p>
        </xdr:txBody>
      </xdr:sp>
      <xdr:sp macro="" textlink="">
        <xdr:nvSpPr>
          <xdr:cNvPr id="713" name="TextBox 116">
            <a:extLst>
              <a:ext uri="{FF2B5EF4-FFF2-40B4-BE49-F238E27FC236}">
                <a16:creationId xmlns:a16="http://schemas.microsoft.com/office/drawing/2014/main" id="{C7DBB6B7-FDBA-042B-5C87-B747C623A2A0}"/>
              </a:ext>
            </a:extLst>
          </xdr:cNvPr>
          <xdr:cNvSpPr txBox="1"/>
        </xdr:nvSpPr>
        <xdr:spPr>
          <a:xfrm>
            <a:off x="2453165" y="3100545"/>
            <a:ext cx="240451" cy="169277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r"/>
            <a:r>
              <a:rPr sz="1100" b="1">
                <a:solidFill>
                  <a:srgbClr val="484848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215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62819-44D1-EE4C-940E-0D3D0CCB2ED3}">
  <dimension ref="A1"/>
  <sheetViews>
    <sheetView showGridLines="0" zoomScale="40" zoomScaleNormal="40" workbookViewId="0">
      <selection activeCell="AG59" sqref="AG59"/>
    </sheetView>
  </sheetViews>
  <sheetFormatPr defaultColWidth="10.875" defaultRowHeight="15.75" x14ac:dyDescent="0.25"/>
  <cols>
    <col min="1" max="16384" width="10.875" style="10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16DE6-AF43-5D41-92D8-941949992132}">
  <dimension ref="C2:K24"/>
  <sheetViews>
    <sheetView showGridLines="0" tabSelected="1" topLeftCell="A7" zoomScaleNormal="100" workbookViewId="0">
      <selection activeCell="F36" sqref="F36"/>
    </sheetView>
  </sheetViews>
  <sheetFormatPr defaultColWidth="11.125" defaultRowHeight="15.75" x14ac:dyDescent="0.25"/>
  <cols>
    <col min="1" max="1" width="10.875" customWidth="1"/>
    <col min="2" max="2" width="4" customWidth="1"/>
    <col min="3" max="3" width="14.125" customWidth="1"/>
    <col min="4" max="4" width="8.625" customWidth="1"/>
    <col min="5" max="5" width="10.125" customWidth="1"/>
    <col min="7" max="7" width="12.375" customWidth="1"/>
  </cols>
  <sheetData>
    <row r="2" spans="3:11" x14ac:dyDescent="0.25">
      <c r="C2" s="7" t="s">
        <v>36</v>
      </c>
      <c r="D2" s="7"/>
      <c r="E2" s="7"/>
      <c r="F2" s="7"/>
      <c r="G2" s="7"/>
      <c r="H2" s="7"/>
      <c r="I2" s="7"/>
      <c r="J2" s="7"/>
    </row>
    <row r="4" spans="3:11" x14ac:dyDescent="0.25">
      <c r="C4" s="2" t="s">
        <v>33</v>
      </c>
      <c r="D4" s="2" t="s">
        <v>29</v>
      </c>
      <c r="F4" s="2" t="s">
        <v>32</v>
      </c>
      <c r="G4" s="2" t="s">
        <v>29</v>
      </c>
      <c r="I4" s="2" t="s">
        <v>23</v>
      </c>
      <c r="J4" s="2" t="s">
        <v>29</v>
      </c>
    </row>
    <row r="5" spans="3:11" x14ac:dyDescent="0.25">
      <c r="C5" t="s">
        <v>30</v>
      </c>
      <c r="D5" s="8">
        <v>2543.9</v>
      </c>
      <c r="F5" t="s">
        <v>30</v>
      </c>
      <c r="G5" s="9">
        <v>890.36500000000001</v>
      </c>
      <c r="I5" t="s">
        <v>30</v>
      </c>
      <c r="J5" s="5">
        <v>87</v>
      </c>
    </row>
    <row r="6" spans="3:11" x14ac:dyDescent="0.25">
      <c r="C6" t="s">
        <v>31</v>
      </c>
      <c r="D6" s="8">
        <v>3000</v>
      </c>
      <c r="F6" t="s">
        <v>31</v>
      </c>
      <c r="G6" s="9">
        <v>1000</v>
      </c>
      <c r="I6" t="s">
        <v>31</v>
      </c>
      <c r="J6" s="5">
        <v>100</v>
      </c>
    </row>
    <row r="7" spans="3:11" x14ac:dyDescent="0.25">
      <c r="C7" t="s">
        <v>34</v>
      </c>
      <c r="D7" s="6">
        <f>D5/D6</f>
        <v>0.84796666666666665</v>
      </c>
      <c r="F7" t="s">
        <v>34</v>
      </c>
      <c r="G7" s="6">
        <f>G5/G6</f>
        <v>0.89036499999999996</v>
      </c>
      <c r="I7" t="s">
        <v>34</v>
      </c>
      <c r="J7" s="6">
        <f>J5/J6</f>
        <v>0.87</v>
      </c>
    </row>
    <row r="8" spans="3:11" x14ac:dyDescent="0.25">
      <c r="C8" t="s">
        <v>35</v>
      </c>
      <c r="D8" s="6">
        <f>100%-D7</f>
        <v>0.15203333333333335</v>
      </c>
      <c r="F8" t="s">
        <v>35</v>
      </c>
      <c r="G8" s="6">
        <f>100%-G7</f>
        <v>0.10963500000000004</v>
      </c>
      <c r="I8" t="s">
        <v>35</v>
      </c>
      <c r="J8" s="6">
        <f>100%-J7</f>
        <v>0.13</v>
      </c>
    </row>
    <row r="10" spans="3:11" x14ac:dyDescent="0.25">
      <c r="C10" s="7" t="s">
        <v>37</v>
      </c>
      <c r="D10" s="7"/>
      <c r="E10" s="7"/>
      <c r="F10" s="7"/>
      <c r="G10" s="7"/>
      <c r="H10" s="7"/>
      <c r="J10" s="7" t="s">
        <v>19</v>
      </c>
      <c r="K10" s="7"/>
    </row>
    <row r="12" spans="3:11" x14ac:dyDescent="0.25">
      <c r="C12" s="1" t="s">
        <v>7</v>
      </c>
      <c r="D12" s="1">
        <v>2021</v>
      </c>
      <c r="E12" s="1">
        <v>2022</v>
      </c>
      <c r="G12" s="1" t="s">
        <v>20</v>
      </c>
      <c r="H12" s="1" t="s">
        <v>7</v>
      </c>
      <c r="J12" s="2" t="s">
        <v>19</v>
      </c>
      <c r="K12" s="2" t="s">
        <v>22</v>
      </c>
    </row>
    <row r="13" spans="3:11" x14ac:dyDescent="0.25">
      <c r="C13" t="s">
        <v>8</v>
      </c>
      <c r="D13">
        <v>201.9</v>
      </c>
      <c r="E13">
        <v>215.3</v>
      </c>
      <c r="G13" t="s">
        <v>0</v>
      </c>
      <c r="H13" s="3">
        <v>953.3</v>
      </c>
      <c r="J13" t="s">
        <v>28</v>
      </c>
      <c r="K13" s="4">
        <v>0.54</v>
      </c>
    </row>
    <row r="14" spans="3:11" x14ac:dyDescent="0.25">
      <c r="C14" t="s">
        <v>9</v>
      </c>
      <c r="D14">
        <v>204.2</v>
      </c>
      <c r="E14">
        <v>217.6</v>
      </c>
      <c r="G14" t="s">
        <v>3</v>
      </c>
      <c r="H14" s="3">
        <v>432.4</v>
      </c>
      <c r="J14" t="s">
        <v>27</v>
      </c>
      <c r="K14" s="4">
        <v>0.86</v>
      </c>
    </row>
    <row r="15" spans="3:11" x14ac:dyDescent="0.25">
      <c r="C15" t="s">
        <v>10</v>
      </c>
      <c r="D15">
        <v>198.6</v>
      </c>
      <c r="E15">
        <v>220.1</v>
      </c>
      <c r="G15" t="s">
        <v>21</v>
      </c>
      <c r="H15" s="3">
        <v>553.20000000000005</v>
      </c>
      <c r="J15" t="s">
        <v>26</v>
      </c>
      <c r="K15" s="4">
        <v>0.93</v>
      </c>
    </row>
    <row r="16" spans="3:11" x14ac:dyDescent="0.25">
      <c r="C16" t="s">
        <v>11</v>
      </c>
      <c r="D16">
        <v>199.2</v>
      </c>
      <c r="E16">
        <v>206.4</v>
      </c>
      <c r="G16" t="s">
        <v>4</v>
      </c>
      <c r="H16" s="3">
        <v>445.1</v>
      </c>
      <c r="J16" t="s">
        <v>25</v>
      </c>
      <c r="K16" s="4">
        <v>0.53</v>
      </c>
    </row>
    <row r="17" spans="3:11" x14ac:dyDescent="0.25">
      <c r="C17" t="s">
        <v>6</v>
      </c>
      <c r="D17">
        <v>206.4</v>
      </c>
      <c r="E17">
        <v>204.3</v>
      </c>
      <c r="G17" t="s">
        <v>5</v>
      </c>
      <c r="H17" s="3">
        <v>425.1</v>
      </c>
      <c r="J17" t="s">
        <v>24</v>
      </c>
      <c r="K17" s="4">
        <v>0.95</v>
      </c>
    </row>
    <row r="18" spans="3:11" x14ac:dyDescent="0.25">
      <c r="C18" t="s">
        <v>12</v>
      </c>
      <c r="D18">
        <v>195.3</v>
      </c>
      <c r="E18">
        <v>203</v>
      </c>
      <c r="G18" t="s">
        <v>2</v>
      </c>
      <c r="H18" s="3">
        <v>253.6</v>
      </c>
    </row>
    <row r="19" spans="3:11" x14ac:dyDescent="0.25">
      <c r="C19" t="s">
        <v>13</v>
      </c>
      <c r="D19">
        <v>192.4</v>
      </c>
      <c r="E19">
        <v>201.5</v>
      </c>
      <c r="G19" t="s">
        <v>1</v>
      </c>
      <c r="H19" s="3">
        <v>387.5</v>
      </c>
    </row>
    <row r="20" spans="3:11" x14ac:dyDescent="0.25">
      <c r="C20" t="s">
        <v>14</v>
      </c>
      <c r="D20">
        <v>186.3</v>
      </c>
      <c r="E20">
        <v>200.6</v>
      </c>
    </row>
    <row r="21" spans="3:11" x14ac:dyDescent="0.25">
      <c r="C21" t="s">
        <v>15</v>
      </c>
      <c r="D21">
        <v>194.2</v>
      </c>
      <c r="E21">
        <v>210.6</v>
      </c>
    </row>
    <row r="22" spans="3:11" x14ac:dyDescent="0.25">
      <c r="C22" t="s">
        <v>16</v>
      </c>
      <c r="D22">
        <v>199</v>
      </c>
      <c r="E22">
        <v>216.4</v>
      </c>
    </row>
    <row r="23" spans="3:11" x14ac:dyDescent="0.25">
      <c r="C23" t="s">
        <v>17</v>
      </c>
      <c r="D23">
        <v>205.2</v>
      </c>
      <c r="E23">
        <v>222.3</v>
      </c>
    </row>
    <row r="24" spans="3:11" x14ac:dyDescent="0.25">
      <c r="C24" t="s">
        <v>18</v>
      </c>
      <c r="D24">
        <v>204.3</v>
      </c>
      <c r="E24">
        <v>225.8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Input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juju Ari</cp:lastModifiedBy>
  <dcterms:created xsi:type="dcterms:W3CDTF">2023-01-30T08:37:14Z</dcterms:created>
  <dcterms:modified xsi:type="dcterms:W3CDTF">2026-03-04T17:10:07Z</dcterms:modified>
</cp:coreProperties>
</file>